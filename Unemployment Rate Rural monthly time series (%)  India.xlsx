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Pc\Downloads\Year 2 Desertation\"/>
    </mc:Choice>
  </mc:AlternateContent>
  <xr:revisionPtr revIDLastSave="0" documentId="13_ncr:1_{4DF0FA2E-E9C6-4C13-A517-3361F94BF2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  <sheet name="Unemployment Rate Rural monthly" sheetId="1" r:id="rId2"/>
    <sheet name="Sheet2" sheetId="3" r:id="rId3"/>
    <sheet name="Sheet1" sheetId="2" r:id="rId4"/>
  </sheets>
  <calcPr calcId="181029"/>
  <pivotCaches>
    <pivotCache cacheId="28" r:id="rId5"/>
    <pivotCache cacheId="4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2" i="1"/>
  <c r="G3" i="1"/>
  <c r="G4" i="1" l="1"/>
  <c r="G5" i="1" l="1"/>
  <c r="H6" i="1" l="1"/>
  <c r="G6" i="1"/>
  <c r="H8" i="1" l="1"/>
  <c r="G7" i="1"/>
  <c r="H7" i="1"/>
  <c r="G8" i="1" l="1"/>
  <c r="G9" i="1" l="1"/>
  <c r="H9" i="1"/>
  <c r="G10" i="1" l="1"/>
  <c r="H10" i="1"/>
  <c r="G11" i="1" l="1"/>
  <c r="H11" i="1"/>
  <c r="G12" i="1" l="1"/>
  <c r="H12" i="1"/>
  <c r="G13" i="1" l="1"/>
  <c r="H13" i="1"/>
  <c r="G14" i="1" l="1"/>
  <c r="H14" i="1"/>
  <c r="G15" i="1" l="1"/>
  <c r="H15" i="1"/>
  <c r="G16" i="1" l="1"/>
  <c r="H16" i="1"/>
  <c r="G17" i="1" l="1"/>
  <c r="H17" i="1"/>
  <c r="G18" i="1" l="1"/>
  <c r="H18" i="1"/>
  <c r="G19" i="1" l="1"/>
  <c r="H19" i="1"/>
  <c r="G20" i="1" l="1"/>
  <c r="H20" i="1"/>
  <c r="G21" i="1" l="1"/>
  <c r="H21" i="1"/>
  <c r="G22" i="1" l="1"/>
  <c r="H22" i="1"/>
  <c r="G23" i="1" l="1"/>
  <c r="H23" i="1"/>
  <c r="G24" i="1" l="1"/>
  <c r="H24" i="1"/>
  <c r="G25" i="1" l="1"/>
  <c r="H25" i="1"/>
  <c r="G26" i="1" l="1"/>
  <c r="H26" i="1"/>
  <c r="G27" i="1" l="1"/>
  <c r="H27" i="1"/>
  <c r="G28" i="1" l="1"/>
  <c r="H28" i="1"/>
  <c r="G29" i="1" l="1"/>
  <c r="H29" i="1"/>
  <c r="G30" i="1" l="1"/>
  <c r="H30" i="1"/>
  <c r="G31" i="1" l="1"/>
  <c r="H31" i="1"/>
  <c r="G32" i="1" l="1"/>
  <c r="H32" i="1"/>
  <c r="G33" i="1" l="1"/>
  <c r="H33" i="1"/>
  <c r="G34" i="1" l="1"/>
  <c r="H34" i="1"/>
  <c r="G35" i="1" l="1"/>
  <c r="H35" i="1"/>
  <c r="G36" i="1" l="1"/>
  <c r="H36" i="1"/>
  <c r="G37" i="1" l="1"/>
  <c r="H37" i="1"/>
  <c r="G38" i="1" l="1"/>
  <c r="H38" i="1"/>
  <c r="G39" i="1" l="1"/>
  <c r="H39" i="1"/>
  <c r="G40" i="1" l="1"/>
  <c r="H40" i="1"/>
  <c r="G41" i="1" l="1"/>
  <c r="H41" i="1"/>
  <c r="G42" i="1" l="1"/>
  <c r="H42" i="1"/>
  <c r="G43" i="1" l="1"/>
  <c r="H43" i="1"/>
  <c r="G44" i="1" l="1"/>
  <c r="H44" i="1"/>
  <c r="G45" i="1" l="1"/>
  <c r="H45" i="1"/>
  <c r="G46" i="1" l="1"/>
  <c r="H46" i="1"/>
  <c r="G47" i="1" l="1"/>
  <c r="H47" i="1"/>
  <c r="G48" i="1" l="1"/>
  <c r="H48" i="1"/>
  <c r="G49" i="1" l="1"/>
  <c r="H49" i="1"/>
  <c r="G50" i="1" l="1"/>
  <c r="H50" i="1"/>
  <c r="G51" i="1" l="1"/>
  <c r="H51" i="1"/>
  <c r="G52" i="1" l="1"/>
  <c r="H52" i="1"/>
  <c r="G53" i="1" l="1"/>
  <c r="H53" i="1"/>
  <c r="G54" i="1" l="1"/>
  <c r="H54" i="1"/>
  <c r="G55" i="1" l="1"/>
  <c r="H55" i="1"/>
  <c r="H57" i="1" l="1"/>
  <c r="G56" i="1"/>
  <c r="H56" i="1"/>
  <c r="G57" i="1" l="1"/>
  <c r="G58" i="1" l="1"/>
  <c r="H58" i="1"/>
  <c r="G59" i="1" l="1"/>
  <c r="H59" i="1"/>
  <c r="G60" i="1" l="1"/>
  <c r="H60" i="1"/>
  <c r="G61" i="1" l="1"/>
  <c r="H61" i="1"/>
  <c r="G62" i="1" l="1"/>
  <c r="H62" i="1"/>
  <c r="G63" i="1" l="1"/>
  <c r="H63" i="1"/>
  <c r="G64" i="1" l="1"/>
  <c r="H64" i="1"/>
  <c r="G65" i="1" l="1"/>
  <c r="H65" i="1"/>
  <c r="G66" i="1" l="1"/>
  <c r="H66" i="1"/>
  <c r="G67" i="1" l="1"/>
  <c r="H67" i="1"/>
  <c r="G68" i="1" l="1"/>
  <c r="H68" i="1"/>
  <c r="G69" i="1" l="1"/>
  <c r="H69" i="1"/>
  <c r="G70" i="1" l="1"/>
  <c r="H70" i="1"/>
  <c r="G71" i="1" l="1"/>
  <c r="H71" i="1"/>
  <c r="G72" i="1" l="1"/>
  <c r="H72" i="1"/>
  <c r="G73" i="1" l="1"/>
  <c r="H73" i="1"/>
  <c r="G74" i="1" l="1"/>
  <c r="H74" i="1"/>
  <c r="G75" i="1" l="1"/>
  <c r="H75" i="1"/>
  <c r="G76" i="1" l="1"/>
  <c r="H76" i="1"/>
  <c r="G77" i="1" l="1"/>
  <c r="H77" i="1"/>
  <c r="G78" i="1" l="1"/>
  <c r="H78" i="1"/>
  <c r="G79" i="1" l="1"/>
  <c r="H79" i="1"/>
  <c r="G80" i="1" l="1"/>
  <c r="H80" i="1"/>
  <c r="G81" i="1" l="1"/>
  <c r="H81" i="1"/>
  <c r="G82" i="1" l="1"/>
  <c r="H82" i="1"/>
  <c r="G83" i="1" l="1"/>
  <c r="H83" i="1"/>
  <c r="G84" i="1" l="1"/>
  <c r="H84" i="1"/>
  <c r="G85" i="1" l="1"/>
  <c r="H85" i="1"/>
  <c r="G86" i="1" l="1"/>
  <c r="H86" i="1"/>
  <c r="G87" i="1" l="1"/>
  <c r="H87" i="1"/>
  <c r="G88" i="1" l="1"/>
  <c r="H88" i="1"/>
  <c r="H90" i="1" l="1"/>
  <c r="G89" i="1"/>
  <c r="H89" i="1"/>
  <c r="G90" i="1" l="1"/>
  <c r="G91" i="1" l="1"/>
  <c r="H91" i="1"/>
  <c r="G92" i="1" l="1"/>
  <c r="H92" i="1"/>
  <c r="G93" i="1" l="1"/>
  <c r="H93" i="1"/>
  <c r="G94" i="1" l="1"/>
  <c r="H94" i="1"/>
  <c r="G95" i="1" l="1"/>
  <c r="H95" i="1"/>
  <c r="G96" i="1" l="1"/>
  <c r="H96" i="1"/>
  <c r="G97" i="1" l="1"/>
  <c r="H97" i="1"/>
  <c r="G98" i="1" l="1"/>
  <c r="H98" i="1"/>
  <c r="G99" i="1" l="1"/>
  <c r="H99" i="1"/>
  <c r="G100" i="1" l="1"/>
  <c r="H100" i="1"/>
  <c r="G101" i="1" l="1"/>
  <c r="H101" i="1"/>
  <c r="G102" i="1" l="1"/>
  <c r="H102" i="1"/>
  <c r="G103" i="1" l="1"/>
  <c r="H103" i="1"/>
  <c r="G104" i="1" l="1"/>
  <c r="H104" i="1"/>
  <c r="G105" i="1" l="1"/>
  <c r="H105" i="1"/>
  <c r="G106" i="1" l="1"/>
  <c r="H106" i="1"/>
  <c r="G107" i="1" l="1"/>
  <c r="H107" i="1"/>
  <c r="G108" i="1" l="1"/>
  <c r="H108" i="1"/>
  <c r="G109" i="1" l="1"/>
  <c r="H109" i="1"/>
  <c r="G110" i="1" l="1"/>
  <c r="H110" i="1"/>
  <c r="G111" i="1" l="1"/>
  <c r="H111" i="1"/>
  <c r="G112" i="1" l="1"/>
  <c r="H112" i="1"/>
  <c r="G113" i="1" l="1"/>
  <c r="H113" i="1"/>
  <c r="G114" i="1" l="1"/>
  <c r="H114" i="1"/>
  <c r="G115" i="1" l="1"/>
  <c r="H115" i="1"/>
  <c r="G116" i="1" l="1"/>
  <c r="H116" i="1"/>
  <c r="G117" i="1" l="1"/>
  <c r="H117" i="1"/>
  <c r="G118" i="1" l="1"/>
  <c r="H118" i="1"/>
  <c r="G119" i="1" l="1"/>
  <c r="H119" i="1"/>
  <c r="G120" i="1" l="1"/>
  <c r="H120" i="1"/>
  <c r="G121" i="1" l="1"/>
  <c r="H121" i="1"/>
  <c r="G122" i="1" l="1"/>
  <c r="H122" i="1"/>
  <c r="G123" i="1" l="1"/>
  <c r="H123" i="1"/>
  <c r="G124" i="1" l="1"/>
  <c r="H124" i="1"/>
  <c r="G125" i="1" l="1"/>
  <c r="H125" i="1"/>
  <c r="G126" i="1" l="1"/>
  <c r="H126" i="1"/>
  <c r="G127" i="1" l="1"/>
  <c r="H127" i="1"/>
  <c r="G128" i="1" l="1"/>
  <c r="H128" i="1"/>
  <c r="G129" i="1" l="1"/>
  <c r="H129" i="1"/>
  <c r="G130" i="1" l="1"/>
  <c r="H130" i="1"/>
  <c r="G131" i="1" l="1"/>
  <c r="H131" i="1"/>
  <c r="G132" i="1" l="1"/>
  <c r="H132" i="1"/>
  <c r="G133" i="1" l="1"/>
  <c r="H133" i="1"/>
  <c r="G134" i="1" l="1"/>
  <c r="H134" i="1"/>
  <c r="G135" i="1" l="1"/>
  <c r="H135" i="1"/>
  <c r="G136" i="1" l="1"/>
  <c r="H136" i="1"/>
  <c r="G137" i="1" l="1"/>
  <c r="H137" i="1"/>
  <c r="G138" i="1" l="1"/>
  <c r="H138" i="1"/>
  <c r="G139" i="1" l="1"/>
  <c r="H139" i="1"/>
  <c r="G140" i="1" l="1"/>
  <c r="H140" i="1"/>
  <c r="G141" i="1" l="1"/>
  <c r="H141" i="1"/>
  <c r="G142" i="1" l="1"/>
  <c r="H142" i="1"/>
  <c r="G143" i="1" l="1"/>
  <c r="H143" i="1"/>
  <c r="G144" i="1" l="1"/>
  <c r="H144" i="1"/>
  <c r="G145" i="1" l="1"/>
  <c r="H145" i="1"/>
  <c r="G146" i="1" l="1"/>
  <c r="H146" i="1"/>
  <c r="G147" i="1" l="1"/>
  <c r="H147" i="1"/>
  <c r="G148" i="1" l="1"/>
  <c r="H148" i="1"/>
  <c r="G149" i="1" l="1"/>
  <c r="H149" i="1"/>
  <c r="G150" i="1" l="1"/>
  <c r="H150" i="1"/>
  <c r="G151" i="1" l="1"/>
  <c r="H151" i="1"/>
  <c r="G152" i="1" l="1"/>
  <c r="H152" i="1"/>
  <c r="G153" i="1" l="1"/>
  <c r="H153" i="1"/>
  <c r="G154" i="1" l="1"/>
  <c r="H154" i="1"/>
  <c r="G155" i="1" l="1"/>
  <c r="H155" i="1"/>
  <c r="G156" i="1" l="1"/>
  <c r="H156" i="1"/>
  <c r="G157" i="1" l="1"/>
  <c r="H157" i="1"/>
  <c r="G158" i="1" l="1"/>
  <c r="H158" i="1"/>
  <c r="G159" i="1" l="1"/>
  <c r="H159" i="1"/>
  <c r="G160" i="1" l="1"/>
  <c r="H160" i="1"/>
  <c r="G161" i="1" l="1"/>
  <c r="H161" i="1"/>
  <c r="G162" i="1" l="1"/>
  <c r="H162" i="1"/>
  <c r="G163" i="1" l="1"/>
  <c r="H163" i="1"/>
  <c r="G164" i="1" l="1"/>
  <c r="H164" i="1"/>
  <c r="G165" i="1" l="1"/>
  <c r="H165" i="1"/>
  <c r="G166" i="1" l="1"/>
  <c r="H166" i="1"/>
  <c r="G167" i="1" l="1"/>
  <c r="H167" i="1"/>
  <c r="G168" i="1" l="1"/>
  <c r="H168" i="1"/>
  <c r="G169" i="1" l="1"/>
  <c r="H169" i="1"/>
  <c r="G170" i="1" l="1"/>
  <c r="H170" i="1"/>
  <c r="G171" i="1" l="1"/>
  <c r="H171" i="1"/>
  <c r="G172" i="1" l="1"/>
  <c r="H172" i="1"/>
  <c r="G173" i="1" l="1"/>
  <c r="H173" i="1"/>
  <c r="G174" i="1" l="1"/>
  <c r="H174" i="1"/>
  <c r="G175" i="1" l="1"/>
  <c r="H175" i="1"/>
  <c r="G176" i="1" l="1"/>
  <c r="H176" i="1"/>
  <c r="G177" i="1" l="1"/>
  <c r="H177" i="1"/>
  <c r="G178" i="1" l="1"/>
  <c r="H178" i="1"/>
  <c r="G179" i="1" l="1"/>
  <c r="H179" i="1"/>
  <c r="G180" i="1" l="1"/>
  <c r="H180" i="1"/>
  <c r="G181" i="1" l="1"/>
  <c r="H181" i="1"/>
  <c r="G182" i="1" l="1"/>
  <c r="H182" i="1"/>
  <c r="G183" i="1" l="1"/>
  <c r="H183" i="1"/>
  <c r="G184" i="1" l="1"/>
  <c r="H184" i="1"/>
  <c r="G185" i="1" l="1"/>
  <c r="H185" i="1"/>
  <c r="G186" i="1" l="1"/>
  <c r="H186" i="1"/>
  <c r="G187" i="1" l="1"/>
  <c r="H187" i="1"/>
  <c r="G188" i="1" l="1"/>
  <c r="H188" i="1"/>
  <c r="G189" i="1" l="1"/>
  <c r="H189" i="1"/>
  <c r="G190" i="1" l="1"/>
  <c r="H190" i="1"/>
  <c r="G191" i="1" l="1"/>
  <c r="H191" i="1"/>
  <c r="G192" i="1" l="1"/>
  <c r="H192" i="1"/>
  <c r="G193" i="1" l="1"/>
  <c r="H193" i="1"/>
  <c r="G194" i="1" l="1"/>
  <c r="H194" i="1"/>
  <c r="G195" i="1" l="1"/>
  <c r="H195" i="1"/>
  <c r="G196" i="1" l="1"/>
  <c r="H196" i="1"/>
  <c r="G197" i="1" l="1"/>
  <c r="H197" i="1"/>
  <c r="G198" i="1" l="1"/>
  <c r="H198" i="1"/>
  <c r="G199" i="1" l="1"/>
  <c r="H199" i="1"/>
  <c r="G200" i="1" l="1"/>
  <c r="H200" i="1"/>
  <c r="G201" i="1" l="1"/>
  <c r="H201" i="1"/>
  <c r="G202" i="1" l="1"/>
  <c r="H202" i="1"/>
  <c r="G203" i="1" l="1"/>
  <c r="H203" i="1"/>
  <c r="G204" i="1" l="1"/>
  <c r="H204" i="1"/>
  <c r="G205" i="1" l="1"/>
  <c r="H205" i="1"/>
  <c r="G206" i="1" l="1"/>
  <c r="H206" i="1"/>
  <c r="G207" i="1" l="1"/>
  <c r="H207" i="1"/>
  <c r="G208" i="1" l="1"/>
  <c r="H208" i="1"/>
  <c r="G209" i="1" l="1"/>
  <c r="H209" i="1"/>
  <c r="G210" i="1" l="1"/>
  <c r="H210" i="1"/>
  <c r="G211" i="1" l="1"/>
  <c r="H211" i="1"/>
  <c r="G212" i="1" l="1"/>
  <c r="H212" i="1"/>
  <c r="G213" i="1" l="1"/>
  <c r="H213" i="1"/>
  <c r="G214" i="1" l="1"/>
  <c r="H214" i="1"/>
  <c r="G215" i="1" l="1"/>
  <c r="H215" i="1"/>
  <c r="G216" i="1" l="1"/>
  <c r="H216" i="1"/>
  <c r="G217" i="1" l="1"/>
  <c r="H217" i="1"/>
  <c r="G218" i="1" l="1"/>
  <c r="H218" i="1"/>
  <c r="G219" i="1" l="1"/>
  <c r="H219" i="1"/>
  <c r="G220" i="1" l="1"/>
  <c r="H220" i="1"/>
  <c r="G221" i="1" l="1"/>
  <c r="H221" i="1"/>
  <c r="G222" i="1" l="1"/>
  <c r="H222" i="1"/>
  <c r="G223" i="1" l="1"/>
  <c r="H223" i="1"/>
  <c r="G224" i="1" l="1"/>
  <c r="H224" i="1"/>
  <c r="G225" i="1" l="1"/>
  <c r="H225" i="1"/>
  <c r="G226" i="1" l="1"/>
  <c r="H226" i="1"/>
  <c r="G227" i="1" l="1"/>
  <c r="H227" i="1"/>
  <c r="G228" i="1" l="1"/>
  <c r="H228" i="1"/>
  <c r="G229" i="1" l="1"/>
  <c r="H229" i="1"/>
  <c r="G230" i="1" l="1"/>
  <c r="H230" i="1"/>
  <c r="G231" i="1" l="1"/>
  <c r="H231" i="1"/>
  <c r="G232" i="1" l="1"/>
  <c r="H232" i="1"/>
  <c r="G233" i="1" l="1"/>
  <c r="H233" i="1"/>
  <c r="G234" i="1" l="1"/>
  <c r="H234" i="1"/>
  <c r="G235" i="1" l="1"/>
  <c r="H235" i="1"/>
  <c r="G236" i="1" l="1"/>
  <c r="H236" i="1"/>
  <c r="G237" i="1" l="1"/>
  <c r="H237" i="1"/>
  <c r="G238" i="1" l="1"/>
  <c r="H238" i="1"/>
  <c r="G239" i="1" l="1"/>
  <c r="H239" i="1"/>
  <c r="G240" i="1" l="1"/>
  <c r="H240" i="1"/>
  <c r="G241" i="1" l="1"/>
  <c r="H241" i="1"/>
  <c r="G242" i="1" l="1"/>
  <c r="H242" i="1"/>
  <c r="G243" i="1" l="1"/>
  <c r="H243" i="1"/>
  <c r="G244" i="1" l="1"/>
  <c r="H244" i="1"/>
  <c r="G245" i="1" l="1"/>
  <c r="H245" i="1"/>
  <c r="G246" i="1" l="1"/>
  <c r="H246" i="1"/>
  <c r="G247" i="1" l="1"/>
  <c r="H247" i="1"/>
  <c r="G248" i="1" l="1"/>
  <c r="H248" i="1"/>
  <c r="G249" i="1" l="1"/>
  <c r="H249" i="1"/>
  <c r="G250" i="1" l="1"/>
  <c r="H250" i="1"/>
  <c r="G251" i="1" l="1"/>
  <c r="H251" i="1"/>
  <c r="G252" i="1" l="1"/>
  <c r="H252" i="1"/>
  <c r="G253" i="1" l="1"/>
  <c r="H253" i="1"/>
  <c r="G254" i="1" l="1"/>
  <c r="H254" i="1"/>
  <c r="G255" i="1" l="1"/>
  <c r="H255" i="1"/>
  <c r="G256" i="1" l="1"/>
  <c r="H256" i="1"/>
  <c r="G257" i="1" l="1"/>
  <c r="H257" i="1"/>
  <c r="G258" i="1" l="1"/>
  <c r="H258" i="1"/>
  <c r="G259" i="1" l="1"/>
  <c r="H259" i="1"/>
  <c r="G260" i="1" l="1"/>
  <c r="H260" i="1"/>
  <c r="G261" i="1" l="1"/>
  <c r="H261" i="1"/>
  <c r="G262" i="1" l="1"/>
  <c r="H262" i="1"/>
  <c r="G263" i="1" l="1"/>
  <c r="H263" i="1"/>
  <c r="G264" i="1" l="1"/>
  <c r="H264" i="1"/>
  <c r="G265" i="1" l="1"/>
  <c r="H265" i="1"/>
  <c r="G266" i="1" l="1"/>
  <c r="H266" i="1"/>
  <c r="G267" i="1" l="1"/>
  <c r="H267" i="1"/>
  <c r="G268" i="1" l="1"/>
  <c r="H268" i="1"/>
  <c r="H269" i="1"/>
  <c r="G269" i="1" l="1"/>
  <c r="G270" i="1" l="1"/>
  <c r="H270" i="1"/>
  <c r="G271" i="1" l="1"/>
  <c r="H271" i="1"/>
  <c r="G272" i="1" l="1"/>
  <c r="H272" i="1"/>
  <c r="G273" i="1" l="1"/>
  <c r="H273" i="1"/>
  <c r="H275" i="1" l="1"/>
  <c r="G274" i="1"/>
  <c r="H274" i="1"/>
  <c r="G275" i="1" l="1"/>
  <c r="G276" i="1" l="1"/>
  <c r="H276" i="1"/>
  <c r="G277" i="1" l="1"/>
  <c r="H277" i="1"/>
  <c r="G278" i="1" l="1"/>
  <c r="H278" i="1"/>
  <c r="G279" i="1" l="1"/>
  <c r="H279" i="1"/>
  <c r="G280" i="1" l="1"/>
  <c r="H280" i="1"/>
  <c r="G281" i="1" l="1"/>
  <c r="H281" i="1"/>
  <c r="G282" i="1" l="1"/>
  <c r="H282" i="1"/>
  <c r="G283" i="1" l="1"/>
  <c r="H283" i="1"/>
  <c r="G284" i="1" l="1"/>
  <c r="H284" i="1"/>
  <c r="G285" i="1" l="1"/>
  <c r="H285" i="1"/>
  <c r="G286" i="1" l="1"/>
  <c r="H286" i="1"/>
  <c r="G287" i="1" l="1"/>
  <c r="H287" i="1"/>
  <c r="G288" i="1" l="1"/>
  <c r="H288" i="1"/>
  <c r="G289" i="1" l="1"/>
  <c r="H289" i="1"/>
  <c r="G290" i="1" l="1"/>
  <c r="H290" i="1"/>
  <c r="G291" i="1" l="1"/>
  <c r="H291" i="1"/>
  <c r="G292" i="1" l="1"/>
  <c r="H292" i="1"/>
  <c r="G293" i="1" l="1"/>
  <c r="H293" i="1"/>
  <c r="G294" i="1" l="1"/>
  <c r="H294" i="1"/>
  <c r="G295" i="1" l="1"/>
  <c r="H295" i="1"/>
  <c r="G296" i="1" l="1"/>
  <c r="H296" i="1"/>
  <c r="G297" i="1" l="1"/>
  <c r="H297" i="1"/>
  <c r="G298" i="1" l="1"/>
  <c r="H298" i="1"/>
  <c r="G299" i="1" l="1"/>
  <c r="H299" i="1"/>
  <c r="G300" i="1" l="1"/>
  <c r="H300" i="1"/>
  <c r="G301" i="1" l="1"/>
  <c r="H301" i="1"/>
  <c r="G302" i="1" l="1"/>
  <c r="H302" i="1"/>
  <c r="G303" i="1" l="1"/>
  <c r="H303" i="1"/>
  <c r="G304" i="1" l="1"/>
  <c r="H304" i="1"/>
  <c r="G305" i="1" l="1"/>
  <c r="H305" i="1"/>
  <c r="H307" i="1" l="1"/>
  <c r="H306" i="1"/>
  <c r="G306" i="1"/>
  <c r="G307" i="1" l="1"/>
  <c r="G308" i="1" l="1"/>
  <c r="H308" i="1"/>
  <c r="H310" i="1" l="1"/>
  <c r="H309" i="1"/>
  <c r="G309" i="1"/>
  <c r="G310" i="1" l="1"/>
  <c r="G311" i="1" l="1"/>
  <c r="H311" i="1"/>
  <c r="G312" i="1" l="1"/>
  <c r="H312" i="1"/>
  <c r="G313" i="1" l="1"/>
  <c r="H313" i="1"/>
  <c r="G314" i="1" l="1"/>
  <c r="H314" i="1"/>
  <c r="G315" i="1" l="1"/>
  <c r="H315" i="1"/>
  <c r="G316" i="1" l="1"/>
  <c r="H316" i="1"/>
  <c r="G317" i="1" l="1"/>
  <c r="H317" i="1"/>
  <c r="G318" i="1" l="1"/>
  <c r="H318" i="1"/>
  <c r="G319" i="1" l="1"/>
  <c r="H319" i="1"/>
  <c r="G320" i="1" l="1"/>
  <c r="H320" i="1"/>
  <c r="G321" i="1" l="1"/>
  <c r="H321" i="1"/>
  <c r="G322" i="1" l="1"/>
  <c r="H322" i="1"/>
  <c r="G323" i="1" l="1"/>
  <c r="H323" i="1"/>
  <c r="G324" i="1" l="1"/>
  <c r="H324" i="1"/>
  <c r="G325" i="1" l="1"/>
  <c r="H325" i="1"/>
  <c r="G326" i="1" l="1"/>
  <c r="H326" i="1"/>
  <c r="G327" i="1" l="1"/>
  <c r="H327" i="1"/>
  <c r="G328" i="1" l="1"/>
  <c r="H328" i="1"/>
  <c r="G329" i="1" l="1"/>
  <c r="H329" i="1"/>
  <c r="H331" i="1" l="1"/>
  <c r="H330" i="1"/>
  <c r="G330" i="1"/>
  <c r="G331" i="1" l="1"/>
  <c r="G332" i="1" l="1"/>
  <c r="H332" i="1"/>
  <c r="G333" i="1" l="1"/>
  <c r="H333" i="1"/>
  <c r="G334" i="1" l="1"/>
  <c r="H334" i="1"/>
  <c r="G335" i="1" l="1"/>
  <c r="H335" i="1"/>
  <c r="G336" i="1" l="1"/>
  <c r="H336" i="1"/>
  <c r="G337" i="1" l="1"/>
  <c r="H337" i="1"/>
  <c r="G338" i="1" l="1"/>
  <c r="H338" i="1"/>
  <c r="G339" i="1" l="1"/>
  <c r="H339" i="1"/>
  <c r="G340" i="1" l="1"/>
  <c r="H340" i="1"/>
  <c r="G341" i="1" l="1"/>
  <c r="H341" i="1"/>
  <c r="G342" i="1" l="1"/>
  <c r="H342" i="1"/>
  <c r="G343" i="1" l="1"/>
  <c r="H343" i="1"/>
  <c r="G344" i="1" l="1"/>
  <c r="H344" i="1"/>
  <c r="G345" i="1" l="1"/>
  <c r="H345" i="1"/>
  <c r="G346" i="1" l="1"/>
  <c r="H346" i="1"/>
  <c r="G347" i="1" l="1"/>
  <c r="H347" i="1"/>
  <c r="G348" i="1" l="1"/>
  <c r="H348" i="1"/>
  <c r="G349" i="1" l="1"/>
  <c r="H349" i="1"/>
  <c r="G350" i="1" l="1"/>
  <c r="H350" i="1"/>
  <c r="G351" i="1" l="1"/>
  <c r="H351" i="1"/>
  <c r="G352" i="1" l="1"/>
  <c r="H352" i="1"/>
  <c r="G353" i="1" l="1"/>
  <c r="H353" i="1"/>
  <c r="G354" i="1" l="1"/>
  <c r="H354" i="1"/>
  <c r="G355" i="1" l="1"/>
  <c r="H355" i="1"/>
  <c r="G356" i="1" l="1"/>
  <c r="H356" i="1"/>
  <c r="G357" i="1" l="1"/>
  <c r="H357" i="1"/>
  <c r="G358" i="1" l="1"/>
  <c r="H358" i="1"/>
  <c r="G359" i="1" l="1"/>
  <c r="H359" i="1"/>
  <c r="G360" i="1" l="1"/>
  <c r="H360" i="1"/>
  <c r="G361" i="1" l="1"/>
  <c r="H361" i="1"/>
  <c r="G362" i="1" l="1"/>
  <c r="H362" i="1"/>
  <c r="G363" i="1" l="1"/>
  <c r="H363" i="1"/>
  <c r="G364" i="1" l="1"/>
  <c r="H364" i="1"/>
  <c r="G365" i="1" l="1"/>
  <c r="H365" i="1"/>
  <c r="G366" i="1" l="1"/>
  <c r="H366" i="1"/>
  <c r="G367" i="1" l="1"/>
  <c r="H367" i="1"/>
  <c r="G368" i="1" l="1"/>
  <c r="H368" i="1"/>
  <c r="G369" i="1" l="1"/>
  <c r="H369" i="1"/>
  <c r="G370" i="1" l="1"/>
  <c r="H370" i="1"/>
  <c r="G371" i="1" l="1"/>
  <c r="H371" i="1"/>
  <c r="G372" i="1" l="1"/>
  <c r="H372" i="1"/>
  <c r="G373" i="1" l="1"/>
  <c r="H373" i="1"/>
  <c r="G374" i="1" l="1"/>
  <c r="H374" i="1"/>
  <c r="G375" i="1" l="1"/>
  <c r="H375" i="1"/>
  <c r="G376" i="1" l="1"/>
  <c r="H376" i="1"/>
  <c r="G377" i="1" l="1"/>
  <c r="H377" i="1"/>
  <c r="G378" i="1" l="1"/>
  <c r="H378" i="1"/>
  <c r="G379" i="1" l="1"/>
  <c r="H379" i="1"/>
  <c r="G380" i="1" l="1"/>
  <c r="H380" i="1"/>
  <c r="G381" i="1" l="1"/>
  <c r="H381" i="1"/>
  <c r="G382" i="1" l="1"/>
  <c r="H382" i="1"/>
  <c r="G383" i="1" l="1"/>
  <c r="H383" i="1"/>
  <c r="G384" i="1" l="1"/>
  <c r="H384" i="1"/>
  <c r="G385" i="1" l="1"/>
  <c r="H385" i="1"/>
  <c r="G386" i="1" l="1"/>
  <c r="H386" i="1"/>
  <c r="G387" i="1" l="1"/>
  <c r="H387" i="1"/>
  <c r="G388" i="1" l="1"/>
  <c r="H388" i="1"/>
  <c r="G389" i="1" l="1"/>
  <c r="H389" i="1"/>
  <c r="G390" i="1" l="1"/>
  <c r="H390" i="1"/>
  <c r="G391" i="1" l="1"/>
  <c r="H391" i="1"/>
  <c r="G392" i="1" l="1"/>
  <c r="H392" i="1"/>
  <c r="G393" i="1" l="1"/>
  <c r="H393" i="1"/>
  <c r="G394" i="1" l="1"/>
  <c r="H394" i="1"/>
  <c r="G395" i="1" l="1"/>
  <c r="H395" i="1"/>
  <c r="G396" i="1" l="1"/>
  <c r="H396" i="1"/>
  <c r="G397" i="1" l="1"/>
  <c r="H397" i="1"/>
  <c r="G398" i="1" l="1"/>
  <c r="H398" i="1"/>
  <c r="G399" i="1" l="1"/>
  <c r="H399" i="1"/>
  <c r="G400" i="1" l="1"/>
  <c r="H400" i="1"/>
  <c r="G401" i="1" l="1"/>
  <c r="H401" i="1"/>
  <c r="G402" i="1" l="1"/>
  <c r="H402" i="1"/>
  <c r="G403" i="1" l="1"/>
  <c r="H403" i="1"/>
  <c r="G404" i="1" l="1"/>
  <c r="H404" i="1"/>
  <c r="G405" i="1" l="1"/>
  <c r="H405" i="1"/>
  <c r="G406" i="1" l="1"/>
  <c r="H406" i="1"/>
  <c r="G407" i="1" l="1"/>
  <c r="H407" i="1"/>
  <c r="G408" i="1" l="1"/>
  <c r="H408" i="1"/>
  <c r="G409" i="1" l="1"/>
  <c r="H409" i="1"/>
  <c r="G410" i="1" l="1"/>
  <c r="H410" i="1"/>
  <c r="G411" i="1" l="1"/>
  <c r="H411" i="1"/>
  <c r="G412" i="1" l="1"/>
  <c r="H412" i="1"/>
  <c r="G413" i="1" l="1"/>
  <c r="H413" i="1"/>
  <c r="G414" i="1" l="1"/>
  <c r="H414" i="1"/>
  <c r="G415" i="1" l="1"/>
  <c r="H415" i="1"/>
  <c r="G416" i="1" l="1"/>
  <c r="H416" i="1"/>
  <c r="G417" i="1" l="1"/>
  <c r="H417" i="1"/>
  <c r="G418" i="1" l="1"/>
  <c r="H418" i="1"/>
  <c r="G419" i="1" l="1"/>
  <c r="H419" i="1"/>
  <c r="G420" i="1" l="1"/>
  <c r="H420" i="1"/>
  <c r="G421" i="1" l="1"/>
  <c r="H421" i="1"/>
  <c r="G422" i="1" l="1"/>
  <c r="H422" i="1"/>
  <c r="G423" i="1" l="1"/>
  <c r="H423" i="1"/>
  <c r="G424" i="1" l="1"/>
  <c r="H424" i="1"/>
  <c r="G425" i="1" l="1"/>
  <c r="H425" i="1"/>
  <c r="G426" i="1" l="1"/>
  <c r="H426" i="1"/>
  <c r="G427" i="1" l="1"/>
  <c r="H427" i="1"/>
  <c r="G428" i="1" l="1"/>
  <c r="H428" i="1"/>
  <c r="G429" i="1" l="1"/>
  <c r="H429" i="1"/>
  <c r="G430" i="1" l="1"/>
  <c r="H430" i="1"/>
  <c r="G431" i="1" l="1"/>
  <c r="H431" i="1"/>
  <c r="G432" i="1" l="1"/>
  <c r="H432" i="1"/>
  <c r="G433" i="1" l="1"/>
  <c r="H433" i="1"/>
  <c r="G434" i="1" l="1"/>
  <c r="H434" i="1"/>
  <c r="G435" i="1" l="1"/>
  <c r="H435" i="1"/>
  <c r="G436" i="1" l="1"/>
  <c r="H436" i="1"/>
  <c r="G437" i="1" l="1"/>
  <c r="H437" i="1"/>
  <c r="G438" i="1" l="1"/>
  <c r="H438" i="1"/>
  <c r="G439" i="1" l="1"/>
  <c r="H439" i="1"/>
  <c r="G440" i="1" l="1"/>
  <c r="H440" i="1"/>
  <c r="G441" i="1" l="1"/>
  <c r="H441" i="1"/>
  <c r="G442" i="1" l="1"/>
  <c r="H442" i="1"/>
  <c r="G443" i="1" l="1"/>
  <c r="H443" i="1"/>
  <c r="G444" i="1" l="1"/>
  <c r="H444" i="1"/>
  <c r="G445" i="1" l="1"/>
  <c r="H445" i="1"/>
  <c r="G446" i="1" l="1"/>
  <c r="H446" i="1"/>
  <c r="G447" i="1" l="1"/>
  <c r="H447" i="1"/>
  <c r="G448" i="1" l="1"/>
  <c r="H448" i="1"/>
  <c r="G449" i="1" l="1"/>
  <c r="H449" i="1"/>
  <c r="G450" i="1" l="1"/>
  <c r="H450" i="1"/>
  <c r="G451" i="1" l="1"/>
  <c r="H451" i="1"/>
  <c r="G452" i="1" l="1"/>
  <c r="H452" i="1"/>
  <c r="G453" i="1" l="1"/>
  <c r="H453" i="1"/>
  <c r="G454" i="1" l="1"/>
  <c r="H454" i="1"/>
  <c r="G455" i="1" l="1"/>
  <c r="H455" i="1"/>
  <c r="G456" i="1" l="1"/>
  <c r="H456" i="1"/>
  <c r="G457" i="1" l="1"/>
  <c r="H457" i="1"/>
  <c r="G458" i="1" l="1"/>
  <c r="H458" i="1"/>
  <c r="G459" i="1" l="1"/>
  <c r="H459" i="1"/>
  <c r="G460" i="1" l="1"/>
  <c r="H460" i="1"/>
  <c r="G461" i="1" l="1"/>
  <c r="H461" i="1"/>
  <c r="G462" i="1" l="1"/>
  <c r="H462" i="1"/>
  <c r="G463" i="1" l="1"/>
  <c r="H463" i="1"/>
  <c r="G464" i="1" l="1"/>
  <c r="H464" i="1"/>
  <c r="G465" i="1" l="1"/>
  <c r="H465" i="1"/>
  <c r="G466" i="1" l="1"/>
  <c r="H466" i="1"/>
  <c r="G467" i="1" l="1"/>
  <c r="H467" i="1"/>
  <c r="G468" i="1" l="1"/>
  <c r="H468" i="1"/>
  <c r="G469" i="1" l="1"/>
  <c r="H469" i="1"/>
  <c r="G470" i="1" l="1"/>
  <c r="H470" i="1"/>
  <c r="G471" i="1" l="1"/>
  <c r="H471" i="1"/>
  <c r="G472" i="1" l="1"/>
  <c r="H472" i="1"/>
  <c r="G473" i="1" l="1"/>
  <c r="H473" i="1"/>
  <c r="G474" i="1" l="1"/>
  <c r="H474" i="1"/>
  <c r="G475" i="1" l="1"/>
  <c r="H475" i="1"/>
  <c r="G476" i="1" l="1"/>
  <c r="H476" i="1"/>
  <c r="G477" i="1" l="1"/>
  <c r="H477" i="1"/>
  <c r="G478" i="1" l="1"/>
  <c r="H478" i="1"/>
  <c r="G479" i="1" l="1"/>
  <c r="H479" i="1"/>
  <c r="G480" i="1" l="1"/>
  <c r="H480" i="1"/>
  <c r="G481" i="1" l="1"/>
  <c r="H481" i="1"/>
  <c r="G482" i="1" l="1"/>
  <c r="H482" i="1"/>
  <c r="G483" i="1" l="1"/>
  <c r="H483" i="1"/>
  <c r="G484" i="1" l="1"/>
  <c r="H484" i="1"/>
  <c r="G485" i="1" l="1"/>
  <c r="H485" i="1"/>
  <c r="G486" i="1" l="1"/>
  <c r="H486" i="1"/>
  <c r="G487" i="1" l="1"/>
  <c r="H487" i="1"/>
  <c r="G488" i="1" l="1"/>
  <c r="H488" i="1"/>
  <c r="G489" i="1" l="1"/>
  <c r="H489" i="1"/>
  <c r="G490" i="1" l="1"/>
  <c r="H490" i="1"/>
  <c r="G491" i="1" l="1"/>
  <c r="H491" i="1"/>
  <c r="G492" i="1" l="1"/>
  <c r="H492" i="1"/>
  <c r="G493" i="1" l="1"/>
  <c r="H493" i="1"/>
  <c r="G494" i="1" l="1"/>
  <c r="H494" i="1"/>
  <c r="G495" i="1" l="1"/>
  <c r="H495" i="1"/>
  <c r="G496" i="1" l="1"/>
  <c r="H496" i="1"/>
  <c r="G497" i="1" l="1"/>
  <c r="H497" i="1"/>
  <c r="G498" i="1" l="1"/>
  <c r="H498" i="1"/>
  <c r="G499" i="1" l="1"/>
  <c r="H499" i="1"/>
  <c r="G500" i="1" l="1"/>
  <c r="H500" i="1"/>
  <c r="G501" i="1" l="1"/>
  <c r="H501" i="1"/>
  <c r="G502" i="1" l="1"/>
  <c r="H502" i="1"/>
  <c r="G503" i="1" l="1"/>
  <c r="H503" i="1"/>
  <c r="G504" i="1" l="1"/>
  <c r="H504" i="1"/>
  <c r="G505" i="1" l="1"/>
  <c r="H505" i="1"/>
  <c r="G506" i="1" l="1"/>
  <c r="H506" i="1"/>
  <c r="G507" i="1" l="1"/>
  <c r="H507" i="1"/>
  <c r="G508" i="1" l="1"/>
  <c r="H508" i="1"/>
  <c r="G509" i="1" l="1"/>
  <c r="H509" i="1"/>
  <c r="G510" i="1" l="1"/>
  <c r="H510" i="1"/>
  <c r="G511" i="1" l="1"/>
  <c r="H511" i="1"/>
  <c r="G512" i="1" l="1"/>
  <c r="H512" i="1"/>
  <c r="G513" i="1" l="1"/>
  <c r="H513" i="1"/>
  <c r="G514" i="1" l="1"/>
  <c r="H514" i="1"/>
  <c r="G515" i="1" l="1"/>
  <c r="H515" i="1"/>
  <c r="G516" i="1" l="1"/>
  <c r="H516" i="1"/>
  <c r="G517" i="1" l="1"/>
  <c r="H517" i="1"/>
  <c r="G518" i="1" l="1"/>
  <c r="H518" i="1"/>
  <c r="G519" i="1" l="1"/>
  <c r="H519" i="1"/>
  <c r="G520" i="1" l="1"/>
  <c r="H520" i="1"/>
  <c r="G521" i="1" l="1"/>
  <c r="H521" i="1"/>
  <c r="G522" i="1" l="1"/>
  <c r="H522" i="1"/>
  <c r="G523" i="1" l="1"/>
  <c r="H523" i="1"/>
  <c r="G524" i="1" l="1"/>
  <c r="H524" i="1"/>
  <c r="G525" i="1" l="1"/>
  <c r="H525" i="1"/>
  <c r="G526" i="1" l="1"/>
  <c r="H526" i="1"/>
  <c r="G527" i="1" l="1"/>
  <c r="H527" i="1"/>
  <c r="G528" i="1" l="1"/>
  <c r="H528" i="1"/>
  <c r="G529" i="1" l="1"/>
  <c r="H529" i="1"/>
  <c r="G530" i="1" l="1"/>
  <c r="H530" i="1"/>
  <c r="G531" i="1" l="1"/>
  <c r="H531" i="1"/>
  <c r="G532" i="1" l="1"/>
  <c r="H532" i="1"/>
  <c r="G533" i="1" l="1"/>
  <c r="H533" i="1"/>
  <c r="G534" i="1" l="1"/>
  <c r="H534" i="1"/>
  <c r="G535" i="1" l="1"/>
  <c r="H535" i="1"/>
  <c r="G536" i="1" l="1"/>
  <c r="H536" i="1"/>
  <c r="G537" i="1" l="1"/>
  <c r="H537" i="1"/>
  <c r="G538" i="1" l="1"/>
  <c r="H538" i="1"/>
  <c r="G539" i="1" l="1"/>
  <c r="H539" i="1"/>
  <c r="G540" i="1" l="1"/>
  <c r="H540" i="1"/>
  <c r="G541" i="1" l="1"/>
  <c r="H541" i="1"/>
  <c r="G542" i="1" l="1"/>
  <c r="H542" i="1"/>
  <c r="G543" i="1" l="1"/>
  <c r="H543" i="1"/>
  <c r="G544" i="1" l="1"/>
  <c r="H544" i="1"/>
  <c r="G545" i="1" l="1"/>
  <c r="H545" i="1"/>
  <c r="G546" i="1" l="1"/>
  <c r="H546" i="1"/>
  <c r="G547" i="1" l="1"/>
  <c r="H547" i="1"/>
  <c r="G548" i="1" l="1"/>
  <c r="H548" i="1"/>
  <c r="G549" i="1" l="1"/>
  <c r="H549" i="1"/>
  <c r="G550" i="1" l="1"/>
  <c r="H550" i="1"/>
  <c r="G551" i="1" l="1"/>
  <c r="H551" i="1"/>
  <c r="G552" i="1" l="1"/>
  <c r="H552" i="1"/>
  <c r="G553" i="1" l="1"/>
  <c r="H553" i="1"/>
  <c r="G554" i="1" l="1"/>
  <c r="H554" i="1"/>
  <c r="G555" i="1" l="1"/>
  <c r="H555" i="1"/>
  <c r="G556" i="1" l="1"/>
  <c r="H556" i="1"/>
  <c r="G557" i="1" l="1"/>
  <c r="H557" i="1"/>
  <c r="G558" i="1" l="1"/>
  <c r="H558" i="1"/>
  <c r="G559" i="1" l="1"/>
  <c r="H559" i="1"/>
  <c r="G560" i="1" l="1"/>
  <c r="H560" i="1"/>
  <c r="G561" i="1" l="1"/>
  <c r="H561" i="1"/>
  <c r="G562" i="1" l="1"/>
  <c r="H562" i="1"/>
  <c r="G563" i="1" l="1"/>
  <c r="H563" i="1"/>
  <c r="G564" i="1" l="1"/>
  <c r="H564" i="1"/>
  <c r="G565" i="1" l="1"/>
  <c r="H565" i="1"/>
  <c r="G566" i="1" l="1"/>
  <c r="H566" i="1"/>
  <c r="G567" i="1" l="1"/>
  <c r="H567" i="1"/>
  <c r="G568" i="1" l="1"/>
  <c r="H568" i="1"/>
  <c r="G569" i="1" l="1"/>
  <c r="H569" i="1"/>
  <c r="G570" i="1" l="1"/>
  <c r="H570" i="1"/>
  <c r="G571" i="1" l="1"/>
  <c r="H571" i="1"/>
  <c r="G572" i="1" l="1"/>
  <c r="H572" i="1"/>
  <c r="G573" i="1" l="1"/>
  <c r="H573" i="1"/>
  <c r="G574" i="1" l="1"/>
  <c r="H574" i="1"/>
  <c r="G575" i="1" l="1"/>
  <c r="H575" i="1"/>
  <c r="G576" i="1" l="1"/>
  <c r="H576" i="1"/>
  <c r="G577" i="1" l="1"/>
  <c r="H577" i="1"/>
  <c r="G578" i="1" l="1"/>
  <c r="H578" i="1"/>
  <c r="G579" i="1" l="1"/>
  <c r="H579" i="1"/>
  <c r="G580" i="1" l="1"/>
  <c r="H580" i="1"/>
  <c r="G581" i="1" l="1"/>
  <c r="H581" i="1"/>
  <c r="G582" i="1" l="1"/>
  <c r="H582" i="1"/>
  <c r="G583" i="1" l="1"/>
  <c r="H583" i="1"/>
  <c r="G584" i="1" l="1"/>
  <c r="H584" i="1"/>
  <c r="G585" i="1" l="1"/>
  <c r="H585" i="1"/>
  <c r="G586" i="1" l="1"/>
  <c r="H586" i="1"/>
  <c r="G587" i="1" l="1"/>
  <c r="H587" i="1"/>
  <c r="G588" i="1" l="1"/>
  <c r="H588" i="1"/>
  <c r="G589" i="1" l="1"/>
  <c r="H589" i="1"/>
  <c r="G590" i="1" l="1"/>
  <c r="H590" i="1"/>
  <c r="G591" i="1" l="1"/>
  <c r="H591" i="1"/>
  <c r="G592" i="1" l="1"/>
  <c r="H592" i="1"/>
  <c r="G593" i="1" l="1"/>
  <c r="H593" i="1"/>
  <c r="G594" i="1" l="1"/>
  <c r="H594" i="1"/>
  <c r="G595" i="1" l="1"/>
  <c r="H595" i="1"/>
  <c r="G596" i="1" l="1"/>
  <c r="H596" i="1"/>
  <c r="G597" i="1" l="1"/>
  <c r="H597" i="1"/>
  <c r="G598" i="1" l="1"/>
  <c r="H598" i="1"/>
  <c r="G599" i="1" l="1"/>
  <c r="H599" i="1"/>
  <c r="G600" i="1" l="1"/>
  <c r="H600" i="1"/>
  <c r="G601" i="1" l="1"/>
  <c r="H601" i="1"/>
  <c r="G602" i="1" l="1"/>
  <c r="H602" i="1"/>
  <c r="G603" i="1" l="1"/>
  <c r="H603" i="1"/>
  <c r="G604" i="1" l="1"/>
  <c r="H604" i="1"/>
  <c r="G605" i="1" l="1"/>
  <c r="H605" i="1"/>
  <c r="G606" i="1" l="1"/>
  <c r="H606" i="1"/>
  <c r="G607" i="1" l="1"/>
  <c r="H607" i="1"/>
  <c r="G608" i="1" l="1"/>
  <c r="H608" i="1"/>
  <c r="G609" i="1" l="1"/>
  <c r="H609" i="1"/>
  <c r="G610" i="1" l="1"/>
  <c r="H610" i="1"/>
  <c r="G611" i="1" l="1"/>
  <c r="H611" i="1"/>
  <c r="G612" i="1" l="1"/>
  <c r="H612" i="1"/>
  <c r="G613" i="1" l="1"/>
  <c r="H613" i="1"/>
  <c r="G614" i="1" l="1"/>
  <c r="H614" i="1"/>
  <c r="G615" i="1" l="1"/>
  <c r="H615" i="1"/>
  <c r="G616" i="1" l="1"/>
  <c r="H616" i="1"/>
  <c r="G617" i="1" l="1"/>
  <c r="H617" i="1"/>
  <c r="G618" i="1" l="1"/>
  <c r="H618" i="1"/>
  <c r="G619" i="1" l="1"/>
  <c r="H619" i="1"/>
  <c r="G620" i="1" l="1"/>
  <c r="H620" i="1"/>
  <c r="G621" i="1" l="1"/>
  <c r="H621" i="1"/>
  <c r="G622" i="1" l="1"/>
  <c r="H622" i="1"/>
  <c r="G623" i="1" l="1"/>
  <c r="H623" i="1"/>
  <c r="G624" i="1" l="1"/>
  <c r="H624" i="1"/>
  <c r="G625" i="1" l="1"/>
  <c r="H625" i="1"/>
  <c r="G626" i="1" l="1"/>
  <c r="H626" i="1"/>
  <c r="G627" i="1" l="1"/>
  <c r="H627" i="1"/>
  <c r="G628" i="1" l="1"/>
  <c r="H628" i="1"/>
  <c r="G629" i="1" l="1"/>
  <c r="H629" i="1"/>
  <c r="G630" i="1" l="1"/>
  <c r="H630" i="1"/>
  <c r="G631" i="1" l="1"/>
  <c r="H631" i="1"/>
  <c r="G632" i="1" l="1"/>
  <c r="H632" i="1"/>
  <c r="G633" i="1" l="1"/>
  <c r="H633" i="1"/>
  <c r="G634" i="1" l="1"/>
  <c r="H634" i="1"/>
  <c r="G635" i="1" l="1"/>
  <c r="H635" i="1"/>
  <c r="G636" i="1" l="1"/>
  <c r="H636" i="1"/>
  <c r="G637" i="1" l="1"/>
  <c r="H637" i="1"/>
  <c r="G638" i="1" l="1"/>
  <c r="H638" i="1"/>
  <c r="G639" i="1" l="1"/>
  <c r="H639" i="1"/>
  <c r="G640" i="1" l="1"/>
  <c r="H640" i="1"/>
  <c r="G641" i="1" l="1"/>
  <c r="H641" i="1"/>
  <c r="H642" i="1"/>
  <c r="G642" i="1" l="1"/>
  <c r="G643" i="1" l="1"/>
  <c r="H643" i="1"/>
  <c r="G644" i="1" l="1"/>
  <c r="H644" i="1"/>
  <c r="G645" i="1" l="1"/>
  <c r="H645" i="1"/>
  <c r="G646" i="1" l="1"/>
  <c r="H646" i="1"/>
  <c r="G647" i="1" l="1"/>
  <c r="H647" i="1"/>
  <c r="G648" i="1" l="1"/>
  <c r="H648" i="1"/>
  <c r="G649" i="1" l="1"/>
  <c r="H649" i="1"/>
  <c r="G650" i="1" l="1"/>
  <c r="H650" i="1"/>
  <c r="G651" i="1" l="1"/>
  <c r="H651" i="1"/>
  <c r="G652" i="1" l="1"/>
  <c r="H652" i="1"/>
  <c r="G653" i="1" l="1"/>
  <c r="H653" i="1"/>
  <c r="G654" i="1" l="1"/>
  <c r="H654" i="1"/>
  <c r="G655" i="1" l="1"/>
  <c r="H655" i="1"/>
  <c r="G656" i="1" l="1"/>
  <c r="H656" i="1"/>
  <c r="G657" i="1" l="1"/>
  <c r="H657" i="1"/>
  <c r="G658" i="1" l="1"/>
  <c r="H658" i="1"/>
  <c r="G659" i="1" l="1"/>
  <c r="H659" i="1"/>
  <c r="G660" i="1" l="1"/>
  <c r="H660" i="1"/>
  <c r="G661" i="1" l="1"/>
  <c r="H661" i="1"/>
  <c r="G662" i="1" l="1"/>
  <c r="H662" i="1"/>
  <c r="G663" i="1" l="1"/>
  <c r="H663" i="1"/>
  <c r="G664" i="1" l="1"/>
  <c r="H664" i="1"/>
  <c r="G665" i="1" l="1"/>
  <c r="H665" i="1"/>
  <c r="G666" i="1" l="1"/>
  <c r="H666" i="1"/>
  <c r="G667" i="1" l="1"/>
  <c r="H667" i="1"/>
  <c r="G668" i="1" l="1"/>
  <c r="H668" i="1"/>
  <c r="G669" i="1" l="1"/>
  <c r="H669" i="1"/>
  <c r="G670" i="1" l="1"/>
  <c r="H670" i="1"/>
  <c r="G671" i="1" l="1"/>
  <c r="H671" i="1"/>
  <c r="G672" i="1" l="1"/>
  <c r="H672" i="1"/>
  <c r="G673" i="1" l="1"/>
  <c r="H673" i="1"/>
  <c r="G674" i="1" l="1"/>
  <c r="H674" i="1"/>
  <c r="G675" i="1" l="1"/>
  <c r="H675" i="1"/>
  <c r="G676" i="1" l="1"/>
  <c r="H676" i="1"/>
  <c r="G677" i="1" l="1"/>
  <c r="H677" i="1"/>
  <c r="G678" i="1" l="1"/>
  <c r="H678" i="1"/>
  <c r="G679" i="1" l="1"/>
  <c r="H679" i="1"/>
  <c r="G680" i="1" l="1"/>
  <c r="H680" i="1"/>
  <c r="G681" i="1" l="1"/>
  <c r="H681" i="1"/>
  <c r="G682" i="1" l="1"/>
  <c r="H682" i="1"/>
  <c r="G683" i="1" l="1"/>
  <c r="H683" i="1"/>
  <c r="G684" i="1" l="1"/>
  <c r="H684" i="1"/>
  <c r="G685" i="1" l="1"/>
  <c r="H685" i="1"/>
  <c r="G686" i="1" l="1"/>
  <c r="H686" i="1"/>
  <c r="G687" i="1" l="1"/>
  <c r="H687" i="1"/>
  <c r="G688" i="1" l="1"/>
  <c r="H688" i="1"/>
  <c r="G689" i="1" l="1"/>
  <c r="H689" i="1"/>
  <c r="G690" i="1" l="1"/>
  <c r="H690" i="1"/>
  <c r="G691" i="1" l="1"/>
  <c r="H691" i="1"/>
  <c r="G692" i="1" l="1"/>
  <c r="H692" i="1"/>
  <c r="G693" i="1" l="1"/>
  <c r="H693" i="1"/>
  <c r="G694" i="1" l="1"/>
  <c r="H694" i="1"/>
  <c r="G695" i="1" l="1"/>
  <c r="H695" i="1"/>
  <c r="G696" i="1" l="1"/>
  <c r="H696" i="1"/>
  <c r="G697" i="1" l="1"/>
  <c r="H697" i="1"/>
  <c r="G698" i="1" l="1"/>
  <c r="H698" i="1"/>
  <c r="G699" i="1" l="1"/>
  <c r="H699" i="1"/>
  <c r="G700" i="1" l="1"/>
  <c r="H700" i="1"/>
  <c r="G701" i="1" l="1"/>
  <c r="H701" i="1"/>
  <c r="G702" i="1" l="1"/>
  <c r="H702" i="1"/>
  <c r="G703" i="1" l="1"/>
  <c r="H703" i="1"/>
  <c r="G704" i="1" l="1"/>
  <c r="H704" i="1"/>
  <c r="G705" i="1" l="1"/>
  <c r="H705" i="1"/>
  <c r="G706" i="1" l="1"/>
  <c r="H706" i="1"/>
  <c r="G707" i="1" l="1"/>
  <c r="H707" i="1"/>
  <c r="G708" i="1" l="1"/>
  <c r="H708" i="1"/>
  <c r="G709" i="1" l="1"/>
  <c r="H709" i="1"/>
  <c r="G710" i="1" l="1"/>
  <c r="H710" i="1"/>
  <c r="G711" i="1" l="1"/>
  <c r="H711" i="1"/>
  <c r="G712" i="1" l="1"/>
  <c r="H712" i="1"/>
  <c r="G713" i="1" l="1"/>
  <c r="H713" i="1"/>
  <c r="G714" i="1" l="1"/>
  <c r="H714" i="1"/>
  <c r="G715" i="1" l="1"/>
  <c r="H715" i="1"/>
  <c r="G716" i="1" l="1"/>
  <c r="H716" i="1"/>
  <c r="G717" i="1" l="1"/>
  <c r="H717" i="1"/>
  <c r="G718" i="1" l="1"/>
  <c r="H718" i="1"/>
  <c r="G719" i="1" l="1"/>
  <c r="H719" i="1"/>
  <c r="G720" i="1" l="1"/>
  <c r="H720" i="1"/>
  <c r="G721" i="1" l="1"/>
  <c r="H721" i="1"/>
  <c r="G722" i="1" l="1"/>
  <c r="H722" i="1"/>
  <c r="G723" i="1" l="1"/>
  <c r="H723" i="1"/>
  <c r="G724" i="1" l="1"/>
  <c r="H724" i="1"/>
  <c r="G725" i="1" l="1"/>
  <c r="H725" i="1"/>
  <c r="G726" i="1" l="1"/>
  <c r="H726" i="1"/>
  <c r="G727" i="1" l="1"/>
  <c r="H727" i="1"/>
  <c r="G728" i="1" l="1"/>
  <c r="H728" i="1"/>
  <c r="G729" i="1" l="1"/>
  <c r="H729" i="1"/>
  <c r="G730" i="1" l="1"/>
  <c r="H730" i="1"/>
  <c r="G731" i="1" l="1"/>
  <c r="H731" i="1"/>
  <c r="G732" i="1" l="1"/>
  <c r="H732" i="1"/>
  <c r="G733" i="1" l="1"/>
  <c r="H733" i="1"/>
  <c r="G734" i="1" l="1"/>
  <c r="H734" i="1"/>
  <c r="G735" i="1" l="1"/>
  <c r="H735" i="1"/>
  <c r="G736" i="1" l="1"/>
  <c r="H736" i="1"/>
  <c r="G737" i="1" l="1"/>
  <c r="H737" i="1"/>
  <c r="G738" i="1" l="1"/>
  <c r="H738" i="1"/>
  <c r="G739" i="1" l="1"/>
  <c r="H739" i="1"/>
  <c r="G740" i="1" l="1"/>
  <c r="H740" i="1"/>
  <c r="G741" i="1" l="1"/>
  <c r="H741" i="1"/>
  <c r="G742" i="1" l="1"/>
  <c r="H742" i="1"/>
  <c r="G743" i="1" l="1"/>
  <c r="H743" i="1"/>
  <c r="G744" i="1" l="1"/>
  <c r="H744" i="1"/>
  <c r="G745" i="1" l="1"/>
  <c r="H745" i="1"/>
  <c r="G746" i="1" l="1"/>
  <c r="H746" i="1"/>
  <c r="G747" i="1" l="1"/>
  <c r="H747" i="1"/>
  <c r="G748" i="1" l="1"/>
  <c r="H748" i="1"/>
  <c r="G749" i="1" l="1"/>
  <c r="H749" i="1"/>
  <c r="G750" i="1" l="1"/>
  <c r="H750" i="1"/>
  <c r="H752" i="1" l="1"/>
  <c r="G751" i="1"/>
  <c r="H751" i="1"/>
  <c r="G752" i="1" l="1"/>
  <c r="G753" i="1" l="1"/>
  <c r="H753" i="1"/>
  <c r="G754" i="1" l="1"/>
  <c r="H754" i="1"/>
  <c r="G755" i="1" l="1"/>
  <c r="H755" i="1"/>
  <c r="G756" i="1" l="1"/>
  <c r="H756" i="1"/>
  <c r="G757" i="1" l="1"/>
  <c r="H757" i="1"/>
  <c r="G758" i="1" l="1"/>
  <c r="H758" i="1"/>
  <c r="G759" i="1" l="1"/>
  <c r="H759" i="1"/>
  <c r="G760" i="1" l="1"/>
  <c r="H760" i="1"/>
  <c r="G761" i="1" l="1"/>
  <c r="H761" i="1"/>
  <c r="G762" i="1" l="1"/>
  <c r="H762" i="1"/>
  <c r="G763" i="1" l="1"/>
  <c r="H763" i="1"/>
  <c r="G764" i="1" l="1"/>
  <c r="H764" i="1"/>
  <c r="G765" i="1" l="1"/>
  <c r="H765" i="1"/>
  <c r="G766" i="1" l="1"/>
  <c r="H766" i="1"/>
  <c r="G767" i="1" l="1"/>
  <c r="H767" i="1"/>
  <c r="G768" i="1" l="1"/>
  <c r="H768" i="1"/>
  <c r="G769" i="1" l="1"/>
  <c r="H769" i="1"/>
  <c r="G770" i="1" l="1"/>
  <c r="H770" i="1"/>
  <c r="G771" i="1" l="1"/>
  <c r="H771" i="1"/>
  <c r="G772" i="1" l="1"/>
  <c r="H772" i="1"/>
  <c r="G773" i="1" l="1"/>
  <c r="H773" i="1"/>
  <c r="G774" i="1" l="1"/>
  <c r="H774" i="1"/>
  <c r="G775" i="1" l="1"/>
  <c r="H775" i="1"/>
  <c r="G776" i="1" l="1"/>
  <c r="H776" i="1"/>
  <c r="H778" i="1" l="1"/>
  <c r="G777" i="1"/>
  <c r="H777" i="1"/>
  <c r="G778" i="1" l="1"/>
  <c r="G779" i="1" l="1"/>
  <c r="H779" i="1"/>
  <c r="G780" i="1" l="1"/>
  <c r="H780" i="1"/>
  <c r="G781" i="1" l="1"/>
  <c r="H781" i="1"/>
  <c r="G782" i="1" l="1"/>
  <c r="H782" i="1"/>
  <c r="G783" i="1" l="1"/>
  <c r="H783" i="1"/>
  <c r="G784" i="1" l="1"/>
  <c r="H784" i="1"/>
  <c r="G785" i="1" l="1"/>
  <c r="H785" i="1"/>
  <c r="G786" i="1" l="1"/>
  <c r="H786" i="1"/>
  <c r="G787" i="1" l="1"/>
  <c r="H787" i="1"/>
  <c r="G788" i="1" l="1"/>
  <c r="H788" i="1"/>
  <c r="G789" i="1" l="1"/>
  <c r="H789" i="1"/>
  <c r="G790" i="1" l="1"/>
  <c r="H790" i="1"/>
  <c r="G791" i="1" l="1"/>
  <c r="H791" i="1"/>
  <c r="G792" i="1" l="1"/>
  <c r="H792" i="1"/>
  <c r="G793" i="1" l="1"/>
  <c r="H793" i="1"/>
  <c r="G794" i="1" l="1"/>
  <c r="H794" i="1"/>
  <c r="G795" i="1" l="1"/>
  <c r="H795" i="1"/>
  <c r="G796" i="1" l="1"/>
  <c r="H796" i="1"/>
  <c r="G797" i="1" l="1"/>
  <c r="H797" i="1"/>
  <c r="G798" i="1" l="1"/>
  <c r="H798" i="1"/>
  <c r="G799" i="1" l="1"/>
  <c r="H799" i="1"/>
  <c r="G800" i="1" l="1"/>
  <c r="H800" i="1"/>
  <c r="G801" i="1" l="1"/>
  <c r="H801" i="1"/>
  <c r="G802" i="1" l="1"/>
  <c r="H802" i="1"/>
  <c r="G803" i="1" l="1"/>
  <c r="H803" i="1"/>
  <c r="G804" i="1" l="1"/>
  <c r="H804" i="1"/>
  <c r="G805" i="1" l="1"/>
  <c r="H805" i="1"/>
  <c r="G806" i="1" l="1"/>
  <c r="H806" i="1"/>
  <c r="G807" i="1" l="1"/>
  <c r="H807" i="1"/>
  <c r="G808" i="1" l="1"/>
  <c r="H808" i="1"/>
  <c r="G809" i="1" l="1"/>
  <c r="H809" i="1"/>
  <c r="G810" i="1" l="1"/>
  <c r="H810" i="1"/>
  <c r="G811" i="1" l="1"/>
  <c r="H811" i="1"/>
  <c r="G812" i="1" l="1"/>
  <c r="H812" i="1"/>
  <c r="G813" i="1" l="1"/>
  <c r="H813" i="1"/>
  <c r="G814" i="1" l="1"/>
  <c r="H814" i="1"/>
  <c r="G815" i="1" l="1"/>
  <c r="H815" i="1"/>
  <c r="G816" i="1" l="1"/>
  <c r="H816" i="1"/>
  <c r="G817" i="1" l="1"/>
  <c r="H817" i="1"/>
  <c r="G818" i="1" l="1"/>
  <c r="H818" i="1"/>
  <c r="G819" i="1" l="1"/>
  <c r="H819" i="1"/>
  <c r="G820" i="1" l="1"/>
  <c r="H820" i="1"/>
  <c r="G821" i="1" l="1"/>
  <c r="H821" i="1"/>
  <c r="G822" i="1" l="1"/>
  <c r="H822" i="1"/>
  <c r="G823" i="1" l="1"/>
  <c r="H823" i="1"/>
  <c r="G824" i="1" l="1"/>
  <c r="H824" i="1"/>
  <c r="G825" i="1" l="1"/>
  <c r="H825" i="1"/>
  <c r="G826" i="1" l="1"/>
  <c r="H826" i="1"/>
  <c r="G827" i="1" l="1"/>
  <c r="H827" i="1"/>
  <c r="G828" i="1" l="1"/>
  <c r="H828" i="1"/>
  <c r="G829" i="1" l="1"/>
  <c r="H829" i="1"/>
  <c r="G830" i="1" l="1"/>
  <c r="H830" i="1"/>
  <c r="G831" i="1" l="1"/>
  <c r="H831" i="1"/>
  <c r="G832" i="1" l="1"/>
  <c r="H832" i="1"/>
  <c r="G833" i="1" l="1"/>
  <c r="H833" i="1"/>
  <c r="G834" i="1" l="1"/>
  <c r="H834" i="1"/>
  <c r="G835" i="1" l="1"/>
  <c r="H835" i="1"/>
  <c r="G836" i="1" l="1"/>
  <c r="H836" i="1"/>
  <c r="G837" i="1" l="1"/>
  <c r="H837" i="1"/>
  <c r="G838" i="1" l="1"/>
  <c r="H838" i="1"/>
  <c r="G839" i="1" l="1"/>
  <c r="H839" i="1"/>
  <c r="G840" i="1" l="1"/>
  <c r="H840" i="1"/>
  <c r="G841" i="1" l="1"/>
  <c r="H841" i="1"/>
  <c r="G842" i="1" l="1"/>
  <c r="H842" i="1"/>
  <c r="G843" i="1" l="1"/>
  <c r="H843" i="1"/>
  <c r="G844" i="1" l="1"/>
  <c r="H844" i="1"/>
  <c r="G845" i="1" l="1"/>
  <c r="H845" i="1"/>
  <c r="G846" i="1" l="1"/>
  <c r="H846" i="1"/>
  <c r="G847" i="1" l="1"/>
  <c r="H847" i="1"/>
  <c r="G848" i="1" l="1"/>
  <c r="H848" i="1"/>
  <c r="G849" i="1" l="1"/>
  <c r="H849" i="1"/>
  <c r="G850" i="1" l="1"/>
  <c r="H850" i="1"/>
  <c r="G851" i="1" l="1"/>
  <c r="H851" i="1"/>
  <c r="G852" i="1" l="1"/>
  <c r="H852" i="1"/>
  <c r="G853" i="1" l="1"/>
  <c r="H853" i="1"/>
  <c r="G854" i="1" l="1"/>
  <c r="H854" i="1"/>
  <c r="G855" i="1" l="1"/>
  <c r="H855" i="1"/>
  <c r="G856" i="1" l="1"/>
  <c r="H856" i="1"/>
  <c r="G857" i="1" l="1"/>
  <c r="H857" i="1"/>
  <c r="G858" i="1" l="1"/>
  <c r="H858" i="1"/>
  <c r="G859" i="1" l="1"/>
  <c r="H859" i="1"/>
  <c r="G860" i="1" l="1"/>
  <c r="H860" i="1"/>
  <c r="G861" i="1" l="1"/>
  <c r="H861" i="1"/>
  <c r="G862" i="1" l="1"/>
  <c r="H862" i="1"/>
  <c r="G863" i="1" l="1"/>
  <c r="H863" i="1"/>
  <c r="G864" i="1" l="1"/>
  <c r="H864" i="1"/>
  <c r="G865" i="1" l="1"/>
  <c r="H865" i="1"/>
  <c r="G866" i="1" l="1"/>
  <c r="H866" i="1"/>
  <c r="G867" i="1" l="1"/>
  <c r="H867" i="1"/>
  <c r="G868" i="1" l="1"/>
  <c r="H868" i="1"/>
  <c r="G869" i="1" l="1"/>
  <c r="H869" i="1"/>
  <c r="G870" i="1" l="1"/>
  <c r="H870" i="1"/>
  <c r="G871" i="1" l="1"/>
  <c r="H871" i="1"/>
  <c r="G872" i="1" l="1"/>
  <c r="H872" i="1"/>
  <c r="G873" i="1" l="1"/>
  <c r="H873" i="1"/>
  <c r="G874" i="1" l="1"/>
  <c r="H874" i="1"/>
  <c r="G875" i="1" l="1"/>
  <c r="H875" i="1"/>
  <c r="G876" i="1" l="1"/>
  <c r="H876" i="1"/>
  <c r="G877" i="1" l="1"/>
  <c r="H877" i="1"/>
  <c r="G878" i="1" l="1"/>
  <c r="H878" i="1"/>
  <c r="G879" i="1" l="1"/>
  <c r="H879" i="1"/>
  <c r="G880" i="1" l="1"/>
  <c r="H880" i="1"/>
  <c r="G881" i="1" l="1"/>
  <c r="H881" i="1"/>
  <c r="G882" i="1" l="1"/>
  <c r="H882" i="1"/>
  <c r="G883" i="1" l="1"/>
  <c r="H883" i="1"/>
  <c r="G884" i="1" l="1"/>
  <c r="H884" i="1"/>
  <c r="G885" i="1" l="1"/>
  <c r="H885" i="1"/>
  <c r="G886" i="1" l="1"/>
  <c r="H886" i="1"/>
  <c r="G887" i="1" l="1"/>
  <c r="H887" i="1"/>
  <c r="G888" i="1" l="1"/>
  <c r="H888" i="1"/>
  <c r="G889" i="1" l="1"/>
  <c r="H889" i="1"/>
  <c r="G890" i="1" l="1"/>
  <c r="H890" i="1"/>
  <c r="G891" i="1" l="1"/>
  <c r="H891" i="1"/>
  <c r="G892" i="1" l="1"/>
  <c r="H892" i="1"/>
  <c r="G893" i="1" l="1"/>
  <c r="H893" i="1"/>
  <c r="G894" i="1" l="1"/>
  <c r="H894" i="1"/>
  <c r="G895" i="1" l="1"/>
  <c r="H895" i="1"/>
  <c r="G896" i="1" l="1"/>
  <c r="H896" i="1"/>
  <c r="G897" i="1" l="1"/>
  <c r="H897" i="1"/>
  <c r="G898" i="1" l="1"/>
  <c r="H898" i="1"/>
  <c r="G899" i="1" l="1"/>
  <c r="H899" i="1"/>
  <c r="G900" i="1" l="1"/>
  <c r="H900" i="1"/>
  <c r="G901" i="1" l="1"/>
  <c r="H901" i="1"/>
  <c r="G902" i="1" l="1"/>
  <c r="H902" i="1"/>
  <c r="G903" i="1" l="1"/>
  <c r="H903" i="1"/>
  <c r="G904" i="1" l="1"/>
  <c r="H904" i="1"/>
  <c r="G905" i="1" l="1"/>
  <c r="H905" i="1"/>
  <c r="G906" i="1" l="1"/>
  <c r="H906" i="1"/>
  <c r="G907" i="1" l="1"/>
  <c r="H907" i="1"/>
  <c r="G908" i="1" l="1"/>
  <c r="H908" i="1"/>
  <c r="G909" i="1" l="1"/>
  <c r="H909" i="1"/>
  <c r="G910" i="1" l="1"/>
  <c r="H910" i="1"/>
  <c r="G911" i="1" l="1"/>
  <c r="H911" i="1"/>
  <c r="G912" i="1" l="1"/>
  <c r="H912" i="1"/>
  <c r="G913" i="1" l="1"/>
  <c r="H913" i="1"/>
  <c r="G914" i="1" l="1"/>
  <c r="H914" i="1"/>
  <c r="G915" i="1" l="1"/>
  <c r="H915" i="1"/>
  <c r="H917" i="1" l="1"/>
  <c r="G916" i="1"/>
  <c r="H916" i="1"/>
  <c r="G917" i="1" l="1"/>
  <c r="G918" i="1" l="1"/>
  <c r="H918" i="1"/>
  <c r="G919" i="1" l="1"/>
  <c r="H919" i="1"/>
  <c r="G920" i="1" l="1"/>
  <c r="H920" i="1"/>
  <c r="G921" i="1" l="1"/>
  <c r="H921" i="1"/>
  <c r="G922" i="1" l="1"/>
  <c r="H922" i="1"/>
  <c r="G923" i="1" l="1"/>
  <c r="H923" i="1"/>
  <c r="G924" i="1" l="1"/>
  <c r="H924" i="1"/>
  <c r="G925" i="1" l="1"/>
  <c r="H925" i="1"/>
  <c r="G926" i="1" l="1"/>
  <c r="H926" i="1"/>
  <c r="G927" i="1" l="1"/>
  <c r="H927" i="1"/>
  <c r="G928" i="1" l="1"/>
  <c r="H928" i="1"/>
  <c r="G929" i="1" l="1"/>
  <c r="H929" i="1"/>
  <c r="G930" i="1" l="1"/>
  <c r="H930" i="1"/>
  <c r="G931" i="1" l="1"/>
  <c r="H931" i="1"/>
  <c r="G932" i="1" l="1"/>
  <c r="H932" i="1"/>
  <c r="G933" i="1" l="1"/>
  <c r="H933" i="1"/>
  <c r="G934" i="1" l="1"/>
  <c r="H934" i="1"/>
  <c r="G935" i="1" l="1"/>
  <c r="H935" i="1"/>
  <c r="G936" i="1" l="1"/>
  <c r="H936" i="1"/>
  <c r="G937" i="1" l="1"/>
  <c r="H937" i="1"/>
  <c r="G938" i="1" l="1"/>
  <c r="H938" i="1"/>
  <c r="G939" i="1" l="1"/>
  <c r="H939" i="1"/>
  <c r="G940" i="1" l="1"/>
  <c r="H940" i="1"/>
  <c r="G941" i="1" l="1"/>
  <c r="H941" i="1"/>
  <c r="G942" i="1" l="1"/>
  <c r="H942" i="1"/>
  <c r="G943" i="1" l="1"/>
  <c r="H943" i="1"/>
  <c r="G944" i="1" l="1"/>
  <c r="H944" i="1"/>
  <c r="G945" i="1" l="1"/>
  <c r="H945" i="1"/>
  <c r="G946" i="1" l="1"/>
  <c r="H946" i="1"/>
  <c r="G947" i="1" l="1"/>
  <c r="H947" i="1"/>
  <c r="G948" i="1" l="1"/>
  <c r="H948" i="1"/>
  <c r="G949" i="1" l="1"/>
  <c r="H949" i="1"/>
  <c r="G950" i="1" l="1"/>
  <c r="H950" i="1"/>
  <c r="G951" i="1" l="1"/>
  <c r="H951" i="1"/>
  <c r="G952" i="1" l="1"/>
  <c r="H952" i="1"/>
  <c r="G953" i="1" l="1"/>
  <c r="H953" i="1"/>
  <c r="G954" i="1" l="1"/>
  <c r="H954" i="1"/>
  <c r="G955" i="1" l="1"/>
  <c r="H955" i="1"/>
  <c r="G956" i="1" l="1"/>
  <c r="H956" i="1"/>
  <c r="G957" i="1" l="1"/>
  <c r="H957" i="1"/>
  <c r="G958" i="1" l="1"/>
  <c r="H958" i="1"/>
  <c r="G959" i="1" l="1"/>
  <c r="H959" i="1"/>
  <c r="G960" i="1" l="1"/>
  <c r="H960" i="1"/>
  <c r="G961" i="1" l="1"/>
  <c r="H961" i="1"/>
  <c r="G962" i="1" l="1"/>
  <c r="H962" i="1"/>
  <c r="G963" i="1" l="1"/>
  <c r="H963" i="1"/>
  <c r="G964" i="1" l="1"/>
  <c r="H964" i="1"/>
  <c r="G965" i="1" l="1"/>
  <c r="H965" i="1"/>
  <c r="G966" i="1" l="1"/>
  <c r="H966" i="1"/>
  <c r="G967" i="1" l="1"/>
  <c r="H967" i="1"/>
  <c r="G968" i="1" l="1"/>
  <c r="H968" i="1"/>
  <c r="G969" i="1" l="1"/>
  <c r="H969" i="1"/>
  <c r="G970" i="1" l="1"/>
  <c r="H970" i="1"/>
  <c r="G971" i="1" l="1"/>
  <c r="H971" i="1"/>
  <c r="G972" i="1" l="1"/>
  <c r="H972" i="1"/>
  <c r="G973" i="1" l="1"/>
  <c r="H973" i="1"/>
  <c r="G974" i="1" l="1"/>
  <c r="H974" i="1"/>
  <c r="G975" i="1" l="1"/>
  <c r="H975" i="1"/>
  <c r="G976" i="1" l="1"/>
  <c r="H976" i="1"/>
  <c r="G977" i="1" l="1"/>
  <c r="H977" i="1"/>
  <c r="G978" i="1" l="1"/>
  <c r="H978" i="1"/>
  <c r="G979" i="1" l="1"/>
  <c r="H979" i="1"/>
  <c r="G980" i="1" l="1"/>
  <c r="H980" i="1"/>
  <c r="G981" i="1" l="1"/>
  <c r="H981" i="1"/>
  <c r="G982" i="1" l="1"/>
  <c r="H982" i="1"/>
  <c r="G983" i="1" l="1"/>
  <c r="H983" i="1"/>
  <c r="G984" i="1" l="1"/>
  <c r="H984" i="1"/>
  <c r="G985" i="1" l="1"/>
  <c r="H985" i="1"/>
  <c r="G986" i="1" l="1"/>
  <c r="H986" i="1"/>
  <c r="G987" i="1" l="1"/>
  <c r="H987" i="1"/>
  <c r="G988" i="1" l="1"/>
  <c r="H988" i="1"/>
  <c r="G989" i="1" l="1"/>
  <c r="H989" i="1"/>
  <c r="G990" i="1" l="1"/>
  <c r="H990" i="1"/>
  <c r="G991" i="1" l="1"/>
  <c r="H991" i="1"/>
  <c r="G992" i="1" l="1"/>
  <c r="H992" i="1"/>
  <c r="G993" i="1" l="1"/>
  <c r="H993" i="1"/>
  <c r="G994" i="1" l="1"/>
  <c r="H994" i="1"/>
  <c r="G995" i="1" l="1"/>
  <c r="H995" i="1"/>
  <c r="G996" i="1" l="1"/>
  <c r="H996" i="1"/>
  <c r="G997" i="1" l="1"/>
  <c r="H997" i="1"/>
  <c r="G998" i="1" l="1"/>
  <c r="H998" i="1"/>
  <c r="G999" i="1" l="1"/>
  <c r="H999" i="1"/>
  <c r="G1000" i="1" l="1"/>
  <c r="H1000" i="1"/>
  <c r="G1001" i="1" l="1"/>
  <c r="H1001" i="1"/>
  <c r="G1002" i="1" l="1"/>
  <c r="H1002" i="1"/>
  <c r="G1003" i="1" l="1"/>
  <c r="H1003" i="1"/>
  <c r="G1004" i="1" l="1"/>
  <c r="H1004" i="1"/>
  <c r="G1005" i="1" l="1"/>
  <c r="H1005" i="1"/>
  <c r="G1006" i="1" l="1"/>
  <c r="H1006" i="1"/>
  <c r="G1007" i="1" l="1"/>
  <c r="H1007" i="1"/>
  <c r="G1008" i="1" l="1"/>
  <c r="H1008" i="1"/>
  <c r="G1009" i="1" l="1"/>
  <c r="H1009" i="1"/>
  <c r="G1010" i="1" l="1"/>
  <c r="H1010" i="1"/>
  <c r="G1011" i="1" l="1"/>
  <c r="H1011" i="1"/>
  <c r="G1012" i="1" l="1"/>
  <c r="H1012" i="1"/>
  <c r="G1013" i="1" l="1"/>
  <c r="H1013" i="1"/>
  <c r="G1014" i="1" l="1"/>
  <c r="H1014" i="1"/>
  <c r="G1015" i="1" l="1"/>
  <c r="H1015" i="1"/>
  <c r="G1016" i="1" l="1"/>
  <c r="H1016" i="1"/>
  <c r="G1017" i="1" l="1"/>
  <c r="H1017" i="1"/>
  <c r="G1018" i="1" l="1"/>
  <c r="H1018" i="1"/>
  <c r="G1019" i="1" l="1"/>
  <c r="H1019" i="1"/>
  <c r="G1020" i="1" l="1"/>
  <c r="H1020" i="1"/>
  <c r="G1021" i="1" l="1"/>
  <c r="H1021" i="1"/>
  <c r="G1022" i="1" l="1"/>
  <c r="H1022" i="1"/>
  <c r="G1023" i="1" l="1"/>
  <c r="H1023" i="1"/>
  <c r="G1024" i="1" l="1"/>
  <c r="H1024" i="1"/>
  <c r="G1025" i="1" l="1"/>
  <c r="H1025" i="1"/>
  <c r="G1026" i="1" l="1"/>
  <c r="H1026" i="1"/>
  <c r="G1027" i="1" l="1"/>
  <c r="H1027" i="1"/>
  <c r="G1028" i="1" l="1"/>
  <c r="H1028" i="1"/>
  <c r="G1029" i="1" l="1"/>
  <c r="H1029" i="1"/>
  <c r="G1030" i="1" l="1"/>
  <c r="H1030" i="1"/>
  <c r="G1031" i="1" l="1"/>
  <c r="H1031" i="1"/>
  <c r="G1032" i="1" l="1"/>
  <c r="H1032" i="1"/>
  <c r="G1033" i="1" l="1"/>
  <c r="H1033" i="1"/>
  <c r="G1034" i="1" l="1"/>
  <c r="H1034" i="1"/>
  <c r="G1035" i="1" l="1"/>
  <c r="H1035" i="1"/>
  <c r="G1036" i="1" l="1"/>
  <c r="H1036" i="1"/>
  <c r="G1037" i="1" l="1"/>
  <c r="H1037" i="1"/>
  <c r="G1038" i="1" l="1"/>
  <c r="H1038" i="1"/>
  <c r="G1039" i="1" l="1"/>
  <c r="H1039" i="1"/>
  <c r="G1040" i="1" l="1"/>
  <c r="H1040" i="1"/>
  <c r="G1041" i="1" l="1"/>
  <c r="H1041" i="1"/>
  <c r="G1042" i="1" l="1"/>
  <c r="H1042" i="1"/>
  <c r="G1043" i="1" l="1"/>
  <c r="H1043" i="1"/>
  <c r="G1044" i="1" l="1"/>
  <c r="H1044" i="1"/>
  <c r="G1045" i="1" l="1"/>
  <c r="H1045" i="1"/>
  <c r="G1046" i="1" l="1"/>
  <c r="H1046" i="1"/>
  <c r="G1047" i="1" l="1"/>
  <c r="H1047" i="1"/>
  <c r="G1048" i="1" l="1"/>
  <c r="H1048" i="1"/>
  <c r="G1049" i="1" l="1"/>
  <c r="H1049" i="1"/>
  <c r="G1050" i="1" l="1"/>
  <c r="H1050" i="1"/>
  <c r="G1051" i="1" l="1"/>
  <c r="H1051" i="1"/>
  <c r="G1052" i="1" l="1"/>
  <c r="H1052" i="1"/>
  <c r="G1053" i="1" l="1"/>
  <c r="H1053" i="1"/>
  <c r="G1054" i="1" l="1"/>
  <c r="H1054" i="1"/>
  <c r="G1055" i="1" l="1"/>
  <c r="H1055" i="1"/>
  <c r="G1056" i="1" l="1"/>
  <c r="H1056" i="1"/>
  <c r="G1057" i="1" l="1"/>
  <c r="H1057" i="1"/>
  <c r="G1058" i="1" l="1"/>
  <c r="H1058" i="1"/>
  <c r="G1059" i="1" l="1"/>
  <c r="H1059" i="1"/>
  <c r="G1060" i="1" l="1"/>
  <c r="H1060" i="1"/>
  <c r="G1061" i="1" l="1"/>
  <c r="H1061" i="1"/>
  <c r="G1062" i="1" l="1"/>
  <c r="H1062" i="1"/>
  <c r="G1063" i="1" l="1"/>
  <c r="H1063" i="1"/>
  <c r="G1064" i="1" l="1"/>
  <c r="H1064" i="1"/>
  <c r="G1065" i="1" l="1"/>
  <c r="H1065" i="1"/>
  <c r="G1066" i="1" l="1"/>
  <c r="H1066" i="1"/>
  <c r="G1067" i="1" l="1"/>
  <c r="H1067" i="1"/>
  <c r="G1068" i="1" l="1"/>
  <c r="H1068" i="1"/>
  <c r="G1069" i="1" l="1"/>
  <c r="H1069" i="1"/>
  <c r="G1070" i="1" l="1"/>
  <c r="H1070" i="1"/>
  <c r="G1071" i="1" l="1"/>
  <c r="H1071" i="1"/>
  <c r="G1072" i="1" l="1"/>
  <c r="H1072" i="1"/>
  <c r="G1073" i="1" l="1"/>
  <c r="H1073" i="1"/>
  <c r="G1074" i="1" l="1"/>
  <c r="H1074" i="1"/>
  <c r="G1075" i="1" l="1"/>
  <c r="H1075" i="1"/>
  <c r="G1076" i="1" l="1"/>
  <c r="H1076" i="1"/>
  <c r="G1077" i="1" l="1"/>
  <c r="H1077" i="1"/>
  <c r="G1078" i="1" l="1"/>
  <c r="H1078" i="1"/>
  <c r="G1079" i="1" l="1"/>
  <c r="H1079" i="1"/>
  <c r="G1080" i="1" l="1"/>
  <c r="H1080" i="1"/>
  <c r="G1081" i="1" l="1"/>
  <c r="H1081" i="1"/>
  <c r="G1082" i="1" l="1"/>
  <c r="H1082" i="1"/>
  <c r="G1083" i="1" l="1"/>
  <c r="H1083" i="1"/>
  <c r="G1084" i="1" l="1"/>
  <c r="H1084" i="1"/>
  <c r="G1085" i="1" l="1"/>
  <c r="H1085" i="1"/>
  <c r="G1086" i="1" l="1"/>
  <c r="H1086" i="1"/>
  <c r="G1087" i="1" l="1"/>
  <c r="H1087" i="1"/>
  <c r="G1088" i="1" l="1"/>
  <c r="H1088" i="1"/>
  <c r="G1089" i="1" l="1"/>
  <c r="H1089" i="1"/>
  <c r="G1090" i="1" l="1"/>
  <c r="H1090" i="1"/>
  <c r="G1091" i="1" l="1"/>
  <c r="H1091" i="1"/>
  <c r="G1092" i="1" l="1"/>
  <c r="H1092" i="1"/>
  <c r="G1093" i="1" l="1"/>
  <c r="H1093" i="1"/>
  <c r="G1094" i="1" l="1"/>
  <c r="H1094" i="1"/>
  <c r="G1095" i="1" l="1"/>
  <c r="H1095" i="1"/>
  <c r="G1096" i="1" l="1"/>
  <c r="H1096" i="1"/>
  <c r="G1097" i="1" l="1"/>
  <c r="H1097" i="1"/>
  <c r="G1098" i="1" l="1"/>
  <c r="H1098" i="1"/>
  <c r="G1099" i="1" l="1"/>
  <c r="H1099" i="1"/>
  <c r="G1100" i="1" l="1"/>
  <c r="H1100" i="1"/>
  <c r="G1101" i="1" l="1"/>
  <c r="H1101" i="1"/>
  <c r="G1102" i="1" l="1"/>
  <c r="H1102" i="1"/>
  <c r="G1103" i="1" l="1"/>
  <c r="H1103" i="1"/>
  <c r="G1104" i="1" l="1"/>
  <c r="H1104" i="1"/>
  <c r="G1105" i="1" l="1"/>
  <c r="H1105" i="1"/>
  <c r="G1106" i="1" l="1"/>
  <c r="H1106" i="1"/>
  <c r="G1107" i="1" l="1"/>
  <c r="H1107" i="1"/>
  <c r="G1108" i="1" l="1"/>
  <c r="H1108" i="1"/>
  <c r="G1109" i="1" l="1"/>
  <c r="H1109" i="1"/>
  <c r="G1110" i="1" l="1"/>
  <c r="H1110" i="1"/>
  <c r="G1111" i="1" l="1"/>
  <c r="H1111" i="1"/>
  <c r="G1112" i="1" l="1"/>
  <c r="H1112" i="1"/>
  <c r="G1113" i="1" l="1"/>
  <c r="H1113" i="1"/>
  <c r="G1114" i="1" l="1"/>
  <c r="H1114" i="1"/>
  <c r="G1115" i="1" l="1"/>
  <c r="H1115" i="1"/>
  <c r="G1116" i="1" l="1"/>
  <c r="H1116" i="1"/>
  <c r="G1117" i="1" l="1"/>
  <c r="H1117" i="1"/>
  <c r="G1118" i="1" l="1"/>
  <c r="H1118" i="1"/>
  <c r="G1119" i="1" l="1"/>
  <c r="H1119" i="1"/>
  <c r="G1120" i="1" l="1"/>
  <c r="H1120" i="1"/>
  <c r="G1121" i="1" l="1"/>
  <c r="H1121" i="1"/>
  <c r="G1122" i="1" l="1"/>
  <c r="H1122" i="1"/>
  <c r="G1123" i="1" l="1"/>
  <c r="H1123" i="1"/>
  <c r="G1124" i="1" l="1"/>
  <c r="H1124" i="1"/>
  <c r="G1125" i="1" l="1"/>
  <c r="H1125" i="1"/>
  <c r="G1126" i="1" l="1"/>
  <c r="H1126" i="1"/>
  <c r="G1127" i="1" l="1"/>
  <c r="H1127" i="1"/>
  <c r="G1128" i="1" l="1"/>
  <c r="H1128" i="1"/>
  <c r="G1129" i="1" l="1"/>
  <c r="H1129" i="1"/>
  <c r="G1130" i="1" l="1"/>
  <c r="H1130" i="1"/>
  <c r="G1131" i="1" l="1"/>
  <c r="H1131" i="1"/>
  <c r="G1132" i="1" l="1"/>
  <c r="H1132" i="1"/>
  <c r="G1133" i="1" l="1"/>
  <c r="H1133" i="1"/>
  <c r="G1134" i="1" l="1"/>
  <c r="H1134" i="1"/>
  <c r="G1135" i="1" l="1"/>
  <c r="H1135" i="1"/>
  <c r="G1136" i="1" l="1"/>
  <c r="H1136" i="1"/>
  <c r="G1137" i="1" l="1"/>
  <c r="H1137" i="1"/>
  <c r="G1138" i="1" l="1"/>
  <c r="H1138" i="1"/>
  <c r="G1139" i="1" l="1"/>
  <c r="H1139" i="1"/>
  <c r="G1140" i="1" l="1"/>
  <c r="H1140" i="1"/>
  <c r="G1141" i="1" l="1"/>
  <c r="H1141" i="1"/>
  <c r="G1142" i="1" l="1"/>
  <c r="H1142" i="1"/>
  <c r="G1143" i="1" l="1"/>
  <c r="H1143" i="1"/>
  <c r="G1144" i="1" l="1"/>
  <c r="H1144" i="1"/>
  <c r="G1145" i="1" l="1"/>
  <c r="H1145" i="1"/>
  <c r="G1146" i="1" l="1"/>
  <c r="H1146" i="1"/>
  <c r="G1147" i="1" l="1"/>
  <c r="H1147" i="1"/>
  <c r="G1148" i="1" l="1"/>
  <c r="H1148" i="1"/>
  <c r="G1149" i="1" l="1"/>
  <c r="H1149" i="1"/>
  <c r="G1150" i="1" l="1"/>
  <c r="H1150" i="1"/>
  <c r="G1151" i="1" l="1"/>
  <c r="H1151" i="1"/>
  <c r="G1152" i="1" l="1"/>
  <c r="H1152" i="1"/>
  <c r="G1153" i="1" l="1"/>
  <c r="H1153" i="1"/>
  <c r="G1154" i="1" l="1"/>
  <c r="H1154" i="1"/>
  <c r="G1155" i="1" l="1"/>
  <c r="H1155" i="1"/>
  <c r="G1156" i="1" l="1"/>
  <c r="H1156" i="1"/>
  <c r="G1157" i="1" l="1"/>
  <c r="H1157" i="1"/>
  <c r="G1158" i="1" l="1"/>
  <c r="H1158" i="1"/>
  <c r="G1159" i="1" l="1"/>
  <c r="H1159" i="1"/>
  <c r="G1160" i="1" l="1"/>
  <c r="H1160" i="1"/>
  <c r="G1161" i="1" l="1"/>
  <c r="H1161" i="1"/>
  <c r="G1162" i="1" l="1"/>
  <c r="H1162" i="1"/>
  <c r="G1163" i="1" l="1"/>
  <c r="H1163" i="1"/>
  <c r="G1164" i="1" l="1"/>
  <c r="H1164" i="1"/>
  <c r="G1165" i="1" l="1"/>
  <c r="H1165" i="1"/>
  <c r="G1166" i="1" l="1"/>
  <c r="H1166" i="1"/>
  <c r="G1167" i="1" l="1"/>
  <c r="H1167" i="1"/>
  <c r="G1168" i="1" l="1"/>
  <c r="H1168" i="1"/>
  <c r="G1169" i="1" l="1"/>
  <c r="H1169" i="1"/>
  <c r="G1170" i="1" l="1"/>
  <c r="H1170" i="1"/>
  <c r="G1171" i="1" l="1"/>
  <c r="H1171" i="1"/>
  <c r="G1172" i="1" l="1"/>
  <c r="H1172" i="1"/>
  <c r="G1173" i="1" l="1"/>
  <c r="H1173" i="1"/>
  <c r="G1174" i="1" l="1"/>
  <c r="H1174" i="1"/>
  <c r="G1175" i="1" l="1"/>
  <c r="H1175" i="1"/>
  <c r="G1176" i="1" l="1"/>
  <c r="H1176" i="1"/>
  <c r="G1177" i="1" l="1"/>
  <c r="H1177" i="1"/>
  <c r="G1178" i="1" l="1"/>
  <c r="H1178" i="1"/>
  <c r="G1179" i="1" l="1"/>
  <c r="H1179" i="1"/>
  <c r="G1180" i="1" l="1"/>
  <c r="H1180" i="1"/>
  <c r="G1181" i="1" l="1"/>
  <c r="H1181" i="1"/>
  <c r="G1182" i="1" l="1"/>
  <c r="H1182" i="1"/>
  <c r="G1183" i="1" l="1"/>
  <c r="H1183" i="1"/>
  <c r="G1184" i="1" l="1"/>
  <c r="H1184" i="1"/>
  <c r="G1185" i="1" l="1"/>
  <c r="H1185" i="1"/>
  <c r="G1186" i="1" l="1"/>
  <c r="H1186" i="1"/>
  <c r="G1187" i="1" l="1"/>
  <c r="H1187" i="1"/>
  <c r="G1188" i="1" l="1"/>
  <c r="H1188" i="1"/>
  <c r="G1189" i="1" l="1"/>
  <c r="H1189" i="1"/>
  <c r="G1190" i="1" l="1"/>
  <c r="H1190" i="1"/>
  <c r="G1191" i="1" l="1"/>
  <c r="H1191" i="1"/>
  <c r="G1192" i="1" l="1"/>
  <c r="H1192" i="1"/>
  <c r="G1193" i="1" l="1"/>
  <c r="H1193" i="1"/>
  <c r="G1194" i="1" l="1"/>
  <c r="H1194" i="1"/>
  <c r="G1195" i="1" l="1"/>
  <c r="H1195" i="1"/>
  <c r="G1196" i="1" l="1"/>
  <c r="H1196" i="1"/>
  <c r="G1197" i="1" l="1"/>
  <c r="H1197" i="1"/>
  <c r="G1198" i="1" l="1"/>
  <c r="H1198" i="1"/>
  <c r="G1199" i="1" l="1"/>
  <c r="H1199" i="1"/>
  <c r="G1200" i="1" l="1"/>
  <c r="H1200" i="1"/>
  <c r="G1201" i="1" l="1"/>
  <c r="H1201" i="1"/>
  <c r="G1202" i="1" l="1"/>
  <c r="H1202" i="1"/>
  <c r="G1203" i="1" l="1"/>
  <c r="H1203" i="1"/>
  <c r="G1204" i="1" l="1"/>
  <c r="H1204" i="1"/>
  <c r="G1205" i="1" l="1"/>
  <c r="H1205" i="1"/>
  <c r="G1206" i="1" l="1"/>
  <c r="H1206" i="1"/>
  <c r="G1207" i="1" l="1"/>
  <c r="H1207" i="1"/>
  <c r="G1208" i="1" l="1"/>
  <c r="H1208" i="1"/>
  <c r="G1209" i="1" l="1"/>
  <c r="H1209" i="1"/>
  <c r="G1210" i="1" l="1"/>
  <c r="H1210" i="1"/>
  <c r="G1211" i="1" l="1"/>
  <c r="H1211" i="1"/>
  <c r="G1212" i="1" l="1"/>
  <c r="H1212" i="1"/>
  <c r="G1213" i="1" l="1"/>
  <c r="H1213" i="1"/>
  <c r="G1214" i="1" l="1"/>
  <c r="H1214" i="1"/>
  <c r="G1215" i="1" l="1"/>
  <c r="H1215" i="1"/>
  <c r="G1216" i="1" l="1"/>
  <c r="H1216" i="1"/>
  <c r="G1217" i="1" l="1"/>
  <c r="H1217" i="1"/>
  <c r="G1218" i="1" l="1"/>
  <c r="H1218" i="1"/>
  <c r="G1219" i="1" l="1"/>
  <c r="H1219" i="1"/>
  <c r="G1220" i="1" l="1"/>
  <c r="H1220" i="1"/>
  <c r="G1221" i="1" l="1"/>
  <c r="H1221" i="1"/>
  <c r="G1222" i="1" l="1"/>
  <c r="H1222" i="1"/>
  <c r="G1223" i="1" l="1"/>
  <c r="H1223" i="1"/>
  <c r="G1224" i="1" l="1"/>
  <c r="H1224" i="1"/>
  <c r="G1225" i="1" l="1"/>
  <c r="H1225" i="1"/>
  <c r="G1226" i="1" l="1"/>
  <c r="H1226" i="1"/>
  <c r="G1227" i="1" l="1"/>
  <c r="H1227" i="1"/>
  <c r="G1228" i="1" l="1"/>
  <c r="H1228" i="1"/>
  <c r="G1229" i="1" l="1"/>
  <c r="H1229" i="1"/>
  <c r="G1230" i="1" l="1"/>
  <c r="H1230" i="1"/>
  <c r="G1231" i="1" l="1"/>
  <c r="H1231" i="1"/>
  <c r="G1232" i="1" l="1"/>
  <c r="H1232" i="1"/>
  <c r="G1233" i="1" l="1"/>
  <c r="H1233" i="1"/>
  <c r="G1234" i="1" l="1"/>
  <c r="H1234" i="1"/>
  <c r="G1235" i="1" l="1"/>
  <c r="H1235" i="1"/>
  <c r="G1236" i="1" l="1"/>
  <c r="H1236" i="1"/>
  <c r="G1237" i="1" l="1"/>
  <c r="H1237" i="1"/>
  <c r="G1238" i="1" l="1"/>
  <c r="H1238" i="1"/>
  <c r="G1239" i="1" l="1"/>
  <c r="H1239" i="1"/>
  <c r="G1240" i="1" l="1"/>
  <c r="H1240" i="1"/>
  <c r="G1241" i="1" l="1"/>
  <c r="H1241" i="1"/>
  <c r="G1242" i="1" l="1"/>
  <c r="H1242" i="1"/>
  <c r="G1243" i="1" l="1"/>
  <c r="H1243" i="1"/>
  <c r="G1244" i="1" l="1"/>
  <c r="H1244" i="1"/>
  <c r="G1245" i="1" l="1"/>
  <c r="H1245" i="1"/>
  <c r="G1246" i="1" l="1"/>
  <c r="H1246" i="1"/>
  <c r="G1247" i="1" l="1"/>
  <c r="H1248" i="1" s="1"/>
  <c r="H1247" i="1"/>
  <c r="G1248" i="1" l="1"/>
  <c r="G1249" i="1" l="1"/>
  <c r="H1249" i="1"/>
  <c r="G1250" i="1" l="1"/>
  <c r="H1250" i="1"/>
  <c r="G1251" i="1" l="1"/>
  <c r="H1251" i="1"/>
  <c r="G1252" i="1" l="1"/>
  <c r="H1252" i="1"/>
  <c r="G1253" i="1" l="1"/>
  <c r="H1253" i="1"/>
  <c r="G1254" i="1" l="1"/>
  <c r="H1254" i="1"/>
  <c r="G1255" i="1" l="1"/>
  <c r="H1255" i="1"/>
  <c r="G1256" i="1" l="1"/>
  <c r="H1256" i="1"/>
  <c r="G1257" i="1" l="1"/>
  <c r="H1257" i="1"/>
  <c r="G1258" i="1" l="1"/>
  <c r="H1258" i="1"/>
  <c r="G1259" i="1" l="1"/>
  <c r="H1259" i="1"/>
  <c r="G1260" i="1" l="1"/>
  <c r="H1260" i="1"/>
  <c r="G1261" i="1" l="1"/>
  <c r="H1261" i="1"/>
  <c r="G1262" i="1" l="1"/>
  <c r="H1262" i="1"/>
  <c r="G1263" i="1" l="1"/>
  <c r="H1263" i="1"/>
  <c r="G1264" i="1" l="1"/>
  <c r="H1264" i="1"/>
  <c r="G1265" i="1" l="1"/>
  <c r="H1265" i="1"/>
  <c r="G1266" i="1" l="1"/>
  <c r="H1266" i="1"/>
  <c r="G1267" i="1" l="1"/>
  <c r="H1267" i="1"/>
  <c r="G1268" i="1" l="1"/>
  <c r="H1268" i="1"/>
  <c r="G1269" i="1" l="1"/>
  <c r="H1269" i="1"/>
  <c r="G1270" i="1" l="1"/>
  <c r="H1270" i="1"/>
  <c r="G1271" i="1" l="1"/>
  <c r="H1271" i="1"/>
  <c r="G1272" i="1" l="1"/>
  <c r="H1272" i="1"/>
  <c r="G1273" i="1" l="1"/>
  <c r="H1273" i="1"/>
  <c r="G1274" i="1" l="1"/>
  <c r="H1274" i="1"/>
  <c r="G1275" i="1" l="1"/>
  <c r="H1275" i="1"/>
  <c r="G1276" i="1" l="1"/>
  <c r="H1276" i="1"/>
  <c r="G1277" i="1" l="1"/>
  <c r="H1277" i="1"/>
  <c r="G1278" i="1" l="1"/>
  <c r="H1278" i="1"/>
  <c r="G1279" i="1" l="1"/>
  <c r="H1279" i="1"/>
  <c r="G1280" i="1" l="1"/>
  <c r="H1280" i="1"/>
  <c r="G1281" i="1" l="1"/>
  <c r="H1281" i="1"/>
  <c r="G1282" i="1" l="1"/>
  <c r="H1282" i="1"/>
  <c r="G1283" i="1" l="1"/>
  <c r="H1283" i="1"/>
  <c r="G1284" i="1" l="1"/>
  <c r="H1284" i="1"/>
  <c r="G1285" i="1" l="1"/>
  <c r="H1285" i="1"/>
  <c r="G1286" i="1" l="1"/>
  <c r="H1286" i="1"/>
  <c r="G1287" i="1" l="1"/>
  <c r="H1287" i="1"/>
  <c r="G1288" i="1" l="1"/>
  <c r="H1288" i="1"/>
  <c r="G1289" i="1" l="1"/>
  <c r="H1289" i="1"/>
  <c r="G1290" i="1" l="1"/>
  <c r="H1290" i="1"/>
  <c r="G1291" i="1" l="1"/>
  <c r="H1291" i="1"/>
  <c r="G1292" i="1" l="1"/>
  <c r="H1292" i="1"/>
  <c r="G1293" i="1" l="1"/>
  <c r="H1293" i="1"/>
  <c r="G1294" i="1" l="1"/>
  <c r="H1294" i="1"/>
  <c r="G1295" i="1" l="1"/>
  <c r="H1295" i="1"/>
  <c r="G1296" i="1" l="1"/>
  <c r="H1296" i="1"/>
  <c r="G1297" i="1" l="1"/>
  <c r="H1297" i="1"/>
  <c r="G1298" i="1" l="1"/>
  <c r="H1298" i="1"/>
  <c r="G1299" i="1" l="1"/>
  <c r="H1299" i="1"/>
  <c r="G1300" i="1" l="1"/>
  <c r="H1300" i="1"/>
  <c r="G1301" i="1" l="1"/>
  <c r="H1301" i="1"/>
  <c r="G1302" i="1" l="1"/>
  <c r="H1302" i="1"/>
  <c r="G1303" i="1" l="1"/>
  <c r="H1303" i="1"/>
  <c r="G1304" i="1" l="1"/>
  <c r="H1304" i="1"/>
  <c r="G1305" i="1" l="1"/>
  <c r="H1305" i="1"/>
  <c r="G1306" i="1" l="1"/>
  <c r="H1306" i="1"/>
  <c r="G1307" i="1" l="1"/>
  <c r="H1307" i="1"/>
  <c r="G1308" i="1" l="1"/>
  <c r="H1308" i="1"/>
  <c r="G1309" i="1" l="1"/>
  <c r="H1309" i="1"/>
  <c r="G1310" i="1" l="1"/>
  <c r="H1310" i="1"/>
  <c r="G1311" i="1" l="1"/>
  <c r="H1311" i="1"/>
  <c r="G1312" i="1" l="1"/>
  <c r="H1312" i="1"/>
  <c r="G1313" i="1" l="1"/>
  <c r="H1313" i="1"/>
  <c r="G1314" i="1" l="1"/>
  <c r="H1314" i="1"/>
  <c r="G1315" i="1" l="1"/>
  <c r="H1315" i="1"/>
  <c r="G1316" i="1" l="1"/>
  <c r="H1316" i="1"/>
  <c r="G1317" i="1" l="1"/>
  <c r="H1317" i="1"/>
  <c r="G1318" i="1" l="1"/>
  <c r="H1318" i="1"/>
  <c r="G1319" i="1" l="1"/>
  <c r="H1319" i="1"/>
  <c r="G1320" i="1" l="1"/>
  <c r="H1320" i="1"/>
  <c r="G1321" i="1" l="1"/>
  <c r="H1321" i="1"/>
  <c r="G1322" i="1" l="1"/>
  <c r="H1322" i="1"/>
  <c r="G1323" i="1" l="1"/>
  <c r="H1323" i="1"/>
  <c r="G1324" i="1" l="1"/>
  <c r="H1324" i="1"/>
  <c r="G1325" i="1" l="1"/>
  <c r="H1325" i="1"/>
  <c r="G1326" i="1" l="1"/>
  <c r="H1326" i="1"/>
  <c r="G1327" i="1" l="1"/>
  <c r="H1327" i="1"/>
  <c r="G1328" i="1" l="1"/>
  <c r="H1328" i="1"/>
  <c r="G1329" i="1" l="1"/>
  <c r="H1329" i="1"/>
  <c r="G1330" i="1" l="1"/>
  <c r="H1330" i="1"/>
  <c r="G1331" i="1" l="1"/>
  <c r="H1331" i="1"/>
  <c r="G1332" i="1" l="1"/>
  <c r="H1332" i="1"/>
  <c r="G1333" i="1" l="1"/>
  <c r="H1333" i="1"/>
  <c r="G1334" i="1" l="1"/>
  <c r="H1334" i="1"/>
  <c r="G1335" i="1" l="1"/>
  <c r="H1335" i="1"/>
  <c r="G1336" i="1" l="1"/>
  <c r="H1336" i="1"/>
  <c r="G1337" i="1" l="1"/>
  <c r="H1337" i="1"/>
  <c r="G1338" i="1" l="1"/>
  <c r="H1338" i="1"/>
  <c r="G1339" i="1" l="1"/>
  <c r="H1339" i="1"/>
  <c r="G1340" i="1" l="1"/>
  <c r="H1340" i="1"/>
  <c r="G1341" i="1" l="1"/>
  <c r="H1341" i="1"/>
  <c r="G1342" i="1" l="1"/>
  <c r="H1342" i="1"/>
  <c r="G1343" i="1" l="1"/>
  <c r="H1343" i="1"/>
  <c r="G1344" i="1" l="1"/>
  <c r="H1344" i="1"/>
  <c r="G1345" i="1" l="1"/>
  <c r="H1345" i="1"/>
  <c r="G1346" i="1" l="1"/>
  <c r="H1346" i="1"/>
  <c r="G1347" i="1" l="1"/>
  <c r="H1347" i="1"/>
  <c r="G1348" i="1" l="1"/>
  <c r="H1348" i="1"/>
  <c r="G1349" i="1" l="1"/>
  <c r="H1349" i="1"/>
  <c r="G1350" i="1" l="1"/>
  <c r="H1350" i="1"/>
  <c r="G1351" i="1" l="1"/>
  <c r="H1351" i="1"/>
  <c r="G1352" i="1" l="1"/>
  <c r="H1352" i="1"/>
  <c r="G1353" i="1" l="1"/>
  <c r="H1353" i="1"/>
  <c r="G1354" i="1" l="1"/>
  <c r="H1354" i="1"/>
  <c r="G1355" i="1" l="1"/>
  <c r="H1355" i="1"/>
  <c r="G1356" i="1" l="1"/>
  <c r="H1356" i="1"/>
  <c r="G1357" i="1" l="1"/>
  <c r="H1357" i="1"/>
  <c r="G1358" i="1" l="1"/>
  <c r="H1358" i="1"/>
  <c r="G1359" i="1" l="1"/>
  <c r="H1359" i="1"/>
  <c r="G1360" i="1" l="1"/>
  <c r="H1360" i="1"/>
  <c r="G1361" i="1" l="1"/>
  <c r="H1361" i="1"/>
  <c r="G1362" i="1" l="1"/>
  <c r="H1362" i="1"/>
  <c r="G1363" i="1" l="1"/>
  <c r="H1363" i="1"/>
  <c r="G1364" i="1" l="1"/>
  <c r="H1364" i="1"/>
  <c r="G1365" i="1" l="1"/>
  <c r="H1365" i="1"/>
  <c r="G1366" i="1" l="1"/>
  <c r="H1366" i="1"/>
  <c r="G1367" i="1" l="1"/>
  <c r="H1367" i="1"/>
  <c r="G1368" i="1" l="1"/>
  <c r="H1368" i="1"/>
  <c r="G1369" i="1" l="1"/>
  <c r="H1369" i="1"/>
  <c r="G1370" i="1" l="1"/>
  <c r="H1370" i="1"/>
  <c r="G1371" i="1" l="1"/>
  <c r="H1371" i="1"/>
  <c r="G1372" i="1" l="1"/>
  <c r="H1372" i="1"/>
  <c r="G1373" i="1" l="1"/>
  <c r="H1373" i="1"/>
  <c r="G1374" i="1" l="1"/>
  <c r="H1374" i="1"/>
  <c r="G1375" i="1" l="1"/>
  <c r="H1375" i="1"/>
  <c r="G1376" i="1" l="1"/>
  <c r="H1376" i="1"/>
  <c r="G1377" i="1" l="1"/>
  <c r="H1377" i="1"/>
  <c r="G1378" i="1" l="1"/>
  <c r="H1378" i="1"/>
  <c r="G1379" i="1" l="1"/>
  <c r="H1379" i="1"/>
  <c r="G1380" i="1" l="1"/>
  <c r="H1380" i="1"/>
  <c r="G1381" i="1" l="1"/>
  <c r="H1381" i="1"/>
  <c r="G1382" i="1" l="1"/>
  <c r="H1382" i="1"/>
  <c r="G1383" i="1" l="1"/>
  <c r="H1383" i="1"/>
  <c r="G1384" i="1" l="1"/>
  <c r="H1384" i="1"/>
  <c r="G1385" i="1" l="1"/>
  <c r="H1385" i="1"/>
  <c r="G1386" i="1" l="1"/>
  <c r="H1386" i="1"/>
  <c r="G1387" i="1" l="1"/>
  <c r="H1387" i="1"/>
  <c r="G1388" i="1" l="1"/>
  <c r="H1388" i="1"/>
  <c r="G1389" i="1" l="1"/>
  <c r="H1389" i="1"/>
  <c r="G1390" i="1" l="1"/>
  <c r="H1390" i="1"/>
  <c r="G1391" i="1" l="1"/>
  <c r="H1391" i="1"/>
  <c r="G1392" i="1" l="1"/>
  <c r="H1392" i="1"/>
  <c r="G1393" i="1" l="1"/>
  <c r="H1393" i="1"/>
  <c r="G1394" i="1" l="1"/>
  <c r="H1394" i="1"/>
  <c r="G1395" i="1" l="1"/>
  <c r="H1395" i="1"/>
  <c r="G1396" i="1" l="1"/>
  <c r="H1396" i="1"/>
  <c r="G1397" i="1" l="1"/>
  <c r="H1397" i="1"/>
  <c r="G1398" i="1" l="1"/>
  <c r="H1398" i="1"/>
  <c r="G1399" i="1" l="1"/>
  <c r="H1399" i="1"/>
  <c r="G1400" i="1" l="1"/>
  <c r="H1400" i="1"/>
  <c r="G1401" i="1" l="1"/>
  <c r="H1401" i="1"/>
  <c r="G1402" i="1" l="1"/>
  <c r="H1402" i="1"/>
  <c r="G1403" i="1" l="1"/>
  <c r="H1403" i="1"/>
  <c r="G1404" i="1" l="1"/>
  <c r="H1404" i="1"/>
  <c r="G1405" i="1" l="1"/>
  <c r="H1405" i="1"/>
  <c r="G1406" i="1" l="1"/>
  <c r="H1406" i="1"/>
  <c r="G1407" i="1" l="1"/>
  <c r="H1407" i="1"/>
  <c r="G1408" i="1" l="1"/>
  <c r="H1408" i="1"/>
  <c r="G1409" i="1" l="1"/>
  <c r="H1409" i="1"/>
  <c r="G1410" i="1" l="1"/>
  <c r="H1410" i="1"/>
  <c r="G1411" i="1" l="1"/>
  <c r="H1411" i="1"/>
  <c r="G1412" i="1" l="1"/>
  <c r="H1412" i="1"/>
  <c r="G1413" i="1" l="1"/>
  <c r="H1413" i="1"/>
  <c r="G1414" i="1" l="1"/>
  <c r="H1414" i="1"/>
  <c r="G1415" i="1" l="1"/>
  <c r="H1415" i="1"/>
  <c r="G1416" i="1" l="1"/>
  <c r="H1416" i="1"/>
  <c r="G1417" i="1" l="1"/>
  <c r="H1417" i="1"/>
  <c r="G1418" i="1" l="1"/>
  <c r="H1418" i="1"/>
  <c r="G1419" i="1" l="1"/>
  <c r="H1419" i="1"/>
  <c r="G1420" i="1" l="1"/>
  <c r="H1420" i="1"/>
  <c r="G1421" i="1" l="1"/>
  <c r="H1421" i="1"/>
  <c r="G1422" i="1" l="1"/>
  <c r="H1422" i="1"/>
  <c r="G1423" i="1" l="1"/>
  <c r="H1423" i="1"/>
  <c r="G1424" i="1" l="1"/>
  <c r="H1424" i="1"/>
  <c r="G1425" i="1" l="1"/>
  <c r="H1425" i="1"/>
  <c r="G1426" i="1" l="1"/>
  <c r="H1426" i="1"/>
  <c r="G1427" i="1" l="1"/>
  <c r="H1427" i="1"/>
  <c r="G1428" i="1" l="1"/>
  <c r="H1428" i="1"/>
  <c r="G1429" i="1" l="1"/>
  <c r="H1429" i="1"/>
  <c r="G1430" i="1" l="1"/>
  <c r="H1430" i="1"/>
  <c r="G1431" i="1" l="1"/>
  <c r="H1431" i="1"/>
  <c r="G1432" i="1" l="1"/>
  <c r="H1432" i="1"/>
  <c r="G1433" i="1" l="1"/>
  <c r="H1433" i="1"/>
  <c r="G1434" i="1" l="1"/>
  <c r="H1434" i="1"/>
  <c r="G1435" i="1" l="1"/>
  <c r="H1435" i="1"/>
  <c r="G1436" i="1" l="1"/>
  <c r="H1436" i="1"/>
  <c r="G1437" i="1" l="1"/>
  <c r="H1437" i="1"/>
  <c r="G1438" i="1" l="1"/>
  <c r="H1438" i="1"/>
  <c r="G1439" i="1" l="1"/>
  <c r="H1439" i="1"/>
  <c r="G1440" i="1" l="1"/>
  <c r="H1440" i="1"/>
  <c r="G1441" i="1" l="1"/>
  <c r="H1441" i="1"/>
  <c r="G1442" i="1" l="1"/>
  <c r="H1442" i="1"/>
  <c r="G1443" i="1" l="1"/>
  <c r="H1443" i="1"/>
  <c r="G1444" i="1" l="1"/>
  <c r="H1444" i="1"/>
  <c r="G1445" i="1" l="1"/>
  <c r="H1445" i="1"/>
  <c r="G1446" i="1" l="1"/>
  <c r="H1446" i="1"/>
  <c r="G1447" i="1" l="1"/>
  <c r="H1447" i="1"/>
  <c r="G1448" i="1" l="1"/>
  <c r="H1448" i="1"/>
  <c r="G1449" i="1" l="1"/>
  <c r="H1449" i="1"/>
  <c r="G1450" i="1" l="1"/>
  <c r="H1450" i="1"/>
  <c r="G1451" i="1" l="1"/>
  <c r="H1451" i="1"/>
  <c r="G1452" i="1" l="1"/>
  <c r="H1452" i="1"/>
  <c r="G1453" i="1" l="1"/>
  <c r="H1453" i="1"/>
  <c r="G1454" i="1" l="1"/>
  <c r="H1454" i="1"/>
  <c r="G1455" i="1" l="1"/>
  <c r="H1455" i="1"/>
  <c r="G1456" i="1" l="1"/>
  <c r="H1456" i="1"/>
  <c r="G1457" i="1" l="1"/>
  <c r="H1457" i="1"/>
  <c r="G1458" i="1" l="1"/>
  <c r="H1458" i="1"/>
  <c r="G1459" i="1" l="1"/>
  <c r="H1459" i="1"/>
  <c r="G1460" i="1" l="1"/>
  <c r="H1460" i="1"/>
  <c r="G1461" i="1" l="1"/>
  <c r="H1461" i="1"/>
  <c r="G1462" i="1" l="1"/>
  <c r="H1462" i="1"/>
  <c r="G1463" i="1" l="1"/>
  <c r="H1463" i="1"/>
  <c r="G1464" i="1" l="1"/>
  <c r="H1464" i="1"/>
  <c r="G1465" i="1" l="1"/>
  <c r="H1465" i="1"/>
  <c r="G1466" i="1" l="1"/>
  <c r="H1466" i="1"/>
  <c r="G1467" i="1" l="1"/>
  <c r="H1467" i="1"/>
  <c r="G1468" i="1" l="1"/>
  <c r="H1468" i="1"/>
  <c r="G1469" i="1" l="1"/>
  <c r="H1469" i="1"/>
  <c r="G1470" i="1" l="1"/>
  <c r="H1470" i="1"/>
  <c r="G1471" i="1" l="1"/>
  <c r="H1471" i="1"/>
  <c r="G1472" i="1" l="1"/>
  <c r="H1472" i="1"/>
  <c r="G1473" i="1" l="1"/>
  <c r="H1473" i="1"/>
  <c r="G1474" i="1" l="1"/>
  <c r="H1474" i="1"/>
  <c r="G1475" i="1" l="1"/>
  <c r="H1475" i="1"/>
  <c r="G1476" i="1" l="1"/>
  <c r="H1476" i="1"/>
  <c r="G1477" i="1" l="1"/>
  <c r="H1477" i="1"/>
  <c r="G1478" i="1" l="1"/>
  <c r="H1478" i="1"/>
  <c r="G1479" i="1" l="1"/>
  <c r="H1479" i="1"/>
  <c r="G1480" i="1" l="1"/>
  <c r="H1480" i="1"/>
  <c r="G1481" i="1" l="1"/>
  <c r="H1481" i="1"/>
  <c r="G1482" i="1" l="1"/>
  <c r="H1482" i="1"/>
  <c r="G1483" i="1" l="1"/>
  <c r="H1483" i="1"/>
  <c r="G1484" i="1" l="1"/>
  <c r="H1484" i="1"/>
  <c r="G1485" i="1" l="1"/>
  <c r="H1485" i="1"/>
  <c r="G1486" i="1" l="1"/>
  <c r="H1486" i="1"/>
  <c r="G1487" i="1" l="1"/>
  <c r="H1487" i="1"/>
  <c r="G1488" i="1" l="1"/>
  <c r="H1488" i="1"/>
  <c r="G1489" i="1" l="1"/>
  <c r="H1489" i="1"/>
  <c r="G1490" i="1" l="1"/>
  <c r="H1490" i="1"/>
  <c r="G1491" i="1" l="1"/>
  <c r="H1491" i="1"/>
  <c r="G1492" i="1" l="1"/>
  <c r="H1492" i="1"/>
  <c r="G1493" i="1" l="1"/>
  <c r="H1493" i="1"/>
  <c r="G1494" i="1" l="1"/>
  <c r="H1494" i="1"/>
  <c r="G1495" i="1" l="1"/>
  <c r="H1495" i="1"/>
  <c r="G1496" i="1" l="1"/>
  <c r="H1496" i="1"/>
  <c r="G1497" i="1" l="1"/>
  <c r="H1497" i="1"/>
  <c r="G1498" i="1" l="1"/>
  <c r="H1498" i="1"/>
  <c r="G1499" i="1" l="1"/>
  <c r="H1499" i="1"/>
  <c r="G1500" i="1" l="1"/>
  <c r="H1500" i="1"/>
  <c r="G1501" i="1" l="1"/>
  <c r="H1501" i="1"/>
  <c r="G1502" i="1" l="1"/>
  <c r="H1502" i="1"/>
  <c r="G1503" i="1" l="1"/>
  <c r="H1503" i="1"/>
  <c r="G1504" i="1" l="1"/>
  <c r="H1504" i="1"/>
  <c r="G1505" i="1" l="1"/>
  <c r="H1505" i="1"/>
  <c r="G1506" i="1" l="1"/>
  <c r="H1506" i="1"/>
  <c r="G1507" i="1" l="1"/>
  <c r="H1507" i="1"/>
  <c r="G1508" i="1" l="1"/>
  <c r="H1508" i="1"/>
  <c r="G1509" i="1" l="1"/>
  <c r="H1509" i="1"/>
  <c r="G1510" i="1" l="1"/>
  <c r="H1510" i="1"/>
  <c r="G1511" i="1" l="1"/>
  <c r="H1511" i="1"/>
  <c r="G1512" i="1" l="1"/>
  <c r="H1512" i="1"/>
  <c r="G1513" i="1" l="1"/>
  <c r="H1513" i="1"/>
  <c r="G1514" i="1" l="1"/>
  <c r="H1514" i="1"/>
  <c r="G1515" i="1" l="1"/>
  <c r="H1515" i="1"/>
  <c r="G1516" i="1" l="1"/>
  <c r="H1516" i="1"/>
  <c r="G1517" i="1" l="1"/>
  <c r="H1517" i="1"/>
  <c r="G1518" i="1" l="1"/>
  <c r="H1518" i="1"/>
  <c r="G1519" i="1" l="1"/>
  <c r="H1519" i="1"/>
  <c r="G1520" i="1" l="1"/>
  <c r="H1520" i="1"/>
  <c r="G1521" i="1" l="1"/>
  <c r="H1521" i="1"/>
  <c r="G1522" i="1" l="1"/>
  <c r="H1522" i="1"/>
  <c r="G1523" i="1" l="1"/>
  <c r="H1523" i="1"/>
  <c r="G1524" i="1" l="1"/>
  <c r="H1524" i="1"/>
  <c r="G1525" i="1" l="1"/>
  <c r="H1525" i="1"/>
  <c r="G1526" i="1" l="1"/>
  <c r="H1526" i="1"/>
  <c r="G1527" i="1" l="1"/>
  <c r="H1527" i="1"/>
  <c r="G1528" i="1" l="1"/>
  <c r="H1528" i="1"/>
  <c r="G1529" i="1" l="1"/>
  <c r="H1529" i="1"/>
  <c r="G1530" i="1" l="1"/>
  <c r="H1530" i="1"/>
  <c r="G1531" i="1" l="1"/>
  <c r="H1531" i="1"/>
  <c r="G1532" i="1" l="1"/>
  <c r="H1532" i="1"/>
  <c r="G1533" i="1" l="1"/>
  <c r="H1533" i="1"/>
  <c r="G1534" i="1" l="1"/>
  <c r="H1534" i="1"/>
  <c r="G1535" i="1" l="1"/>
  <c r="H1535" i="1"/>
  <c r="G1536" i="1" l="1"/>
  <c r="H1536" i="1"/>
  <c r="G1537" i="1" l="1"/>
  <c r="H1537" i="1"/>
  <c r="G1538" i="1" l="1"/>
  <c r="H1538" i="1"/>
  <c r="G1539" i="1" l="1"/>
  <c r="H1539" i="1"/>
  <c r="G1540" i="1" l="1"/>
  <c r="H1540" i="1"/>
  <c r="G1541" i="1" l="1"/>
  <c r="H1541" i="1"/>
  <c r="G1542" i="1" l="1"/>
  <c r="H1542" i="1"/>
  <c r="G1543" i="1" l="1"/>
  <c r="H1543" i="1"/>
  <c r="G1544" i="1" l="1"/>
  <c r="H1544" i="1"/>
  <c r="G1545" i="1" l="1"/>
  <c r="H1545" i="1"/>
  <c r="G1546" i="1" l="1"/>
  <c r="H1546" i="1"/>
  <c r="G1547" i="1" l="1"/>
  <c r="H1547" i="1"/>
  <c r="G1548" i="1" l="1"/>
  <c r="H1548" i="1"/>
  <c r="G1549" i="1" l="1"/>
  <c r="H1549" i="1"/>
  <c r="G1550" i="1" l="1"/>
  <c r="H1550" i="1"/>
  <c r="G1551" i="1" l="1"/>
  <c r="H1551" i="1"/>
  <c r="G1552" i="1" l="1"/>
  <c r="H1552" i="1"/>
  <c r="G1553" i="1" l="1"/>
  <c r="H1553" i="1"/>
  <c r="G1554" i="1" l="1"/>
  <c r="H1554" i="1"/>
  <c r="G1555" i="1" l="1"/>
  <c r="H1555" i="1"/>
  <c r="G1556" i="1" l="1"/>
  <c r="H1556" i="1"/>
  <c r="G1557" i="1" l="1"/>
  <c r="H1557" i="1"/>
  <c r="G1558" i="1" l="1"/>
  <c r="H1558" i="1"/>
  <c r="G1559" i="1" l="1"/>
  <c r="H1559" i="1"/>
  <c r="G1560" i="1" l="1"/>
  <c r="H1560" i="1"/>
  <c r="G1561" i="1" l="1"/>
  <c r="H1561" i="1"/>
  <c r="G1562" i="1" l="1"/>
  <c r="H1562" i="1"/>
  <c r="G1563" i="1" l="1"/>
  <c r="H1563" i="1"/>
  <c r="G1564" i="1" l="1"/>
  <c r="H1564" i="1"/>
  <c r="H1566" i="1" l="1"/>
  <c r="G1565" i="1"/>
  <c r="H1565" i="1"/>
  <c r="G1566" i="1" l="1"/>
  <c r="G1567" i="1" l="1"/>
  <c r="H1567" i="1"/>
  <c r="G1568" i="1" l="1"/>
  <c r="H1568" i="1"/>
  <c r="H1569" i="1"/>
  <c r="G1569" i="1" l="1"/>
  <c r="G1570" i="1" l="1"/>
  <c r="H1570" i="1"/>
  <c r="G1571" i="1" l="1"/>
  <c r="H1571" i="1"/>
  <c r="G1572" i="1" l="1"/>
  <c r="H1572" i="1"/>
  <c r="G1573" i="1" l="1"/>
  <c r="H1573" i="1"/>
  <c r="G1574" i="1" l="1"/>
  <c r="H1574" i="1"/>
  <c r="G1575" i="1" l="1"/>
  <c r="H1575" i="1"/>
  <c r="G1576" i="1" l="1"/>
  <c r="H1576" i="1"/>
  <c r="G1577" i="1" l="1"/>
  <c r="H1577" i="1"/>
  <c r="G1578" i="1" l="1"/>
  <c r="H1578" i="1"/>
  <c r="G1579" i="1" l="1"/>
  <c r="H1579" i="1"/>
  <c r="G1580" i="1" l="1"/>
  <c r="H1580" i="1"/>
  <c r="G1581" i="1" l="1"/>
  <c r="H1581" i="1"/>
  <c r="G1582" i="1" l="1"/>
  <c r="H1582" i="1"/>
  <c r="G1583" i="1" l="1"/>
  <c r="H1583" i="1"/>
  <c r="G1584" i="1" l="1"/>
  <c r="H1584" i="1"/>
  <c r="G1585" i="1" l="1"/>
  <c r="H1585" i="1"/>
  <c r="G1586" i="1" l="1"/>
  <c r="H1586" i="1"/>
  <c r="G1587" i="1" l="1"/>
  <c r="H1587" i="1"/>
  <c r="G1588" i="1" l="1"/>
  <c r="H1588" i="1"/>
  <c r="G1589" i="1" l="1"/>
  <c r="H1589" i="1"/>
  <c r="G1590" i="1" l="1"/>
  <c r="H1590" i="1"/>
  <c r="G1591" i="1" l="1"/>
  <c r="H1591" i="1"/>
  <c r="G1592" i="1" l="1"/>
  <c r="H1592" i="1"/>
  <c r="G1593" i="1" l="1"/>
  <c r="H1593" i="1"/>
  <c r="G1594" i="1" l="1"/>
  <c r="H1594" i="1"/>
  <c r="G1595" i="1" l="1"/>
  <c r="H1595" i="1"/>
  <c r="G1596" i="1" l="1"/>
  <c r="H1596" i="1"/>
  <c r="G1597" i="1" l="1"/>
  <c r="H1597" i="1"/>
  <c r="G1598" i="1" l="1"/>
  <c r="H1598" i="1"/>
  <c r="G1599" i="1" l="1"/>
  <c r="H1599" i="1"/>
  <c r="G1600" i="1" l="1"/>
  <c r="H1600" i="1"/>
  <c r="G1601" i="1" l="1"/>
  <c r="H1601" i="1"/>
  <c r="G1602" i="1" l="1"/>
  <c r="H1602" i="1"/>
  <c r="G1603" i="1" l="1"/>
  <c r="H1603" i="1"/>
  <c r="G1604" i="1" l="1"/>
  <c r="H1604" i="1"/>
  <c r="G1605" i="1" l="1"/>
  <c r="H1605" i="1"/>
  <c r="G1606" i="1" l="1"/>
  <c r="H1606" i="1"/>
  <c r="G1607" i="1" l="1"/>
  <c r="H1607" i="1"/>
  <c r="G1608" i="1" l="1"/>
  <c r="H1608" i="1"/>
  <c r="G1609" i="1" l="1"/>
  <c r="H1609" i="1"/>
  <c r="G1610" i="1" l="1"/>
  <c r="H1610" i="1"/>
  <c r="G1611" i="1" l="1"/>
  <c r="H1611" i="1"/>
  <c r="G1612" i="1" l="1"/>
  <c r="H1612" i="1"/>
  <c r="G1613" i="1" l="1"/>
  <c r="H1613" i="1"/>
  <c r="G1614" i="1" l="1"/>
  <c r="H1614" i="1"/>
  <c r="G1615" i="1" l="1"/>
  <c r="H1615" i="1"/>
  <c r="G1616" i="1" l="1"/>
  <c r="H1616" i="1"/>
  <c r="G1617" i="1" l="1"/>
  <c r="H1617" i="1"/>
  <c r="G1618" i="1" l="1"/>
  <c r="H1618" i="1"/>
  <c r="G1619" i="1" l="1"/>
  <c r="H1619" i="1"/>
  <c r="G1620" i="1" l="1"/>
  <c r="H1620" i="1"/>
  <c r="G1621" i="1" l="1"/>
  <c r="H1621" i="1"/>
  <c r="G1622" i="1" l="1"/>
  <c r="H1622" i="1"/>
  <c r="G1623" i="1" l="1"/>
  <c r="H1623" i="1"/>
  <c r="G1624" i="1" l="1"/>
  <c r="H1624" i="1"/>
  <c r="G1625" i="1" l="1"/>
  <c r="H1625" i="1"/>
  <c r="G1626" i="1" l="1"/>
  <c r="H1626" i="1"/>
  <c r="G1627" i="1" l="1"/>
  <c r="H1627" i="1"/>
  <c r="G1628" i="1" l="1"/>
  <c r="H1628" i="1"/>
  <c r="G1629" i="1" l="1"/>
  <c r="H1629" i="1"/>
  <c r="G1630" i="1" l="1"/>
  <c r="H1630" i="1"/>
  <c r="G1631" i="1" l="1"/>
  <c r="H1631" i="1"/>
  <c r="G1632" i="1" l="1"/>
  <c r="H1632" i="1"/>
  <c r="G1633" i="1" l="1"/>
  <c r="H1633" i="1"/>
  <c r="G1634" i="1" l="1"/>
  <c r="H1634" i="1"/>
  <c r="G1635" i="1" l="1"/>
  <c r="H1635" i="1"/>
  <c r="G1636" i="1" l="1"/>
  <c r="H1636" i="1"/>
  <c r="G1637" i="1" l="1"/>
  <c r="H1637" i="1"/>
  <c r="G1638" i="1" l="1"/>
  <c r="H1638" i="1"/>
  <c r="G1639" i="1" l="1"/>
  <c r="H1639" i="1"/>
  <c r="G1640" i="1" l="1"/>
  <c r="H1640" i="1"/>
  <c r="G1641" i="1" l="1"/>
  <c r="H1641" i="1"/>
  <c r="G1642" i="1" l="1"/>
  <c r="H1642" i="1"/>
  <c r="G1643" i="1" l="1"/>
  <c r="H1643" i="1"/>
  <c r="G1644" i="1" l="1"/>
  <c r="H1644" i="1"/>
  <c r="G1645" i="1" l="1"/>
  <c r="H1645" i="1"/>
  <c r="G1646" i="1" l="1"/>
  <c r="H1646" i="1"/>
  <c r="G1647" i="1" l="1"/>
  <c r="H1647" i="1"/>
  <c r="G1648" i="1" l="1"/>
  <c r="H1648" i="1"/>
  <c r="G1649" i="1" l="1"/>
  <c r="H1649" i="1"/>
  <c r="G1650" i="1" l="1"/>
  <c r="H1650" i="1"/>
  <c r="G1651" i="1" l="1"/>
  <c r="H1651" i="1"/>
  <c r="G1652" i="1" l="1"/>
  <c r="H1652" i="1"/>
  <c r="G1653" i="1" l="1"/>
  <c r="H1653" i="1"/>
  <c r="G1654" i="1" l="1"/>
  <c r="H1654" i="1"/>
  <c r="G1655" i="1" l="1"/>
  <c r="H1655" i="1"/>
  <c r="G1656" i="1" l="1"/>
  <c r="H1656" i="1"/>
  <c r="G1657" i="1" l="1"/>
  <c r="H1657" i="1"/>
  <c r="G1658" i="1" l="1"/>
  <c r="H1658" i="1"/>
  <c r="G1659" i="1" l="1"/>
  <c r="H1659" i="1"/>
  <c r="G1660" i="1" l="1"/>
  <c r="H1660" i="1"/>
  <c r="G1661" i="1" l="1"/>
  <c r="H1661" i="1"/>
  <c r="G1662" i="1" l="1"/>
  <c r="H1662" i="1"/>
  <c r="G1663" i="1" l="1"/>
  <c r="H1663" i="1"/>
  <c r="G1664" i="1" l="1"/>
  <c r="H1664" i="1"/>
  <c r="G1665" i="1" l="1"/>
  <c r="H1665" i="1"/>
  <c r="G1666" i="1" l="1"/>
  <c r="H1666" i="1"/>
  <c r="G1667" i="1" l="1"/>
  <c r="H1667" i="1"/>
  <c r="G1668" i="1" l="1"/>
  <c r="H1668" i="1"/>
  <c r="G1669" i="1" l="1"/>
  <c r="H1669" i="1"/>
  <c r="G1670" i="1" l="1"/>
  <c r="H1670" i="1"/>
  <c r="G1671" i="1" l="1"/>
  <c r="H1671" i="1"/>
  <c r="G1672" i="1" l="1"/>
  <c r="H1672" i="1"/>
  <c r="G1673" i="1" l="1"/>
  <c r="H1673" i="1"/>
  <c r="G1674" i="1" l="1"/>
  <c r="H1674" i="1"/>
  <c r="G1675" i="1" l="1"/>
  <c r="H1675" i="1"/>
  <c r="G1676" i="1" l="1"/>
  <c r="H1676" i="1"/>
  <c r="G1677" i="1" l="1"/>
  <c r="H1677" i="1"/>
  <c r="G1678" i="1" l="1"/>
  <c r="H1678" i="1"/>
  <c r="G1679" i="1" l="1"/>
  <c r="H1679" i="1"/>
  <c r="G1680" i="1" l="1"/>
  <c r="H1680" i="1"/>
  <c r="G1681" i="1" l="1"/>
  <c r="H1681" i="1"/>
  <c r="G1682" i="1" l="1"/>
  <c r="H1682" i="1"/>
  <c r="G1683" i="1" l="1"/>
  <c r="H1683" i="1"/>
  <c r="G1684" i="1" l="1"/>
  <c r="H1684" i="1"/>
  <c r="G1685" i="1" l="1"/>
  <c r="H1685" i="1"/>
  <c r="G1686" i="1" l="1"/>
  <c r="H1686" i="1"/>
  <c r="G1687" i="1" l="1"/>
  <c r="H1687" i="1"/>
  <c r="G1688" i="1" l="1"/>
  <c r="H1688" i="1"/>
  <c r="G1689" i="1" l="1"/>
  <c r="H1689" i="1"/>
  <c r="G1690" i="1" l="1"/>
  <c r="H1690" i="1"/>
  <c r="G1691" i="1" l="1"/>
  <c r="H1691" i="1"/>
  <c r="G1692" i="1" l="1"/>
  <c r="H1692" i="1"/>
  <c r="G1693" i="1" l="1"/>
  <c r="H1693" i="1"/>
  <c r="G1694" i="1" l="1"/>
  <c r="H1694" i="1"/>
  <c r="G1695" i="1" l="1"/>
  <c r="H1695" i="1"/>
  <c r="G1696" i="1" l="1"/>
  <c r="H1696" i="1"/>
  <c r="G1697" i="1" l="1"/>
  <c r="H1697" i="1"/>
  <c r="G1698" i="1" l="1"/>
  <c r="H1698" i="1"/>
  <c r="G1699" i="1" l="1"/>
  <c r="H1699" i="1"/>
  <c r="G1700" i="1" l="1"/>
  <c r="H1700" i="1"/>
  <c r="G1701" i="1" l="1"/>
  <c r="H1701" i="1"/>
  <c r="G1702" i="1" l="1"/>
  <c r="H1702" i="1"/>
  <c r="G1703" i="1" l="1"/>
  <c r="H1703" i="1"/>
  <c r="G1704" i="1" l="1"/>
  <c r="H1704" i="1"/>
  <c r="G1705" i="1" l="1"/>
  <c r="H1705" i="1"/>
  <c r="G1706" i="1" l="1"/>
  <c r="H1706" i="1"/>
  <c r="G1707" i="1" l="1"/>
  <c r="H1707" i="1"/>
  <c r="G1708" i="1" l="1"/>
  <c r="H1708" i="1"/>
  <c r="G1709" i="1" l="1"/>
  <c r="H1709" i="1"/>
  <c r="G1710" i="1" l="1"/>
  <c r="H1710" i="1"/>
  <c r="G1711" i="1" l="1"/>
  <c r="H1711" i="1"/>
  <c r="G1712" i="1" l="1"/>
  <c r="H1712" i="1"/>
  <c r="G1713" i="1" l="1"/>
  <c r="H1713" i="1"/>
  <c r="G1714" i="1" l="1"/>
  <c r="H1714" i="1"/>
  <c r="G1715" i="1" l="1"/>
  <c r="H1715" i="1"/>
  <c r="G1716" i="1" l="1"/>
  <c r="H1716" i="1"/>
  <c r="G1717" i="1" l="1"/>
  <c r="H1717" i="1"/>
  <c r="G1718" i="1" l="1"/>
  <c r="H1718" i="1"/>
  <c r="G1719" i="1" l="1"/>
  <c r="H1719" i="1"/>
  <c r="G1720" i="1" l="1"/>
  <c r="H1720" i="1"/>
  <c r="G1721" i="1" l="1"/>
  <c r="H1721" i="1"/>
  <c r="G1722" i="1" l="1"/>
  <c r="H1722" i="1"/>
  <c r="G1723" i="1" l="1"/>
  <c r="H1723" i="1"/>
  <c r="G1724" i="1" l="1"/>
  <c r="H1724" i="1"/>
  <c r="G1725" i="1" l="1"/>
  <c r="H1725" i="1"/>
  <c r="G1726" i="1" l="1"/>
  <c r="H1726" i="1"/>
  <c r="G1727" i="1" l="1"/>
  <c r="H1727" i="1"/>
  <c r="G1728" i="1" l="1"/>
  <c r="H1728" i="1"/>
  <c r="G1729" i="1" l="1"/>
  <c r="H1729" i="1"/>
  <c r="G1730" i="1" l="1"/>
  <c r="H1730" i="1"/>
  <c r="G1731" i="1" l="1"/>
  <c r="H1731" i="1"/>
  <c r="G1732" i="1" l="1"/>
  <c r="H1732" i="1"/>
  <c r="G1733" i="1" l="1"/>
  <c r="H1733" i="1"/>
  <c r="G1734" i="1" l="1"/>
  <c r="H1734" i="1"/>
  <c r="G1735" i="1" l="1"/>
  <c r="H1735" i="1"/>
  <c r="G1736" i="1" l="1"/>
  <c r="H1736" i="1"/>
  <c r="G1737" i="1" l="1"/>
  <c r="H1737" i="1"/>
  <c r="G1738" i="1" l="1"/>
  <c r="H1738" i="1"/>
  <c r="G1739" i="1" l="1"/>
  <c r="H1739" i="1"/>
  <c r="G1740" i="1" l="1"/>
  <c r="H1740" i="1"/>
  <c r="G1741" i="1" l="1"/>
  <c r="H1741" i="1"/>
  <c r="G1742" i="1" l="1"/>
  <c r="H1742" i="1"/>
  <c r="G1743" i="1" l="1"/>
  <c r="H1743" i="1"/>
  <c r="G1744" i="1" l="1"/>
  <c r="H1744" i="1"/>
  <c r="G1745" i="1" l="1"/>
  <c r="H1745" i="1"/>
  <c r="G1746" i="1" l="1"/>
  <c r="H1746" i="1"/>
  <c r="G1747" i="1" l="1"/>
  <c r="H1747" i="1"/>
  <c r="G1748" i="1" l="1"/>
  <c r="H1748" i="1"/>
  <c r="G1749" i="1" l="1"/>
  <c r="H1749" i="1"/>
  <c r="G1750" i="1" l="1"/>
  <c r="H1750" i="1"/>
  <c r="G1751" i="1" l="1"/>
  <c r="H1751" i="1"/>
  <c r="G1752" i="1" l="1"/>
  <c r="H1752" i="1"/>
  <c r="G1753" i="1" l="1"/>
  <c r="H1753" i="1"/>
  <c r="G1754" i="1" l="1"/>
  <c r="H1754" i="1"/>
  <c r="G1755" i="1" l="1"/>
  <c r="H1755" i="1"/>
  <c r="G1756" i="1" l="1"/>
  <c r="H1756" i="1"/>
  <c r="G1757" i="1" l="1"/>
  <c r="H1757" i="1"/>
  <c r="G1758" i="1" l="1"/>
  <c r="H1758" i="1"/>
  <c r="G1759" i="1" l="1"/>
  <c r="H1759" i="1"/>
  <c r="G1760" i="1" l="1"/>
  <c r="H1760" i="1"/>
  <c r="G1761" i="1" l="1"/>
  <c r="H1761" i="1"/>
  <c r="G1762" i="1" l="1"/>
  <c r="H1762" i="1"/>
  <c r="G1763" i="1" l="1"/>
  <c r="H1763" i="1"/>
  <c r="G1764" i="1" l="1"/>
  <c r="H1764" i="1"/>
  <c r="G1765" i="1" l="1"/>
  <c r="H1765" i="1"/>
  <c r="G1766" i="1" l="1"/>
  <c r="H1766" i="1"/>
  <c r="G1767" i="1" l="1"/>
  <c r="H1767" i="1"/>
  <c r="G1768" i="1" l="1"/>
  <c r="H1768" i="1"/>
  <c r="G1769" i="1" l="1"/>
  <c r="H1769" i="1"/>
  <c r="G1770" i="1" l="1"/>
  <c r="H1770" i="1"/>
  <c r="G1771" i="1" l="1"/>
  <c r="H1771" i="1"/>
  <c r="G1772" i="1" l="1"/>
  <c r="H1772" i="1"/>
  <c r="G1773" i="1" l="1"/>
  <c r="H1773" i="1"/>
  <c r="G1774" i="1" l="1"/>
  <c r="H1774" i="1"/>
  <c r="G1775" i="1" l="1"/>
  <c r="H1775" i="1"/>
  <c r="G1776" i="1" l="1"/>
  <c r="H1776" i="1"/>
  <c r="G1777" i="1" l="1"/>
  <c r="H1777" i="1"/>
  <c r="G1778" i="1" l="1"/>
  <c r="H1778" i="1"/>
  <c r="G1779" i="1" l="1"/>
  <c r="H1779" i="1"/>
  <c r="G1780" i="1" l="1"/>
  <c r="H1780" i="1"/>
  <c r="G1781" i="1" l="1"/>
  <c r="H1781" i="1"/>
  <c r="G1782" i="1" l="1"/>
  <c r="H1782" i="1"/>
  <c r="G1783" i="1" l="1"/>
  <c r="H1783" i="1"/>
  <c r="G1784" i="1" l="1"/>
  <c r="H1784" i="1"/>
  <c r="G1785" i="1" l="1"/>
  <c r="H1785" i="1"/>
  <c r="G1786" i="1" l="1"/>
  <c r="H1786" i="1"/>
  <c r="G1787" i="1" l="1"/>
  <c r="H1787" i="1"/>
  <c r="G1788" i="1" l="1"/>
  <c r="H1788" i="1"/>
  <c r="G1789" i="1" l="1"/>
  <c r="H1789" i="1"/>
  <c r="G1790" i="1" l="1"/>
  <c r="H1790" i="1"/>
  <c r="G1791" i="1" l="1"/>
  <c r="H1791" i="1"/>
  <c r="G1792" i="1" l="1"/>
  <c r="H1792" i="1"/>
  <c r="G1793" i="1" l="1"/>
  <c r="H1793" i="1"/>
  <c r="G1794" i="1" l="1"/>
  <c r="H1794" i="1"/>
  <c r="G1795" i="1" l="1"/>
  <c r="H1795" i="1"/>
  <c r="G1796" i="1" l="1"/>
  <c r="H1796" i="1"/>
  <c r="G1797" i="1" l="1"/>
  <c r="H1797" i="1"/>
  <c r="G1798" i="1" l="1"/>
  <c r="H1798" i="1"/>
  <c r="G1799" i="1" l="1"/>
  <c r="H1799" i="1"/>
  <c r="G1800" i="1" l="1"/>
  <c r="H1800" i="1"/>
  <c r="G1801" i="1" l="1"/>
  <c r="H1801" i="1"/>
  <c r="G1802" i="1" l="1"/>
  <c r="H1802" i="1"/>
  <c r="G1803" i="1" l="1"/>
  <c r="H1803" i="1"/>
  <c r="G1804" i="1" l="1"/>
  <c r="H1804" i="1"/>
  <c r="G1805" i="1" l="1"/>
  <c r="H1805" i="1"/>
  <c r="G1806" i="1" l="1"/>
  <c r="H1806" i="1"/>
  <c r="G1807" i="1" l="1"/>
  <c r="H1807" i="1"/>
  <c r="G1808" i="1" l="1"/>
  <c r="H1808" i="1"/>
  <c r="G1809" i="1" l="1"/>
  <c r="H1809" i="1"/>
  <c r="G1810" i="1" l="1"/>
  <c r="H1810" i="1"/>
  <c r="G1811" i="1" l="1"/>
  <c r="H1811" i="1"/>
  <c r="G1812" i="1" l="1"/>
  <c r="H1812" i="1"/>
  <c r="G1813" i="1" l="1"/>
  <c r="H1813" i="1"/>
  <c r="G1814" i="1" l="1"/>
  <c r="H1814" i="1"/>
  <c r="G1815" i="1" l="1"/>
  <c r="H1815" i="1"/>
  <c r="G1816" i="1" l="1"/>
  <c r="H1816" i="1"/>
  <c r="G1817" i="1" l="1"/>
  <c r="H1817" i="1"/>
  <c r="G1818" i="1" l="1"/>
  <c r="H1818" i="1"/>
  <c r="G1819" i="1" l="1"/>
  <c r="H1819" i="1"/>
  <c r="G1820" i="1" l="1"/>
  <c r="H1820" i="1"/>
  <c r="G1821" i="1" l="1"/>
  <c r="H1821" i="1"/>
  <c r="G1822" i="1" l="1"/>
  <c r="H1822" i="1"/>
  <c r="G1823" i="1" l="1"/>
  <c r="H1823" i="1"/>
  <c r="G1824" i="1" l="1"/>
  <c r="H1824" i="1"/>
  <c r="G1825" i="1" l="1"/>
  <c r="H1825" i="1"/>
  <c r="G1826" i="1" l="1"/>
  <c r="H1826" i="1"/>
  <c r="G1827" i="1" l="1"/>
  <c r="H1827" i="1"/>
  <c r="G1828" i="1" l="1"/>
  <c r="H1828" i="1"/>
  <c r="G1829" i="1" l="1"/>
  <c r="H1829" i="1"/>
  <c r="G1830" i="1" l="1"/>
  <c r="H1830" i="1"/>
  <c r="G1831" i="1" l="1"/>
  <c r="H1831" i="1"/>
  <c r="G1832" i="1" l="1"/>
  <c r="H1832" i="1"/>
  <c r="G1833" i="1" l="1"/>
  <c r="H1833" i="1"/>
  <c r="G1834" i="1" l="1"/>
  <c r="H1834" i="1"/>
  <c r="G1835" i="1" l="1"/>
  <c r="H1835" i="1"/>
  <c r="G1836" i="1" l="1"/>
  <c r="H1836" i="1"/>
  <c r="G1837" i="1" l="1"/>
  <c r="H1837" i="1"/>
  <c r="G1838" i="1" l="1"/>
  <c r="H1838" i="1"/>
  <c r="G1839" i="1" l="1"/>
  <c r="H1839" i="1"/>
  <c r="G1840" i="1" l="1"/>
  <c r="H1840" i="1"/>
  <c r="G1841" i="1" l="1"/>
  <c r="H1841" i="1"/>
  <c r="G1842" i="1" l="1"/>
  <c r="H1842" i="1"/>
  <c r="G1843" i="1" l="1"/>
  <c r="H1843" i="1"/>
  <c r="G1844" i="1" l="1"/>
  <c r="H1844" i="1"/>
  <c r="G1845" i="1" l="1"/>
  <c r="H1845" i="1"/>
  <c r="G1846" i="1" l="1"/>
  <c r="H1846" i="1"/>
  <c r="G1847" i="1" l="1"/>
  <c r="H1847" i="1"/>
  <c r="G1848" i="1" l="1"/>
  <c r="H1848" i="1"/>
  <c r="G1849" i="1" l="1"/>
  <c r="H1849" i="1"/>
  <c r="G1850" i="1" l="1"/>
  <c r="H1850" i="1"/>
  <c r="G1851" i="1" l="1"/>
  <c r="H1851" i="1"/>
  <c r="G1852" i="1" l="1"/>
  <c r="H1852" i="1"/>
  <c r="G1853" i="1" l="1"/>
  <c r="H1853" i="1"/>
  <c r="G1854" i="1" l="1"/>
  <c r="H1854" i="1"/>
  <c r="G1855" i="1" l="1"/>
  <c r="H1855" i="1"/>
  <c r="G1856" i="1" l="1"/>
  <c r="H1856" i="1"/>
  <c r="G1857" i="1" l="1"/>
  <c r="H1857" i="1"/>
  <c r="G1858" i="1" l="1"/>
  <c r="H1858" i="1"/>
  <c r="G1859" i="1" l="1"/>
  <c r="H1859" i="1"/>
  <c r="G1860" i="1" l="1"/>
  <c r="H1860" i="1"/>
  <c r="G1861" i="1" l="1"/>
  <c r="H1861" i="1"/>
  <c r="G1862" i="1" l="1"/>
  <c r="H1862" i="1"/>
  <c r="G1863" i="1" l="1"/>
  <c r="H1863" i="1"/>
  <c r="G1864" i="1" l="1"/>
  <c r="H1864" i="1"/>
  <c r="G1865" i="1" l="1"/>
  <c r="H1865" i="1"/>
  <c r="G1866" i="1" l="1"/>
  <c r="H1866" i="1"/>
  <c r="G1867" i="1" l="1"/>
  <c r="H1867" i="1"/>
  <c r="G1868" i="1" l="1"/>
  <c r="H1868" i="1"/>
  <c r="G1869" i="1" l="1"/>
  <c r="H1869" i="1"/>
  <c r="G1870" i="1" l="1"/>
  <c r="H1870" i="1"/>
  <c r="G1871" i="1" l="1"/>
  <c r="H1871" i="1"/>
  <c r="G1872" i="1" l="1"/>
  <c r="H1872" i="1"/>
  <c r="G1873" i="1" l="1"/>
  <c r="H1873" i="1"/>
  <c r="G1874" i="1" l="1"/>
  <c r="H1874" i="1"/>
  <c r="G1875" i="1" l="1"/>
  <c r="H1875" i="1"/>
  <c r="G1876" i="1" l="1"/>
  <c r="H1876" i="1"/>
  <c r="G1877" i="1" l="1"/>
  <c r="H1877" i="1"/>
  <c r="G1878" i="1" l="1"/>
  <c r="H1878" i="1"/>
  <c r="G1879" i="1" l="1"/>
  <c r="H1879" i="1"/>
  <c r="G1880" i="1" l="1"/>
  <c r="H1880" i="1"/>
  <c r="G1881" i="1" l="1"/>
  <c r="H1881" i="1"/>
  <c r="G1882" i="1" l="1"/>
  <c r="H1882" i="1"/>
  <c r="G1883" i="1" l="1"/>
  <c r="H1883" i="1"/>
  <c r="G1884" i="1" l="1"/>
  <c r="H1884" i="1"/>
  <c r="G1885" i="1" l="1"/>
  <c r="H1885" i="1"/>
  <c r="G1886" i="1" l="1"/>
  <c r="H1886" i="1"/>
  <c r="G1887" i="1" l="1"/>
  <c r="H1887" i="1"/>
  <c r="G1888" i="1" l="1"/>
  <c r="H1888" i="1"/>
  <c r="G1889" i="1" l="1"/>
  <c r="H1889" i="1"/>
  <c r="G1890" i="1" l="1"/>
  <c r="H1890" i="1"/>
  <c r="G1891" i="1" l="1"/>
  <c r="H1891" i="1"/>
  <c r="G1892" i="1" l="1"/>
  <c r="H1892" i="1"/>
  <c r="G1893" i="1" l="1"/>
  <c r="H1893" i="1"/>
  <c r="G1894" i="1" l="1"/>
  <c r="H1894" i="1"/>
  <c r="G1895" i="1" l="1"/>
  <c r="H1895" i="1"/>
  <c r="G1896" i="1" l="1"/>
  <c r="H1896" i="1"/>
  <c r="G1897" i="1" l="1"/>
  <c r="H1897" i="1"/>
  <c r="G1898" i="1" l="1"/>
  <c r="H1898" i="1"/>
  <c r="G1899" i="1" l="1"/>
  <c r="H1899" i="1"/>
  <c r="G1900" i="1" l="1"/>
  <c r="H1900" i="1"/>
  <c r="G1901" i="1" l="1"/>
  <c r="H1901" i="1"/>
  <c r="G1902" i="1" l="1"/>
  <c r="H1902" i="1"/>
  <c r="G1903" i="1" l="1"/>
  <c r="H1903" i="1"/>
  <c r="G1904" i="1" l="1"/>
  <c r="H1904" i="1"/>
  <c r="G1905" i="1" l="1"/>
  <c r="H1905" i="1"/>
  <c r="G1906" i="1" l="1"/>
  <c r="H1906" i="1"/>
  <c r="G1907" i="1" l="1"/>
  <c r="H1907" i="1"/>
  <c r="G1908" i="1" l="1"/>
  <c r="H1908" i="1"/>
  <c r="G1909" i="1" l="1"/>
  <c r="H1909" i="1"/>
  <c r="G1910" i="1" l="1"/>
  <c r="H1910" i="1"/>
  <c r="G1911" i="1" l="1"/>
  <c r="H1911" i="1"/>
  <c r="G1912" i="1" l="1"/>
  <c r="H1912" i="1"/>
</calcChain>
</file>

<file path=xl/sharedStrings.xml><?xml version="1.0" encoding="utf-8"?>
<sst xmlns="http://schemas.openxmlformats.org/spreadsheetml/2006/main" count="9640" uniqueCount="122">
  <si>
    <t xml:space="preserve"> Date</t>
  </si>
  <si>
    <t>Region</t>
  </si>
  <si>
    <t xml:space="preserve"> Frequency</t>
  </si>
  <si>
    <t xml:space="preserve"> Estimated Unemployment Rate (%)</t>
  </si>
  <si>
    <t xml:space="preserve"> Estimated Employed</t>
  </si>
  <si>
    <t xml:space="preserve"> Estimated Unemployed</t>
  </si>
  <si>
    <t xml:space="preserve"> Estimated Labour Participation Rate (%)</t>
  </si>
  <si>
    <t xml:space="preserve"> 31-01-2016</t>
  </si>
  <si>
    <t>Andhra Pradesh</t>
  </si>
  <si>
    <t xml:space="preserve"> Monthly</t>
  </si>
  <si>
    <t xml:space="preserve"> 29-02-2016</t>
  </si>
  <si>
    <t xml:space="preserve"> 31-03-2016</t>
  </si>
  <si>
    <t xml:space="preserve"> 30-04-2016</t>
  </si>
  <si>
    <t xml:space="preserve"> 31-05-2016</t>
  </si>
  <si>
    <t xml:space="preserve"> 30-06-2016</t>
  </si>
  <si>
    <t xml:space="preserve"> 31-07-2016</t>
  </si>
  <si>
    <t xml:space="preserve"> 31-08-2016</t>
  </si>
  <si>
    <t xml:space="preserve"> 30-09-2016</t>
  </si>
  <si>
    <t xml:space="preserve"> 31-10-2016</t>
  </si>
  <si>
    <t xml:space="preserve"> 30-11-2016</t>
  </si>
  <si>
    <t xml:space="preserve"> 31-12-2016</t>
  </si>
  <si>
    <t xml:space="preserve"> 31-01-2017</t>
  </si>
  <si>
    <t xml:space="preserve"> 28-02-2017</t>
  </si>
  <si>
    <t xml:space="preserve"> 31-03-2017</t>
  </si>
  <si>
    <t xml:space="preserve"> 30-04-2017</t>
  </si>
  <si>
    <t xml:space="preserve"> 31-05-2017</t>
  </si>
  <si>
    <t xml:space="preserve"> 30-06-2017</t>
  </si>
  <si>
    <t xml:space="preserve"> 31-07-2017</t>
  </si>
  <si>
    <t xml:space="preserve"> 31-08-2017</t>
  </si>
  <si>
    <t xml:space="preserve"> 30-09-2017</t>
  </si>
  <si>
    <t xml:space="preserve"> 31-10-2017</t>
  </si>
  <si>
    <t xml:space="preserve"> 30-11-2017</t>
  </si>
  <si>
    <t xml:space="preserve"> 31-12-2017</t>
  </si>
  <si>
    <t xml:space="preserve"> 31-01-2018</t>
  </si>
  <si>
    <t xml:space="preserve"> 28-02-2018</t>
  </si>
  <si>
    <t xml:space="preserve"> 31-03-2018</t>
  </si>
  <si>
    <t xml:space="preserve"> 30-04-2018</t>
  </si>
  <si>
    <t xml:space="preserve"> 31-05-2018</t>
  </si>
  <si>
    <t xml:space="preserve"> 30-06-2018</t>
  </si>
  <si>
    <t xml:space="preserve"> 31-07-2018</t>
  </si>
  <si>
    <t xml:space="preserve"> 31-08-2018</t>
  </si>
  <si>
    <t xml:space="preserve"> 30-09-2018</t>
  </si>
  <si>
    <t xml:space="preserve"> 31-10-2018</t>
  </si>
  <si>
    <t xml:space="preserve"> 30-11-2018</t>
  </si>
  <si>
    <t xml:space="preserve"> 31-12-2018</t>
  </si>
  <si>
    <t xml:space="preserve"> 31-01-2019</t>
  </si>
  <si>
    <t xml:space="preserve"> 28-02-2019</t>
  </si>
  <si>
    <t xml:space="preserve"> 31-03-2019</t>
  </si>
  <si>
    <t xml:space="preserve"> 30-04-2019</t>
  </si>
  <si>
    <t xml:space="preserve"> 31-05-2019</t>
  </si>
  <si>
    <t xml:space="preserve"> 30-06-2019</t>
  </si>
  <si>
    <t xml:space="preserve"> 31-07-2019</t>
  </si>
  <si>
    <t xml:space="preserve"> 31-08-2019</t>
  </si>
  <si>
    <t xml:space="preserve"> 30-09-2019</t>
  </si>
  <si>
    <t xml:space="preserve"> 31-10-2019</t>
  </si>
  <si>
    <t xml:space="preserve"> 30-11-2019</t>
  </si>
  <si>
    <t xml:space="preserve"> 31-12-2019</t>
  </si>
  <si>
    <t xml:space="preserve"> 31-01-2020</t>
  </si>
  <si>
    <t xml:space="preserve"> 29-02-2020</t>
  </si>
  <si>
    <t xml:space="preserve"> 31-03-2020</t>
  </si>
  <si>
    <t xml:space="preserve"> 30-04-2020</t>
  </si>
  <si>
    <t xml:space="preserve"> 31-05-2020</t>
  </si>
  <si>
    <t xml:space="preserve"> 30-06-2020</t>
  </si>
  <si>
    <t xml:space="preserve"> 31-07-2020</t>
  </si>
  <si>
    <t xml:space="preserve"> 31-08-2020</t>
  </si>
  <si>
    <t xml:space="preserve"> 30-09-2020</t>
  </si>
  <si>
    <t xml:space="preserve"> 31-10-2020</t>
  </si>
  <si>
    <t xml:space="preserve"> 30-11-2020</t>
  </si>
  <si>
    <t xml:space="preserve"> 31-12-2020</t>
  </si>
  <si>
    <t xml:space="preserve"> 31-01-2021</t>
  </si>
  <si>
    <t xml:space="preserve"> 28-02-2021</t>
  </si>
  <si>
    <t xml:space="preserve"> 31-03-2021</t>
  </si>
  <si>
    <t xml:space="preserve"> 30-04-2021</t>
  </si>
  <si>
    <t xml:space="preserve"> 31-05-2021</t>
  </si>
  <si>
    <t xml:space="preserve"> 30-06-2021</t>
  </si>
  <si>
    <t xml:space="preserve"> 31-07-2021</t>
  </si>
  <si>
    <t xml:space="preserve"> 31-08-2021</t>
  </si>
  <si>
    <t xml:space="preserve"> 30-09-2021</t>
  </si>
  <si>
    <t xml:space="preserve"> 31-10-2021</t>
  </si>
  <si>
    <t xml:space="preserve"> 30-11-2021</t>
  </si>
  <si>
    <t xml:space="preserve"> 31-12-2021</t>
  </si>
  <si>
    <t xml:space="preserve"> 31-01-2022</t>
  </si>
  <si>
    <t xml:space="preserve"> 28-02-2022</t>
  </si>
  <si>
    <t xml:space="preserve"> 31-03-2022</t>
  </si>
  <si>
    <t xml:space="preserve"> 30-04-2022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</si>
  <si>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</si>
  <si>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</si>
  <si>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</si>
  <si>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</si>
  <si>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</si>
  <si>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</si>
  <si>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</si>
  <si>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</si>
  <si>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</si>
  <si>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</si>
  <si>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</si>
  <si>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</si>
  <si>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</si>
  <si>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</si>
  <si>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Meghalaya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</si>
  <si>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</si>
  <si>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</si>
  <si>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</si>
  <si>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</si>
  <si>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</si>
  <si>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</si>
  <si>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</si>
  <si>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</si>
  <si>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</si>
  <si>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</si>
  <si>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</si>
  <si>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Exp Smoothing Actual</t>
  </si>
  <si>
    <t>Exp Smoothing Forecast</t>
  </si>
  <si>
    <t>(blank)</t>
  </si>
  <si>
    <t>Average of  Estimated Unemployment Rate (%)</t>
  </si>
  <si>
    <t>Average of  Estimated Unemployed</t>
  </si>
  <si>
    <t>Average of Exp Smoothing Actual</t>
  </si>
  <si>
    <t>Average of Exp Smoothing Forecast</t>
  </si>
  <si>
    <t>States</t>
  </si>
  <si>
    <t>India</t>
  </si>
  <si>
    <t>MAPE</t>
  </si>
  <si>
    <t>Average of 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</si>
</sst>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.000_);_(* \(#,##0.000\);_(* &quot;-&quot;??_);_(@_)"/>
    <numFmt numFmtId="168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3" fontId="0" fillId="0" borderId="0" xfId="0" applyNumberFormat="1"/>
    <xf numFmtId="43" fontId="0" fillId="0" borderId="0" xfId="42" applyFont="1"/>
    <xf numFmtId="0" fontId="17" fillId="33" borderId="0" xfId="0" applyFont="1" applyFill="1" applyAlignment="1"/>
    <xf numFmtId="43" fontId="17" fillId="33" borderId="0" xfId="42" applyFont="1" applyFill="1"/>
    <xf numFmtId="0" fontId="17" fillId="33" borderId="0" xfId="0" applyFont="1" applyFill="1"/>
    <xf numFmtId="0" fontId="13" fillId="33" borderId="0" xfId="0" applyFont="1" applyFill="1"/>
    <xf numFmtId="0" fontId="13" fillId="33" borderId="0" xfId="0" applyFont="1" applyFill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  <xf numFmtId="0" fontId="0" fillId="0" borderId="0" xfId="0" applyAlignment="1">
      <alignment wrapText="1"/>
    </xf>
    <xf numFmtId="43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43" fontId="0" fillId="0" borderId="0" xfId="42" applyFont="1" applyAlignment="1">
      <alignment wrapText="1"/>
    </xf>
    <xf numFmtId="40" fontId="17" fillId="33" borderId="0" xfId="0" applyNumberFormat="1" applyFont="1" applyFill="1" applyAlignment="1"/>
    <xf numFmtId="40" fontId="18" fillId="0" borderId="0" xfId="42" applyNumberFormat="1" applyFont="1" applyFill="1"/>
    <xf numFmtId="40" fontId="17" fillId="33" borderId="0" xfId="0" applyNumberFormat="1" applyFont="1" applyFill="1"/>
    <xf numFmtId="165" fontId="0" fillId="0" borderId="0" xfId="42" applyNumberFormat="1" applyFont="1"/>
    <xf numFmtId="168" fontId="0" fillId="0" borderId="0" xfId="43" applyNumberFormat="1" applyFont="1"/>
    <xf numFmtId="168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left"/>
    </xf>
    <xf numFmtId="165" fontId="0" fillId="0" borderId="0" xfId="0" pivotButton="1" applyNumberFormat="1" applyAlignment="1">
      <alignment wrapText="1"/>
    </xf>
    <xf numFmtId="165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165" fontId="0" fillId="0" borderId="0" xfId="42" applyNumberFormat="1" applyFont="1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00">
    <dxf>
      <numFmt numFmtId="13" formatCode="0%"/>
    </dxf>
    <dxf>
      <numFmt numFmtId="168" formatCode="0.0%"/>
    </dxf>
    <dxf>
      <numFmt numFmtId="165" formatCode="_(* #,##0.000_);_(* \(#,##0.000\);_(* &quot;-&quot;??_);_(@_)"/>
    </dxf>
    <dxf>
      <numFmt numFmtId="35" formatCode="_(* #,##0.00_);_(* \(#,##0.00\);_(* &quot;-&quot;??_);_(@_)"/>
    </dxf>
    <dxf>
      <alignment wrapText="1"/>
    </dxf>
    <dxf>
      <alignment wrapText="1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8" formatCode="0.0%"/>
    </dxf>
    <dxf>
      <numFmt numFmtId="168" formatCode="0.0%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8" formatCode="0.0%"/>
    </dxf>
    <dxf>
      <numFmt numFmtId="168" formatCode="0.0%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8" formatCode="0.0%"/>
    </dxf>
    <dxf>
      <numFmt numFmtId="168" formatCode="0.0%"/>
    </dxf>
    <dxf>
      <numFmt numFmtId="167" formatCode="#,##0.000_);[Red]\(#,##0.000\)"/>
    </dxf>
    <dxf>
      <numFmt numFmtId="168" formatCode="0.0%"/>
    </dxf>
    <dxf>
      <numFmt numFmtId="167" formatCode="#,##0.000_);[Red]\(#,##0.000\)"/>
    </dxf>
    <dxf>
      <numFmt numFmtId="168" formatCode="0.0%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7" formatCode="#,##0.000_);[Red]\(#,##0.000\)"/>
    </dxf>
    <dxf>
      <numFmt numFmtId="167" formatCode="#,##0.000_);[Red]\(#,##0.000\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7" formatCode="#,##0.000_);[Red]\(#,##0.000\)"/>
    </dxf>
    <dxf>
      <numFmt numFmtId="167" formatCode="#,##0.000_);[Red]\(#,##0.000\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7" formatCode="#,##0.000_);[Red]\(#,##0.000\)"/>
    </dxf>
    <dxf>
      <numFmt numFmtId="167" formatCode="#,##0.000_);[Red]\(#,##0.000\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165" formatCode="_(* #,##0.000_);_(* \(#,##0.0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_(* #,##0.000_);_(* \(#,##0.00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5" formatCode="_(* #,##0.00_);_(* \(#,##0.00\);_(* &quot;-&quot;??_);_(@_)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[Unemployment Rate Rural monthly time series (%)  India.xlsx]Sheet2!PivotTable9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Average of  Estimated Unemployment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Sheet2!$A$4:$A$32</c:f>
              <c:strCache>
                <c:ptCount val="28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Chhattisgarh</c:v>
                </c:pt>
                <c:pt idx="4">
                  <c:v>Delhi</c:v>
                </c:pt>
                <c:pt idx="5">
                  <c:v>Goa</c:v>
                </c:pt>
                <c:pt idx="6">
                  <c:v>Gujarat</c:v>
                </c:pt>
                <c:pt idx="7">
                  <c:v>Haryana</c:v>
                </c:pt>
                <c:pt idx="8">
                  <c:v>Himachal Pradesh</c:v>
                </c:pt>
                <c:pt idx="9">
                  <c:v>Jammu &amp; Kashmir</c:v>
                </c:pt>
                <c:pt idx="10">
                  <c:v>Jharkhand</c:v>
                </c:pt>
                <c:pt idx="11">
                  <c:v>Karnataka</c:v>
                </c:pt>
                <c:pt idx="12">
                  <c:v>Kerala</c:v>
                </c:pt>
                <c:pt idx="13">
                  <c:v>Madhya Pradesh</c:v>
                </c:pt>
                <c:pt idx="14">
                  <c:v>Maharashtra</c:v>
                </c:pt>
                <c:pt idx="15">
                  <c:v>Meghalaya</c:v>
                </c:pt>
                <c:pt idx="16">
                  <c:v>Odisha</c:v>
                </c:pt>
                <c:pt idx="17">
                  <c:v>Puducherry</c:v>
                </c:pt>
                <c:pt idx="18">
                  <c:v>Punjab</c:v>
                </c:pt>
                <c:pt idx="19">
                  <c:v>Rajasthan</c:v>
                </c:pt>
                <c:pt idx="20">
                  <c:v>Sikkim</c:v>
                </c:pt>
                <c:pt idx="21">
                  <c:v>Tamil Nadu</c:v>
                </c:pt>
                <c:pt idx="22">
                  <c:v>Telangana</c:v>
                </c:pt>
                <c:pt idx="23">
                  <c:v>Tripura</c:v>
                </c:pt>
                <c:pt idx="24">
                  <c:v>Uttar Pradesh</c:v>
                </c:pt>
                <c:pt idx="25">
                  <c:v>Uttarakhand</c:v>
                </c:pt>
                <c:pt idx="26">
                  <c:v>West Bengal</c:v>
                </c:pt>
                <c:pt idx="27">
                  <c:v>(blank)</c:v>
                </c:pt>
              </c:strCache>
            </c:strRef>
          </c:cat>
          <c:val>
            <c:numRef>
              <c:f>Sheet2!$B$4:$B$32</c:f>
              <c:numCache>
                <c:formatCode>General</c:formatCode>
                <c:ptCount val="28"/>
                <c:pt idx="0">
                  <c:v>5.4509210526315801</c:v>
                </c:pt>
                <c:pt idx="1">
                  <c:v>5.8680303030303032</c:v>
                </c:pt>
                <c:pt idx="2">
                  <c:v>9.9790789473684214</c:v>
                </c:pt>
                <c:pt idx="3">
                  <c:v>4.5539473684210519</c:v>
                </c:pt>
                <c:pt idx="4">
                  <c:v>11.371578947368418</c:v>
                </c:pt>
                <c:pt idx="5">
                  <c:v>9.9700000000000024</c:v>
                </c:pt>
                <c:pt idx="6">
                  <c:v>3.5643421052631594</c:v>
                </c:pt>
                <c:pt idx="7">
                  <c:v>18.088157894736842</c:v>
                </c:pt>
                <c:pt idx="8">
                  <c:v>10.8675</c:v>
                </c:pt>
                <c:pt idx="9">
                  <c:v>14.772465753424658</c:v>
                </c:pt>
                <c:pt idx="10">
                  <c:v>9.125657894736845</c:v>
                </c:pt>
                <c:pt idx="11">
                  <c:v>3.1605263157894736</c:v>
                </c:pt>
                <c:pt idx="12">
                  <c:v>9.345600000000001</c:v>
                </c:pt>
                <c:pt idx="13">
                  <c:v>3.813421052631579</c:v>
                </c:pt>
                <c:pt idx="14">
                  <c:v>4.3034210526315784</c:v>
                </c:pt>
                <c:pt idx="15">
                  <c:v>2.8190384615384607</c:v>
                </c:pt>
                <c:pt idx="16">
                  <c:v>5.0593421052631582</c:v>
                </c:pt>
                <c:pt idx="17">
                  <c:v>5.2026027397260277</c:v>
                </c:pt>
                <c:pt idx="18">
                  <c:v>8.1932894736842119</c:v>
                </c:pt>
                <c:pt idx="19">
                  <c:v>11.776578947368421</c:v>
                </c:pt>
                <c:pt idx="20">
                  <c:v>4.9312499999999995</c:v>
                </c:pt>
                <c:pt idx="21">
                  <c:v>5.2652631578947364</c:v>
                </c:pt>
                <c:pt idx="22">
                  <c:v>4.2173684210526314</c:v>
                </c:pt>
                <c:pt idx="23">
                  <c:v>21.389259259259259</c:v>
                </c:pt>
                <c:pt idx="24">
                  <c:v>6.8510526315789493</c:v>
                </c:pt>
                <c:pt idx="25">
                  <c:v>3.0961111111111106</c:v>
                </c:pt>
                <c:pt idx="26">
                  <c:v>7.1706578947368396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8-4F82-901B-FABB15160920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Average of  Estimated Unemployed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Sheet2!$A$4:$A$32</c:f>
              <c:strCache>
                <c:ptCount val="28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Chhattisgarh</c:v>
                </c:pt>
                <c:pt idx="4">
                  <c:v>Delhi</c:v>
                </c:pt>
                <c:pt idx="5">
                  <c:v>Goa</c:v>
                </c:pt>
                <c:pt idx="6">
                  <c:v>Gujarat</c:v>
                </c:pt>
                <c:pt idx="7">
                  <c:v>Haryana</c:v>
                </c:pt>
                <c:pt idx="8">
                  <c:v>Himachal Pradesh</c:v>
                </c:pt>
                <c:pt idx="9">
                  <c:v>Jammu &amp; Kashmir</c:v>
                </c:pt>
                <c:pt idx="10">
                  <c:v>Jharkhand</c:v>
                </c:pt>
                <c:pt idx="11">
                  <c:v>Karnataka</c:v>
                </c:pt>
                <c:pt idx="12">
                  <c:v>Kerala</c:v>
                </c:pt>
                <c:pt idx="13">
                  <c:v>Madhya Pradesh</c:v>
                </c:pt>
                <c:pt idx="14">
                  <c:v>Maharashtra</c:v>
                </c:pt>
                <c:pt idx="15">
                  <c:v>Meghalaya</c:v>
                </c:pt>
                <c:pt idx="16">
                  <c:v>Odisha</c:v>
                </c:pt>
                <c:pt idx="17">
                  <c:v>Puducherry</c:v>
                </c:pt>
                <c:pt idx="18">
                  <c:v>Punjab</c:v>
                </c:pt>
                <c:pt idx="19">
                  <c:v>Rajasthan</c:v>
                </c:pt>
                <c:pt idx="20">
                  <c:v>Sikkim</c:v>
                </c:pt>
                <c:pt idx="21">
                  <c:v>Tamil Nadu</c:v>
                </c:pt>
                <c:pt idx="22">
                  <c:v>Telangana</c:v>
                </c:pt>
                <c:pt idx="23">
                  <c:v>Tripura</c:v>
                </c:pt>
                <c:pt idx="24">
                  <c:v>Uttar Pradesh</c:v>
                </c:pt>
                <c:pt idx="25">
                  <c:v>Uttarakhand</c:v>
                </c:pt>
                <c:pt idx="26">
                  <c:v>West Bengal</c:v>
                </c:pt>
                <c:pt idx="27">
                  <c:v>(blank)</c:v>
                </c:pt>
              </c:strCache>
            </c:strRef>
          </c:cat>
          <c:val>
            <c:numRef>
              <c:f>Sheet2!$C$4:$C$32</c:f>
              <c:numCache>
                <c:formatCode>General</c:formatCode>
                <c:ptCount val="28"/>
                <c:pt idx="0">
                  <c:v>660794.71052631584</c:v>
                </c:pt>
                <c:pt idx="1">
                  <c:v>543113.31818181823</c:v>
                </c:pt>
                <c:pt idx="2">
                  <c:v>2212343.8026315789</c:v>
                </c:pt>
                <c:pt idx="3">
                  <c:v>296036.65789473685</c:v>
                </c:pt>
                <c:pt idx="4">
                  <c:v>16292.473684210527</c:v>
                </c:pt>
                <c:pt idx="5">
                  <c:v>17643.057142857142</c:v>
                </c:pt>
                <c:pt idx="6">
                  <c:v>454491.01315789472</c:v>
                </c:pt>
                <c:pt idx="7">
                  <c:v>838898.25</c:v>
                </c:pt>
                <c:pt idx="8">
                  <c:v>209555.51315789475</c:v>
                </c:pt>
                <c:pt idx="9">
                  <c:v>352659.78082191781</c:v>
                </c:pt>
                <c:pt idx="10">
                  <c:v>617684.78947368416</c:v>
                </c:pt>
                <c:pt idx="11">
                  <c:v>414833.96052631579</c:v>
                </c:pt>
                <c:pt idx="12">
                  <c:v>473781.48</c:v>
                </c:pt>
                <c:pt idx="13">
                  <c:v>600758.07894736843</c:v>
                </c:pt>
                <c:pt idx="14">
                  <c:v>1052076.0789473683</c:v>
                </c:pt>
                <c:pt idx="15">
                  <c:v>29055.384615384617</c:v>
                </c:pt>
                <c:pt idx="16">
                  <c:v>559002.23684210528</c:v>
                </c:pt>
                <c:pt idx="17">
                  <c:v>6664.2191780821922</c:v>
                </c:pt>
                <c:pt idx="18">
                  <c:v>486004.28947368421</c:v>
                </c:pt>
                <c:pt idx="19">
                  <c:v>1742072.5921052631</c:v>
                </c:pt>
                <c:pt idx="20">
                  <c:v>7702.625</c:v>
                </c:pt>
                <c:pt idx="21">
                  <c:v>684291.17105263157</c:v>
                </c:pt>
                <c:pt idx="22">
                  <c:v>451445.39473684208</c:v>
                </c:pt>
                <c:pt idx="23">
                  <c:v>219423.72222222222</c:v>
                </c:pt>
                <c:pt idx="24">
                  <c:v>2939152.5526315789</c:v>
                </c:pt>
                <c:pt idx="25">
                  <c:v>60105.819444444445</c:v>
                </c:pt>
                <c:pt idx="26">
                  <c:v>1640791.5789473683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88-4F82-901B-FABB15160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877088"/>
        <c:axId val="94875120"/>
      </c:barChart>
      <c:lineChart>
        <c:grouping val="standard"/>
        <c:varyColors val="0"/>
        <c:ser>
          <c:idx val="2"/>
          <c:order val="2"/>
          <c:tx>
            <c:strRef>
              <c:f>Sheet2!$D$3</c:f>
              <c:strCache>
                <c:ptCount val="1"/>
                <c:pt idx="0">
                  <c:v>Average of Exp Smoothing Actual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Sheet2!$A$4:$A$32</c:f>
              <c:strCache>
                <c:ptCount val="28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Chhattisgarh</c:v>
                </c:pt>
                <c:pt idx="4">
                  <c:v>Delhi</c:v>
                </c:pt>
                <c:pt idx="5">
                  <c:v>Goa</c:v>
                </c:pt>
                <c:pt idx="6">
                  <c:v>Gujarat</c:v>
                </c:pt>
                <c:pt idx="7">
                  <c:v>Haryana</c:v>
                </c:pt>
                <c:pt idx="8">
                  <c:v>Himachal Pradesh</c:v>
                </c:pt>
                <c:pt idx="9">
                  <c:v>Jammu &amp; Kashmir</c:v>
                </c:pt>
                <c:pt idx="10">
                  <c:v>Jharkhand</c:v>
                </c:pt>
                <c:pt idx="11">
                  <c:v>Karnataka</c:v>
                </c:pt>
                <c:pt idx="12">
                  <c:v>Kerala</c:v>
                </c:pt>
                <c:pt idx="13">
                  <c:v>Madhya Pradesh</c:v>
                </c:pt>
                <c:pt idx="14">
                  <c:v>Maharashtra</c:v>
                </c:pt>
                <c:pt idx="15">
                  <c:v>Meghalaya</c:v>
                </c:pt>
                <c:pt idx="16">
                  <c:v>Odisha</c:v>
                </c:pt>
                <c:pt idx="17">
                  <c:v>Puducherry</c:v>
                </c:pt>
                <c:pt idx="18">
                  <c:v>Punjab</c:v>
                </c:pt>
                <c:pt idx="19">
                  <c:v>Rajasthan</c:v>
                </c:pt>
                <c:pt idx="20">
                  <c:v>Sikkim</c:v>
                </c:pt>
                <c:pt idx="21">
                  <c:v>Tamil Nadu</c:v>
                </c:pt>
                <c:pt idx="22">
                  <c:v>Telangana</c:v>
                </c:pt>
                <c:pt idx="23">
                  <c:v>Tripura</c:v>
                </c:pt>
                <c:pt idx="24">
                  <c:v>Uttar Pradesh</c:v>
                </c:pt>
                <c:pt idx="25">
                  <c:v>Uttarakhand</c:v>
                </c:pt>
                <c:pt idx="26">
                  <c:v>West Bengal</c:v>
                </c:pt>
                <c:pt idx="27">
                  <c:v>(blank)</c:v>
                </c:pt>
              </c:strCache>
            </c:strRef>
          </c:cat>
          <c:val>
            <c:numRef>
              <c:f>Sheet2!$D$4:$D$32</c:f>
              <c:numCache>
                <c:formatCode>General</c:formatCode>
                <c:ptCount val="28"/>
                <c:pt idx="0">
                  <c:v>663441.92051218718</c:v>
                </c:pt>
                <c:pt idx="1">
                  <c:v>540717.97766982042</c:v>
                </c:pt>
                <c:pt idx="2">
                  <c:v>2153144.8228207384</c:v>
                </c:pt>
                <c:pt idx="3">
                  <c:v>368559.09436419839</c:v>
                </c:pt>
                <c:pt idx="4">
                  <c:v>17002.674543316207</c:v>
                </c:pt>
                <c:pt idx="5">
                  <c:v>17397.247459183262</c:v>
                </c:pt>
                <c:pt idx="6">
                  <c:v>451298.51760564174</c:v>
                </c:pt>
                <c:pt idx="7">
                  <c:v>818449.18855547498</c:v>
                </c:pt>
                <c:pt idx="8">
                  <c:v>232645.97955957142</c:v>
                </c:pt>
                <c:pt idx="9">
                  <c:v>346789.80294819857</c:v>
                </c:pt>
                <c:pt idx="10">
                  <c:v>605749.50130580319</c:v>
                </c:pt>
                <c:pt idx="11">
                  <c:v>429342.64804732119</c:v>
                </c:pt>
                <c:pt idx="12">
                  <c:v>472439.46045377821</c:v>
                </c:pt>
                <c:pt idx="13">
                  <c:v>601988.63993978954</c:v>
                </c:pt>
                <c:pt idx="14">
                  <c:v>1045040.3159300599</c:v>
                </c:pt>
                <c:pt idx="15">
                  <c:v>45115.246825456838</c:v>
                </c:pt>
                <c:pt idx="16">
                  <c:v>552160.18819186988</c:v>
                </c:pt>
                <c:pt idx="17">
                  <c:v>13863.04890665829</c:v>
                </c:pt>
                <c:pt idx="18">
                  <c:v>479271.05988502043</c:v>
                </c:pt>
                <c:pt idx="19">
                  <c:v>1674696.6576519972</c:v>
                </c:pt>
                <c:pt idx="20">
                  <c:v>712993.68509180588</c:v>
                </c:pt>
                <c:pt idx="21">
                  <c:v>676136.25908981997</c:v>
                </c:pt>
                <c:pt idx="22">
                  <c:v>439699.35771348985</c:v>
                </c:pt>
                <c:pt idx="23">
                  <c:v>243890.98879000606</c:v>
                </c:pt>
                <c:pt idx="24">
                  <c:v>2923563.4829367683</c:v>
                </c:pt>
                <c:pt idx="25">
                  <c:v>77494.651593295668</c:v>
                </c:pt>
                <c:pt idx="26">
                  <c:v>1617828.5126044452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88-4F82-901B-FABB15160920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Average of Exp Smoothing Forecast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Sheet2!$A$4:$A$32</c:f>
              <c:strCache>
                <c:ptCount val="28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Chhattisgarh</c:v>
                </c:pt>
                <c:pt idx="4">
                  <c:v>Delhi</c:v>
                </c:pt>
                <c:pt idx="5">
                  <c:v>Goa</c:v>
                </c:pt>
                <c:pt idx="6">
                  <c:v>Gujarat</c:v>
                </c:pt>
                <c:pt idx="7">
                  <c:v>Haryana</c:v>
                </c:pt>
                <c:pt idx="8">
                  <c:v>Himachal Pradesh</c:v>
                </c:pt>
                <c:pt idx="9">
                  <c:v>Jammu &amp; Kashmir</c:v>
                </c:pt>
                <c:pt idx="10">
                  <c:v>Jharkhand</c:v>
                </c:pt>
                <c:pt idx="11">
                  <c:v>Karnataka</c:v>
                </c:pt>
                <c:pt idx="12">
                  <c:v>Kerala</c:v>
                </c:pt>
                <c:pt idx="13">
                  <c:v>Madhya Pradesh</c:v>
                </c:pt>
                <c:pt idx="14">
                  <c:v>Maharashtra</c:v>
                </c:pt>
                <c:pt idx="15">
                  <c:v>Meghalaya</c:v>
                </c:pt>
                <c:pt idx="16">
                  <c:v>Odisha</c:v>
                </c:pt>
                <c:pt idx="17">
                  <c:v>Puducherry</c:v>
                </c:pt>
                <c:pt idx="18">
                  <c:v>Punjab</c:v>
                </c:pt>
                <c:pt idx="19">
                  <c:v>Rajasthan</c:v>
                </c:pt>
                <c:pt idx="20">
                  <c:v>Sikkim</c:v>
                </c:pt>
                <c:pt idx="21">
                  <c:v>Tamil Nadu</c:v>
                </c:pt>
                <c:pt idx="22">
                  <c:v>Telangana</c:v>
                </c:pt>
                <c:pt idx="23">
                  <c:v>Tripura</c:v>
                </c:pt>
                <c:pt idx="24">
                  <c:v>Uttar Pradesh</c:v>
                </c:pt>
                <c:pt idx="25">
                  <c:v>Uttarakhand</c:v>
                </c:pt>
                <c:pt idx="26">
                  <c:v>West Bengal</c:v>
                </c:pt>
                <c:pt idx="27">
                  <c:v>(blank)</c:v>
                </c:pt>
              </c:strCache>
            </c:strRef>
          </c:cat>
          <c:val>
            <c:numRef>
              <c:f>Sheet2!$E$4:$E$32</c:f>
              <c:numCache>
                <c:formatCode>General</c:formatCode>
                <c:ptCount val="28"/>
                <c:pt idx="0">
                  <c:v>235820.5773049063</c:v>
                </c:pt>
                <c:pt idx="1">
                  <c:v>294508.89377945347</c:v>
                </c:pt>
                <c:pt idx="2">
                  <c:v>648356.51482130832</c:v>
                </c:pt>
                <c:pt idx="3">
                  <c:v>295365.17882859998</c:v>
                </c:pt>
                <c:pt idx="4">
                  <c:v>7976.1294996565985</c:v>
                </c:pt>
                <c:pt idx="5">
                  <c:v>9528.2057296081421</c:v>
                </c:pt>
                <c:pt idx="6">
                  <c:v>218311.01523837511</c:v>
                </c:pt>
                <c:pt idx="7">
                  <c:v>332587.26570201374</c:v>
                </c:pt>
                <c:pt idx="8">
                  <c:v>117044.56545934532</c:v>
                </c:pt>
                <c:pt idx="9">
                  <c:v>117643.5365889196</c:v>
                </c:pt>
                <c:pt idx="10">
                  <c:v>244686.32991651408</c:v>
                </c:pt>
                <c:pt idx="11">
                  <c:v>324794.43520325306</c:v>
                </c:pt>
                <c:pt idx="12">
                  <c:v>228555.23810840101</c:v>
                </c:pt>
                <c:pt idx="13">
                  <c:v>329945.22078446264</c:v>
                </c:pt>
                <c:pt idx="14">
                  <c:v>349883.02355864446</c:v>
                </c:pt>
                <c:pt idx="15">
                  <c:v>43706.143060544826</c:v>
                </c:pt>
                <c:pt idx="16">
                  <c:v>269420.20570353762</c:v>
                </c:pt>
                <c:pt idx="17">
                  <c:v>37829.773102905368</c:v>
                </c:pt>
                <c:pt idx="18">
                  <c:v>251290.12133371588</c:v>
                </c:pt>
                <c:pt idx="19">
                  <c:v>636874.61009761586</c:v>
                </c:pt>
                <c:pt idx="20">
                  <c:v>1179443.3993667513</c:v>
                </c:pt>
                <c:pt idx="21">
                  <c:v>510086.81309537089</c:v>
                </c:pt>
                <c:pt idx="22">
                  <c:v>301768.73167926818</c:v>
                </c:pt>
                <c:pt idx="23">
                  <c:v>100036.39422371521</c:v>
                </c:pt>
                <c:pt idx="24">
                  <c:v>1279647.9690803518</c:v>
                </c:pt>
                <c:pt idx="25">
                  <c:v>79378.517167272847</c:v>
                </c:pt>
                <c:pt idx="26">
                  <c:v>529621.90517759568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88-4F82-901B-FABB15160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76432"/>
        <c:axId val="94872824"/>
      </c:lineChart>
      <c:catAx>
        <c:axId val="9487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5120"/>
        <c:crosses val="autoZero"/>
        <c:auto val="1"/>
        <c:lblAlgn val="ctr"/>
        <c:lblOffset val="100"/>
        <c:noMultiLvlLbl val="0"/>
      </c:catAx>
      <c:valAx>
        <c:axId val="9487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708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94872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6432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94876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8728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447674</xdr:colOff>
      <xdr:row>7</xdr:row>
      <xdr:rowOff>95249</xdr:rowOff>
    </xdr:from>
    <xdr:to>
      <xdr:col>13</xdr:col>
      <xdr:colOff>66674</xdr:colOff>
      <xdr:row>27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3BA616-6985-37C8-ABC1-FF83782DD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tik Mohanta" refreshedDate="44691.682890162039" createdVersion="7" refreshedVersion="7" minRefreshableVersion="3" recordCount="1912" xr:uid="{9A32C6F5-D2EC-46AE-8FC3-46BA56AA76BD}">
  <cacheSource type="worksheet">
    <worksheetSource ref="A1:F1048576" sheet="Sheet1"/>
  </cacheSource>
  <cacheFields count="6">
    <cacheField name=" Date" numFmtId="0">
      <sharedItems containsBlank="1"/>
    </cacheField>
    <cacheField name="Region" numFmtId="0">
      <sharedItems containsBlank="1" count="28">
        <s v="Andhra Pradesh"/>
        <s v="Assam"/>
        <s v="Bihar"/>
        <s v="Chhattisgarh"/>
        <s v="Delhi"/>
        <s v="Goa"/>
        <s v="Gujarat"/>
        <s v="Haryana"/>
        <s v="Himachal Pradesh"/>
        <s v="Jammu &amp; Kashmir"/>
        <s v="Jharkhand"/>
        <s v="Karnataka"/>
        <s v="Kerala"/>
        <s v="Madhya Pradesh"/>
        <s v="Maharashtra"/>
        <s v="Meghalaya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  <m/>
      </sharedItems>
    </cacheField>
    <cacheField name=" Estimated Unemployment Rate (%)" numFmtId="0">
      <sharedItems containsString="0" containsBlank="1" containsNumber="1" minValue="0" maxValue="74.510000000000005"/>
    </cacheField>
    <cacheField name=" Estimated Unemployed" numFmtId="0">
      <sharedItems containsString="0" containsBlank="1" containsNumber="1" containsInteger="1" minValue="0" maxValue="7962159"/>
    </cacheField>
    <cacheField name="Exp Smoothing Actual" numFmtId="0">
      <sharedItems containsString="0" containsBlank="1" containsNumber="1" minValue="0" maxValue="7341508.3687609909"/>
    </cacheField>
    <cacheField name="Exp Smoothing Forecast" numFmtId="0">
      <sharedItems containsString="0" containsBlank="1" containsNumber="1" minValue="0" maxValue="3411852.22371027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tik Mohanta" refreshedDate="44691.979102777776" createdVersion="7" refreshedVersion="7" minRefreshableVersion="3" recordCount="1912" xr:uid="{368DAEFC-A2BA-4BDA-AA98-F1A432FB1F2E}">
  <cacheSource type="worksheet">
    <worksheetSource ref="A1:J1048576" sheet="Unemployment Rate Rural monthly"/>
  </cacheSource>
  <cacheFields count="10">
    <cacheField name=" Date" numFmtId="0">
      <sharedItems containsBlank="1"/>
    </cacheField>
    <cacheField name="Region" numFmtId="0">
      <sharedItems containsBlank="1" count="28">
        <s v="Andhra Pradesh"/>
        <s v="Assam"/>
        <s v="Bihar"/>
        <s v="Chhattisgarh"/>
        <s v="Delhi"/>
        <s v="Goa"/>
        <s v="Gujarat"/>
        <s v="Haryana"/>
        <s v="Himachal Pradesh"/>
        <s v="Jammu &amp; Kashmir"/>
        <s v="Jharkhand"/>
        <s v="Karnataka"/>
        <s v="Kerala"/>
        <s v="Madhya Pradesh"/>
        <s v="Maharashtra"/>
        <s v="Meghalaya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  <m/>
      </sharedItems>
    </cacheField>
    <cacheField name=" Frequency" numFmtId="0">
      <sharedItems containsBlank="1"/>
    </cacheField>
    <cacheField name=" Estimated Unemployment Rate (%)" numFmtId="0">
      <sharedItems containsString="0" containsBlank="1" containsNumber="1" minValue="0" maxValue="74.510000000000005"/>
    </cacheField>
    <cacheField name=" Estimated Employed" numFmtId="0">
      <sharedItems containsString="0" containsBlank="1" containsNumber="1" containsInteger="1" minValue="49420" maxValue="46847283"/>
    </cacheField>
    <cacheField name=" Estimated Unemployed" numFmtId="0">
      <sharedItems containsString="0" containsBlank="1" containsNumber="1" containsInteger="1" minValue="0" maxValue="7962159"/>
    </cacheField>
    <cacheField name="Exp Smoothing Actual" numFmtId="0">
      <sharedItems containsString="0" containsBlank="1" containsNumber="1" minValue="0" maxValue="7341508.3687609909"/>
    </cacheField>
    <cacheField name="Exp Smoothing Forecast" numFmtId="0">
      <sharedItems containsString="0" containsBlank="1" containsNumber="1" minValue="0" maxValue="3411852.2237102762"/>
    </cacheField>
    <cacheField name="MAPE" numFmtId="40">
      <sharedItems containsBlank="1" containsMixedTypes="1" containsNumber="1" minValue="-21.407662481968249" maxValue="1" count="1907">
        <e v="#DIV/0!"/>
        <n v="1"/>
        <n v="-0.12805264596026314"/>
        <n v="0.35882717818789245"/>
        <n v="5.9452784308691303E-2"/>
        <n v="0.59135905515278164"/>
        <n v="0.37453838390621658"/>
        <n v="0.54277525569415452"/>
        <n v="0.60207635038415441"/>
        <n v="0.24894238347999689"/>
        <n v="0.15696076350479327"/>
        <n v="0.40555666347448527"/>
        <n v="0.63214899748132769"/>
        <n v="0.504817660381922"/>
        <n v="0.47785611462943206"/>
        <n v="0.23870558701009562"/>
        <n v="0.60794333959139679"/>
        <n v="0.54634319461271308"/>
        <n v="0.60941194282137157"/>
        <n v="0.57413535277236172"/>
        <n v="0.26893421123724709"/>
        <n v="0.22601574675230596"/>
        <n v="0.60619139371661324"/>
        <n v="0.81970807541352797"/>
        <n v="0.81366905815054968"/>
        <n v="0.80961257517845653"/>
        <n v="0.71320559620001767"/>
        <n v="0.73119408948226028"/>
        <n v="0.73981825209615593"/>
        <n v="0.81688285783295544"/>
        <n v="0.75498260234081371"/>
        <n v="0.78173056559929055"/>
        <n v="0.83549338902153114"/>
        <n v="0.88061559370965659"/>
        <n v="0.82912470591418952"/>
        <n v="0.86355202701220724"/>
        <n v="0.86441555990537844"/>
        <n v="0.89099154703989292"/>
        <n v="0.83165069972037264"/>
        <n v="0.81675056017449188"/>
        <n v="0.74609294952576621"/>
        <n v="0.82784600727902091"/>
        <n v="0.83420183606227727"/>
        <n v="0.76706222437949589"/>
        <n v="0.6742124106965216"/>
        <n v="0.67719034825852154"/>
        <n v="0.81750272055342321"/>
        <n v="0.89951523536160471"/>
        <n v="0.85742705562021415"/>
        <n v="0.73445231713908643"/>
        <n v="0.53040825698047289"/>
        <n v="0.57802265812105702"/>
        <n v="-0.19111153605422748"/>
        <n v="0.28531120743505289"/>
        <n v="0.15970039142129133"/>
        <n v="0.71123736270314675"/>
        <n v="0.81265979584751091"/>
        <n v="0.81521010154173212"/>
        <n v="0.80999299523202073"/>
        <n v="0.48784924750007952"/>
        <n v="0.43921772280948712"/>
        <n v="0.5678867321841593"/>
        <n v="0.65832582638311266"/>
        <n v="0.47882767460508813"/>
        <n v="0.32388715025484804"/>
        <n v="0.3595897331269966"/>
        <n v="0.65809104022445297"/>
        <n v="0.7443163259295339"/>
        <n v="0.68540930014479273"/>
        <n v="0.84964987062880437"/>
        <n v="0.84703837408508109"/>
        <n v="0.91041218679394753"/>
        <n v="0.80495617554705157"/>
        <n v="0.77907650339863255"/>
        <n v="0.518737791875031"/>
        <n v="0.52621904718258639"/>
        <n v="0.57268833601317504"/>
        <n v="9.9229492459168775E-3"/>
        <n v="-2.8116175735966875"/>
        <n v="-0.87656754018312599"/>
        <n v="0.31319597853037223"/>
        <n v="0.55616358879082328"/>
        <n v="0.38402494842863849"/>
        <n v="0.60043402495691389"/>
        <n v="0.65267771934101593"/>
        <n v="0.75498408850449428"/>
        <n v="0.28079938720526976"/>
        <n v="0.45140302034775076"/>
        <n v="0.36957884046832912"/>
        <n v="0.66450140105593958"/>
        <n v="0.12302177693163055"/>
        <n v="0.3785015308467985"/>
        <n v="0.35716286155752758"/>
        <n v="0.23799665457524183"/>
        <n v="0.422596312861095"/>
        <n v="0.52680030020196966"/>
        <n v="0.55670424200418134"/>
        <n v="0.70106318764712772"/>
        <n v="0.92983022574924512"/>
        <n v="0.91846194361953415"/>
        <n v="0.73920403666097589"/>
        <n v="2.2160497245441439E-2"/>
        <n v="0.36412113764651488"/>
        <n v="0.44485924673146826"/>
        <n v="0.62598281237062969"/>
        <n v="0.10393456396674874"/>
        <n v="0.37655923012327597"/>
        <n v="-0.16515934006931865"/>
        <n v="0.17166221359279435"/>
        <n v="0.37660218790813671"/>
        <n v="0.64460746664063762"/>
        <n v="0.63113024012087582"/>
        <n v="0.71690921792314444"/>
        <n v="0.51127816649497382"/>
        <n v="0.5928194882623401"/>
        <n v="0.69937763349971793"/>
        <n v="0.8866446337437569"/>
        <n v="0.86876878257598922"/>
        <n v="0.87400330698766027"/>
        <n v="0.78538741866583595"/>
        <n v="0.84081912498566258"/>
        <n v="0.84108013221118272"/>
        <n v="0.64484470183248122"/>
        <n v="0.66678462741288103"/>
        <n v="0.5407186251368461"/>
        <n v="-1.4066600276391172"/>
        <n v="-1.0128897680359468"/>
        <n v="-0.21194298486061219"/>
        <n v="9.2532684133255105E-2"/>
        <n v="0.32892683234860193"/>
        <n v="0.5001227858209748"/>
        <n v="0.43057292873953762"/>
        <n v="0.2577708025781395"/>
        <n v="9.3954534063975345E-2"/>
        <n v="0.44715890822353571"/>
        <n v="0.43507753083838852"/>
        <n v="0.37053522293669267"/>
        <n v="0.43816637748006282"/>
        <n v="0.5187872987770662"/>
        <n v="0.53412059507880305"/>
        <n v="0.43993583477197334"/>
        <n v="0.83842005463520175"/>
        <n v="0.78055991667941438"/>
        <n v="0.4492942342887114"/>
        <n v="0.53454349639110887"/>
        <n v="0.51496337218416355"/>
        <n v="0.42681532483337431"/>
        <n v="-6.5768720171506895E-2"/>
        <n v="0.48595470124849199"/>
        <n v="0.56581494858547821"/>
        <n v="0.28515979121486257"/>
        <n v="0.35684683573594045"/>
        <n v="0.20393874088180872"/>
        <n v="0.59315506204902135"/>
        <n v="0.58901657975102639"/>
        <n v="0.57785475726287672"/>
        <n v="0.19811966493890293"/>
        <n v="0.40063320650796491"/>
        <n v="0.50146266114591798"/>
        <n v="0.82141085441919859"/>
        <n v="0.68226805825728298"/>
        <n v="0.65721376134152887"/>
        <n v="0.68177606154731174"/>
        <n v="0.74950138078198414"/>
        <n v="0.91093204272250539"/>
        <n v="0.75259834403830372"/>
        <n v="0.67480030001502533"/>
        <n v="0.65834237192387857"/>
        <n v="0.62795323474528553"/>
        <n v="0.40574639422601749"/>
        <n v="0.62890652540049496"/>
        <n v="0.67415353620634033"/>
        <n v="0.80965047473288654"/>
        <n v="0.59198126955836083"/>
        <n v="0.65719625113654512"/>
        <n v="0.68403981215528975"/>
        <n v="0.66251538142184618"/>
        <n v="0.74995682498879024"/>
        <n v="0.76831603100782331"/>
        <n v="0.82513826856196604"/>
        <n v="0.82486823386809272"/>
        <n v="0.92323358814756484"/>
        <n v="0.93639866878328659"/>
        <n v="0.85026407531500448"/>
        <n v="0.80896334113809631"/>
        <n v="0.74231570266600377"/>
        <n v="0.78246802094216472"/>
        <n v="0.80597618577892782"/>
        <n v="0.7897874811495933"/>
        <n v="0.85635457076118304"/>
        <n v="0.85601478628579397"/>
        <n v="0.75852049064744786"/>
        <n v="0.61414304233021921"/>
        <n v="0.64634596480206064"/>
        <n v="0.44774290202905453"/>
        <n v="0.40692672656346068"/>
        <n v="0.33294728280017771"/>
        <n v="0.55559624246377814"/>
        <n v="0.7940074655857261"/>
        <n v="0.85116827987230392"/>
        <n v="0.84418836844797462"/>
        <n v="0.89927868725798676"/>
        <n v="0.91305635400563701"/>
        <n v="0.8628582549178152"/>
        <n v="0.74411650454569822"/>
        <n v="0.74034898753519762"/>
        <n v="0.68287203453318079"/>
        <n v="0.7551964897787542"/>
        <n v="0.8315865303268164"/>
        <n v="0.84391595868506919"/>
        <n v="0.81520578413026923"/>
        <n v="0.81965260669413231"/>
        <n v="0.85789634763061584"/>
        <n v="0.93397443721917772"/>
        <n v="0.94912424091178171"/>
        <n v="0.96430441757005758"/>
        <n v="0.79558345563523003"/>
        <n v="-0.9519554861709949"/>
        <n v="-3.0798250212877663"/>
        <n v="-9.3240438821594562"/>
        <n v="-2.0938995661779312"/>
        <n v="-0.2479073136454284"/>
        <n v="0.12132363034045877"/>
        <n v="0.38907876568381511"/>
        <n v="2.2486521032371889E-2"/>
        <n v="0.3878803688391661"/>
        <n v="0.10827363574983724"/>
        <n v="-0.12204352223087329"/>
        <n v="0.48398039871256954"/>
        <n v="0.71448488818037093"/>
        <n v="0.640919716846443"/>
        <n v="0.6846910554304878"/>
        <n v="0.70307919979303624"/>
        <n v="0.7856404612577651"/>
        <n v="7.4639780438305978E-2"/>
        <n v="-0.62579676444283383"/>
        <n v="0.17216117043087126"/>
        <n v="0.5420969003469478"/>
        <n v="0.33505714818435162"/>
        <n v="0.55222249533279955"/>
        <n v="0.34376546931200525"/>
        <n v="0.49625238507158204"/>
        <n v="-0.15274591419890182"/>
        <n v="4.816149161156439E-2"/>
        <n v="0.19936836989968904"/>
        <n v="0.66226361717042448"/>
        <n v="0.26395374211624545"/>
        <n v="0.42289311460041273"/>
        <n v="0.54451889945559617"/>
        <n v="0.31125340583999661"/>
        <n v="0.1635674155387554"/>
        <n v="-0.5776015025638177"/>
        <n v="-3.686658241424418E-3"/>
        <n v="0.17205932785054631"/>
        <n v="0.70408357898576102"/>
        <n v="0.51510024776167662"/>
        <n v="0.33567838550139917"/>
        <n v="0.45561813031692133"/>
        <n v="0.48273424913143187"/>
        <n v="0.29557778149217806"/>
        <n v="0.69661406843521723"/>
        <n v="0.66793743015213425"/>
        <n v="0.73182259469573552"/>
        <n v="0.24398751759514525"/>
        <n v="0.49763010584278744"/>
        <n v="0.56800686878733164"/>
        <n v="0.70166423796751287"/>
        <n v="0.71485232981614011"/>
        <n v="-0.92934166528602902"/>
        <n v="1.1027495669936948E-2"/>
        <n v="0.29046021233732733"/>
        <n v="0.62656708427284513"/>
        <n v="0.45436377479528017"/>
        <n v="-0.81013853682335946"/>
        <n v="1.708647942491392E-3"/>
        <n v="-0.21123256034239488"/>
        <n v="0.5252455584875162"/>
        <n v="0.62179331104313385"/>
        <n v="0.62422015204043479"/>
        <n v="0.36969334546592686"/>
        <n v="0.39572178861370277"/>
        <n v="0.47299883626442113"/>
        <n v="-0.17028604118861099"/>
        <n v="-0.27159292238791022"/>
        <n v="0.16786633938392681"/>
        <n v="0.91942869841300889"/>
        <n v="0.84503750644475417"/>
        <n v="0.60182443744088165"/>
        <n v="0.62675453157133809"/>
        <n v="0.68215187688774914"/>
        <n v="0.73976243283319987"/>
        <n v="-0.28836268958504135"/>
        <n v="-0.38701195380299719"/>
        <n v="-1.4834485393925894"/>
        <n v="-0.15224571589500122"/>
        <n v="0.26026754666940449"/>
        <n v="0.6154158513074881"/>
        <n v="0.27802098399050196"/>
        <n v="7.4519362041772091E-2"/>
        <n v="0.36720945879008465"/>
        <n v="0.58984482872377986"/>
        <n v="0.51589054539450308"/>
        <n v="0.58349961588968169"/>
        <n v="0.62942659734690243"/>
        <n v="0.6954574787592237"/>
        <n v="0.18173488453577935"/>
        <n v="0.33074729478094611"/>
        <n v="-0.58115811684413954"/>
        <n v="0.41399737053431573"/>
        <n v="-5.1530584455531228E-2"/>
        <n v="3.4898518535751856E-2"/>
        <n v="0.32179097894765768"/>
        <n v="0.47915649271598115"/>
        <n v="-0.32863961747311021"/>
        <n v="-0.70167606114427461"/>
        <n v="-0.23004266866235024"/>
        <n v="0.69747145836103863"/>
        <n v="0.87030492663649983"/>
        <n v="0.9217894679888613"/>
        <n v="0.87350093556777886"/>
        <n v="0.75525083777655577"/>
        <n v="0.58732398441208777"/>
        <n v="0.63989986109112706"/>
        <n v="0.5607172879576966"/>
        <n v="0.24042893797686532"/>
        <n v="5.9008263133845953E-2"/>
        <n v="0.54665218702308283"/>
        <n v="0.70429269441702425"/>
        <n v="0.61116861078641749"/>
        <n v="0.79025362315517467"/>
        <n v="0.7726893679224206"/>
        <n v="0.84882393760235264"/>
        <n v="0.82815708354402395"/>
        <n v="0.76455838392085673"/>
        <n v="0.66777147345931998"/>
        <n v="0.6974015954957471"/>
        <n v="0.77699406661319326"/>
        <n v="0.82217028583264451"/>
        <n v="0.83963013522381624"/>
        <n v="0.88553560857197899"/>
        <n v="0.86132169536237813"/>
        <n v="0.8562742913081941"/>
        <n v="0.86642799711401897"/>
        <n v="0.90772435649141892"/>
        <n v="0.92281001385687833"/>
        <n v="0.86197871892136735"/>
        <n v="0.8288701727364306"/>
        <n v="0.818533544574926"/>
        <n v="0.89476338905383723"/>
        <n v="0.57804754834824434"/>
        <n v="0.46805431945116777"/>
        <n v="0.38296065997026335"/>
        <n v="0.77796214707135547"/>
        <n v="0.85568360632820939"/>
        <n v="0.74683509142557536"/>
        <n v="0.73066723545865053"/>
        <n v="0.74676923921892624"/>
        <n v="0.73513821041597971"/>
        <n v="0.77281340061431325"/>
        <n v="0.63205578302930709"/>
        <n v="0.69685068815806717"/>
        <n v="0.69580153588239368"/>
        <n v="0.64853982149389111"/>
        <n v="0.67133805177229222"/>
        <n v="0.59913365601796098"/>
        <n v="0.70430847523047968"/>
        <n v="0.63249755662807361"/>
        <n v="0.67581970449225393"/>
        <n v="0.6522144978518547"/>
        <n v="0.67742433816253889"/>
        <n v="0.42671414645949335"/>
        <n v="0.48190937019006247"/>
        <n v="0.6203327244904322"/>
        <n v="0.51997077553318694"/>
        <n v="0.13333559431995182"/>
        <n v="0.4951639982325996"/>
        <n v="0.56775779083929745"/>
        <n v="0.51251830250944108"/>
        <n v="0.66385804885286392"/>
        <n v="0.37982939222735707"/>
        <n v="0.28788949085829407"/>
        <n v="0.51891618711562104"/>
        <n v="0.6987844311477549"/>
        <n v="0.31885861100116109"/>
        <n v="0.35467701676384389"/>
        <n v="0.45453432627846757"/>
        <n v="0.5889110773731141"/>
        <n v="0.6056021060586535"/>
        <n v="-0.11256194878737064"/>
        <n v="0.30973243690702928"/>
        <n v="-0.23381172768657726"/>
        <n v="0.32758257357754539"/>
        <n v="0.55771030814997635"/>
        <n v="0.53060418171837842"/>
        <n v="0.35871818887921025"/>
        <n v="0.60788524577692604"/>
        <n v="0.62171431824617762"/>
        <n v="0.71722707025514176"/>
        <n v="0.71276352811241117"/>
        <n v="0.75483568558527292"/>
        <n v="0.80179972357808371"/>
        <n v="-0.15109868435409779"/>
        <n v="-0.4324838522686224"/>
        <n v="0.27087746489866826"/>
        <n v="0.25147527560452404"/>
        <n v="0.37064037023709734"/>
        <n v="0.73737743333598871"/>
        <n v="0.79115834891210068"/>
        <n v="0.25653058609908297"/>
        <n v="0.39007532318679794"/>
        <n v="0.50398552554645493"/>
        <n v="-0.2233712299803445"/>
        <n v="-0.46080803204353887"/>
        <n v="0.26112499320225324"/>
        <n v="0.4572437825481554"/>
        <n v="-0.58065013404916099"/>
        <n v="-1.0891106482588817"/>
        <n v="-3.9975043708917206"/>
        <n v="0.23035353647183768"/>
        <n v="0.33239551555150176"/>
        <n v="0.44082786244537348"/>
        <n v="-0.51282409843560428"/>
        <n v="0.17760904360709046"/>
        <n v="0.20309395680123968"/>
        <n v="0.61167397843057336"/>
        <n v="0.59268675120470649"/>
        <n v="0.59766611728389263"/>
        <n v="0.63552336796228737"/>
        <n v="0.3610479585979231"/>
        <n v="0.44294535297556714"/>
        <n v="0.60037281076355375"/>
        <n v="0.85819026800703957"/>
        <n v="0.64924552528644075"/>
        <n v="0.67417303846179"/>
        <n v="0.50335991834792437"/>
        <n v="0.68652148331426399"/>
        <n v="0.71135953236309968"/>
        <n v="0.57004924268502577"/>
        <n v="0.55614349879614255"/>
        <n v="0.27547999728633782"/>
        <n v="0.44539694543108815"/>
        <n v="0.2379823142886919"/>
        <n v="0.22976220667664701"/>
        <n v="0.52675916725898519"/>
        <n v="0.70002709714249156"/>
        <n v="0.59857447806761754"/>
        <n v="0.17535734024598318"/>
        <n v="0.27706870748610063"/>
        <n v="0.4985343442918489"/>
        <n v="0.79416016057580219"/>
        <n v="0.46548132341612203"/>
        <n v="-0.36170972563559328"/>
        <n v="-1.4886351053634059"/>
        <n v="0.23267218350958166"/>
        <n v="0.47769391806897438"/>
        <n v="0.19021200196666208"/>
        <n v="0.60274136249866406"/>
        <n v="0.58570300191934122"/>
        <n v="0.7788378748389303"/>
        <n v="0.78348173735293458"/>
        <n v="0.72680465316538334"/>
        <n v="0.70474179247257518"/>
        <n v="0.2696016039204352"/>
        <n v="0.50199615326081937"/>
        <n v="0.42114229371782375"/>
        <n v="0.25800606956383271"/>
        <n v="0.10993569830725645"/>
        <n v="0.6902148902890336"/>
        <n v="0.84336353532368813"/>
        <n v="0.94497032898462063"/>
        <n v="0.54408774707858087"/>
        <n v="0.60201668460141722"/>
        <n v="0.60528262551563905"/>
        <n v="0.64278701087397583"/>
        <n v="0.46867714222577278"/>
        <n v="0.70894010421313269"/>
        <n v="0.7153800262540907"/>
        <n v="0.74972878310606172"/>
        <n v="0.64086582084833899"/>
        <n v="0.60175685936740386"/>
        <n v="0.66440834887058431"/>
        <n v="0.78335763222461086"/>
        <n v="0.71736698401468135"/>
        <n v="0.74005458426955251"/>
        <n v="0.72693663553012322"/>
        <n v="0.74265856433524635"/>
        <n v="0.76960516186950922"/>
        <n v="0.74885979353102816"/>
        <n v="0.74443072841461311"/>
        <n v="0.78635703563204806"/>
        <n v="0.83584028412087419"/>
        <n v="0.78709210597498991"/>
        <n v="-0.35291367678684632"/>
        <n v="-2.5366954058568729"/>
        <n v="-3.8216431904611556"/>
        <n v="0.14467998254786846"/>
        <n v="0.48041484580579796"/>
        <n v="0.56931071904953956"/>
        <n v="-2.9380920044384626E-2"/>
        <n v="0.22036288643295729"/>
        <n v="0.35337378788949719"/>
        <n v="0.69206154057518299"/>
        <n v="0.66206041774991742"/>
        <n v="0.68999529285170469"/>
        <n v="0.63003214676351738"/>
        <n v="0.52239391172212191"/>
        <n v="0.53617788128254307"/>
        <n v="0.41693677517130412"/>
        <n v="0.46140119567687837"/>
        <n v="-0.20116016359648214"/>
        <n v="-0.21318158750668575"/>
        <n v="0.25841095682060955"/>
        <n v="0.65549348270734575"/>
        <n v="0.57898894599003781"/>
        <n v="0.44459530869625496"/>
        <n v="0.4769456575842777"/>
        <n v="0.4559047190427673"/>
        <n v="0.35435967512661914"/>
        <n v="0.7801203078981086"/>
        <n v="0.64063955254965399"/>
        <n v="0.68989169893810132"/>
        <n v="0.753991517519921"/>
        <n v="0.67260195660400446"/>
        <n v="-0.14503479643647615"/>
        <n v="1.1008003165075671E-2"/>
        <n v="-0.11837069486504707"/>
        <n v="0.50965729395666759"/>
        <n v="-3.8517870728832268E-2"/>
        <n v="9.4421920884756073E-3"/>
        <n v="4.3356111733242079E-3"/>
        <n v="-0.13462337967496621"/>
        <n v="-1.285536837972282"/>
        <n v="0.12940593097428763"/>
        <n v="0.52394876125200873"/>
        <n v="-0.99305912984001232"/>
        <n v="0.23319535067087807"/>
        <n v="0.44958883934758909"/>
        <n v="0.54639600370918595"/>
        <n v="0.70518014121068218"/>
        <n v="0.53445936720726017"/>
        <n v="0.59751723289769931"/>
        <n v="0.56921237092365973"/>
        <n v="0.69092526737633941"/>
        <n v="0.47345325126018195"/>
        <n v="0.52738736594021485"/>
        <n v="0.62385251339141179"/>
        <n v="0.68985227292807638"/>
        <n v="0.55016883476826928"/>
        <n v="0.58893609837750627"/>
        <n v="0.77393283066741436"/>
        <n v="0.80593494428257795"/>
        <n v="0.63965238706397154"/>
        <n v="0.67020070682929345"/>
        <n v="0.67457212630231866"/>
        <n v="0.73490076084850331"/>
        <n v="0.60096520314731094"/>
        <n v="0.65566885241406669"/>
        <n v="0.66986951060035504"/>
        <n v="0.70030409242525116"/>
        <n v="0.56063836107577159"/>
        <n v="0.62396895969282706"/>
        <n v="0.65265436984420011"/>
        <n v="0.72406112381555843"/>
        <n v="0.58330257761811821"/>
        <n v="0.65730773280365473"/>
        <n v="0.72484747716148235"/>
        <n v="0.73657238216878218"/>
        <n v="0.6283079975995608"/>
        <n v="0.63230507225861099"/>
        <n v="0.61334883419155284"/>
        <n v="0.69109360404731512"/>
        <n v="0.32871719990062642"/>
        <n v="0.50333124403362972"/>
        <n v="0.43987934350601571"/>
        <n v="0.66505944681654261"/>
        <n v="0.39384773945289336"/>
        <n v="0.54586864865461671"/>
        <n v="0.55921161414881526"/>
        <n v="0.71379727400796733"/>
        <n v="0.70635606756466462"/>
        <n v="0.72206830022744772"/>
        <n v="0.6979342639710665"/>
        <n v="0.74793845010190751"/>
        <n v="0.48445338019200657"/>
        <n v="0.57456138155822722"/>
        <n v="0.53949744261872878"/>
        <n v="0.6931654071397152"/>
        <n v="0.65685096184771974"/>
        <n v="0.69313929827293486"/>
        <n v="0.4930119239380405"/>
        <n v="0.61734986652804935"/>
        <n v="-0.88547976683455509"/>
        <n v="-3.3526114809007814"/>
        <n v="-4.2605859132716173"/>
        <n v="-1.6621695676520658"/>
        <n v="0.32992185155353526"/>
        <n v="-0.452902032755019"/>
        <n v="0.36132034229149346"/>
        <n v="-7.4606635199719301E-2"/>
        <n v="-0.7814049165549577"/>
        <n v="-1.3279584544880549"/>
        <n v="0.21465725672990535"/>
        <n v="-0.24908633179979528"/>
        <n v="-0.18974080456457904"/>
        <n v="0.4466941446709114"/>
        <n v="0.80105547352872675"/>
        <n v="-1.028067834800392"/>
        <n v="-6.4587912998751759E-2"/>
        <n v="-0.25646530661555716"/>
        <n v="0.54644940539711351"/>
        <n v="2.9762286438135718E-2"/>
        <n v="0.35488203906978522"/>
        <n v="0.44082164376247807"/>
        <n v="0.44585733867219957"/>
        <n v="0.46897821876173801"/>
        <n v="0.50114539139897396"/>
        <n v="0.74752646301403403"/>
        <n v="0.70803711707296224"/>
        <n v="0.723957977372921"/>
        <n v="0.72849869697092984"/>
        <n v="0.71808991658613353"/>
        <n v="0.74409042019707916"/>
        <n v="0.76591835431330713"/>
        <n v="0.78660738053205803"/>
        <n v="0.82999268263126158"/>
        <n v="0.75142822076146942"/>
        <n v="0.76146455512172051"/>
        <n v="0.70916441123797003"/>
        <n v="0.80416927153509055"/>
        <n v="0.78615325383745371"/>
        <n v="0.83299211323346867"/>
        <n v="0.75778276032956804"/>
        <n v="0.70096676196157093"/>
        <n v="0.68744221410588491"/>
        <n v="0.73043005857169285"/>
        <n v="0.74087602294502353"/>
        <n v="0.91302431443550247"/>
        <n v="0.78880060864902646"/>
        <n v="0.76807470995641336"/>
        <n v="0.73907169599265377"/>
        <n v="0.8467050899502403"/>
        <n v="0.87055277342872794"/>
        <n v="-0.58324496816879656"/>
        <n v="0.24937197489687968"/>
        <n v="6.4443244138626954E-2"/>
        <n v="0.45351423160694238"/>
        <n v="0.46914134314185568"/>
        <n v="0.36559354304628289"/>
        <n v="0.57734665137157037"/>
        <n v="0.83083837090803148"/>
        <n v="0.56591084116227486"/>
        <n v="0.61440929074274253"/>
        <n v="0.65277638573593388"/>
        <n v="0.77062297865046203"/>
        <n v="0.72199149491323389"/>
        <n v="0.66217568699907525"/>
        <n v="0.62675422106462353"/>
        <n v="0.6542868159692673"/>
        <n v="-3.2857267334687558E-2"/>
        <n v="0.1997559463437163"/>
        <n v="0.41296052805387384"/>
        <n v="0.69347707657142466"/>
        <n v="0.58509354086124277"/>
        <n v="0.79309105939242608"/>
        <n v="0.77468326732835291"/>
        <n v="0.79504207484813438"/>
        <n v="-0.96300452678580717"/>
        <n v="0.20750936856237376"/>
        <n v="0.42528089861119217"/>
        <n v="0.38472599838019483"/>
        <n v="0.13034919673246093"/>
        <n v="0.47197579680757823"/>
        <n v="0.53690641029496744"/>
        <n v="0.51261576452446522"/>
        <n v="0.7496813274251416"/>
        <n v="0.76582183522294711"/>
        <n v="0.77695106833286287"/>
        <n v="0.87992539706591777"/>
        <n v="0.85439892144014096"/>
        <n v="0.8189682843098377"/>
        <n v="0.16683130204577698"/>
        <n v="0.40108237289460602"/>
        <n v="0.44669004853576683"/>
        <n v="0.29124412847831144"/>
        <n v="0.26671198887147346"/>
        <n v="0.12125658645148321"/>
        <n v="0.61538150890441412"/>
        <n v="0.68247679932808714"/>
        <n v="0.69283030130746448"/>
        <n v="0.71691734644474825"/>
        <n v="0.88762055805949946"/>
        <n v="0.52929503865983407"/>
        <n v="0.59664077613048416"/>
        <n v="0.63161159224209307"/>
        <n v="0.68772280004574771"/>
        <n v="0.67401901362584393"/>
        <n v="0.71310879638317026"/>
        <n v="0.70676278123538117"/>
        <n v="0.82739250883142235"/>
        <n v="0.75277733434130689"/>
        <n v="0.7692165051172325"/>
        <n v="0.75829708766157522"/>
        <n v="0.88523215113611298"/>
        <n v="0.76252706778350532"/>
        <n v="0.76305242275325358"/>
        <n v="0.7821831336377999"/>
        <n v="0.7830150016871118"/>
        <n v="0.78852505289369179"/>
        <n v="0.79336564625420913"/>
        <n v="0.88132144268641488"/>
        <n v="0.89845532449578791"/>
        <n v="0.7989566069186067"/>
        <n v="0.81238372788828195"/>
        <n v="0.73156330711916151"/>
        <n v="0.77957139450209068"/>
        <n v="0.78314217211338266"/>
        <n v="0.7602014881908854"/>
        <n v="0.84802508485968442"/>
        <n v="0.80672821242139703"/>
        <n v="0.73494581487941624"/>
        <n v="0.64640361492103504"/>
        <n v="0.68905890173439022"/>
        <n v="0.76104667988591412"/>
        <n v="0.19389084561926095"/>
        <n v="0.44935512987722837"/>
        <n v="0.28375694724695388"/>
        <n v="0.24723564405693887"/>
        <n v="0.64350037817715233"/>
        <n v="0.66630583415385713"/>
        <n v="0.6341281638954237"/>
        <n v="0.61763640547341869"/>
        <n v="0.64563357506947039"/>
        <n v="0.6649843805388701"/>
        <n v="0.75806637076385597"/>
        <n v="0.76799332299751"/>
        <n v="0.71360825601619526"/>
        <n v="0.70361783666162858"/>
        <n v="0.49436154680190914"/>
        <n v="0.62828843421420433"/>
        <n v="0.53252070660475537"/>
        <n v="0.57553614013214216"/>
        <n v="0.64857262591757625"/>
        <n v="0.46770774998559178"/>
        <n v="0.67104240688740591"/>
        <n v="0.6878210966075744"/>
        <n v="0.58853173987921648"/>
        <n v="-0.10906975375454285"/>
        <n v="0.36401602565055119"/>
        <n v="0.20426563623346147"/>
        <n v="0.18034441803589848"/>
        <n v="-0.42657463963203235"/>
        <n v="-0.9117445817072336"/>
        <n v="0.12218610851945359"/>
        <n v="0.45875207408924557"/>
        <n v="-1.5531337472026736"/>
        <n v="-2.0089382016498929"/>
        <n v="-0.18674393166612491"/>
        <n v="0.4793612292776791"/>
        <n v="-0.72790101521110206"/>
        <n v="-0.67964957040983165"/>
        <n v="0.2969503903328819"/>
        <n v="0.42453510072325679"/>
        <n v="0.29553494675861725"/>
        <n v="0.79185643382036686"/>
        <n v="0.76061290068479315"/>
        <n v="0.8333284136563871"/>
        <n v="0.83866624224738073"/>
        <n v="0.79447156810268338"/>
        <n v="0.79750643208445615"/>
        <n v="0.80352152323265247"/>
        <n v="0.91752054505007374"/>
        <n v="0.89672689796586813"/>
        <n v="0.77342949823453944"/>
        <n v="0.79707104701796172"/>
        <n v="0.81020121705455883"/>
        <n v="0.86416931217613668"/>
        <n v="0.71234025034163828"/>
        <n v="0.66129738709346986"/>
        <n v="0.63366931722493847"/>
        <n v="0.69371479741564845"/>
        <n v="0.53614319912282393"/>
        <n v="0.74746320024520785"/>
        <n v="0.76625829239180743"/>
        <n v="0.85182945579058766"/>
        <n v="0.63954696596392457"/>
        <n v="0.61024524654005396"/>
        <n v="0.67999220698763507"/>
        <n v="0.69252120353556768"/>
        <n v="0.40272596906459152"/>
        <n v="0.46355294386490004"/>
        <n v="0.31743904018252561"/>
        <n v="0.42847689590857763"/>
        <n v="0.51026322414707759"/>
        <n v="0.43554287916895523"/>
        <n v="0.28594014766455944"/>
        <n v="-4.2416846796638707E-2"/>
        <n v="4.0982602588803013E-2"/>
        <n v="0.63820914273166218"/>
        <n v="0.65720016094833289"/>
        <n v="0.67679419501592408"/>
        <n v="0.79338086315345413"/>
        <n v="0.84875563824234668"/>
        <n v="0.84858291644675732"/>
        <n v="0.84297776400020452"/>
        <n v="0.85388426752188218"/>
        <n v="0.86515083471511334"/>
        <n v="0.80158142291677659"/>
        <n v="0.7302748362911019"/>
        <n v="0.68759428275355639"/>
        <n v="0.69456847506262231"/>
        <n v="0.5838440636707003"/>
        <n v="0.63563841453173087"/>
        <n v="0.15597433222930673"/>
        <n v="0.43606513620245557"/>
        <n v="0.48880308425071006"/>
        <n v="0.71867554354532281"/>
        <n v="0.73201847312689872"/>
        <n v="0.72164402264314143"/>
        <n v="0.35914366402066417"/>
        <n v="0.46654871976344042"/>
        <n v="0.46704600111885242"/>
        <n v="-5.6884633487204801E-2"/>
        <n v="-0.45195933270073912"/>
        <n v="-0.15533853232796002"/>
        <n v="0.60625827118022413"/>
        <n v="0.70074417515647636"/>
        <n v="0.7398068500351479"/>
        <n v="0.72244156681124538"/>
        <n v="0.73046061803263695"/>
        <n v="0.62236664462040514"/>
        <n v="0.43194578306615944"/>
        <n v="-0.42478833400323568"/>
        <n v="-0.86238355191521388"/>
        <n v="-0.66531991501700194"/>
        <n v="0.65209994494001844"/>
        <n v="-0.25096078441047226"/>
        <n v="0.10037227022108958"/>
        <n v="-0.27416873659543761"/>
        <n v="0.45601505797969644"/>
        <n v="0.55508022395200718"/>
        <n v="0.21094968155183499"/>
        <n v="0.51441126890333189"/>
        <n v="0.61812296618544382"/>
        <n v="1.4957913825438929E-2"/>
        <n v="-0.3073930637877203"/>
        <n v="0.22987812036948357"/>
        <n v="0.64957918796781722"/>
        <n v="-0.13144453192410849"/>
        <n v="-1.0106836773149119"/>
        <n v="3.7191464690111052E-2"/>
        <n v="0.44861318196931682"/>
        <n v="0.11799164582897306"/>
        <n v="0.54498319130858663"/>
        <n v="0.58323851109838876"/>
        <n v="0.33203482848673266"/>
        <n v="-0.7295563634281077"/>
        <n v="0.25086692240139269"/>
        <n v="0.39411617918019204"/>
        <n v="-1.1978986259055067"/>
        <n v="-2.7392114795642253"/>
        <n v="-0.28503110529300035"/>
        <n v="0.45878255477872637"/>
        <n v="-0.62410385581582473"/>
        <n v="-2.8283274465502881"/>
        <n v="-0.38451830514742275"/>
        <n v="0.46583549287443654"/>
        <n v="0.41333933004010143"/>
        <n v="0.29921667648319888"/>
        <n v="0.34879885820127665"/>
        <n v="0.13607505443786527"/>
        <n v="0.15348444115070822"/>
        <n v="-2.3833493906717567"/>
        <n v="-2.0245715802928355"/>
        <n v="-1.9915759138849163"/>
        <n v="0.5989593606651894"/>
        <n v="0.34727715976883478"/>
        <n v="0.50822555603748021"/>
        <n v="0.46857125571547764"/>
        <n v="-0.14501381416708145"/>
        <n v="0.42357773190036474"/>
        <n v="0.49604984793631601"/>
        <n v="0.48435800102113041"/>
        <n v="0.33047626611812064"/>
        <n v="0.10042304216018665"/>
        <n v="0.4099108908975449"/>
        <n v="-0.40428732947318174"/>
        <n v="8.4697143886928811E-2"/>
        <n v="0.11606608324228206"/>
        <n v="0.57040351328994898"/>
        <n v="0.41971092066642729"/>
        <n v="0.32635137073574794"/>
        <n v="0.59432897539400742"/>
        <n v="0.38963000942211529"/>
        <n v="0.50487353721040318"/>
        <n v="0.54746972817137629"/>
        <n v="0.67455431309636615"/>
        <n v="0.66411760051205693"/>
        <n v="0.25278035207549915"/>
        <n v="0.44443601254191589"/>
        <n v="0.58176618289405235"/>
        <n v="9.1328801575803434E-2"/>
        <n v="-1.5600796608385548"/>
        <n v="0.12071901852399625"/>
        <n v="0.46992473673413082"/>
        <n v="0.335126092536779"/>
        <n v="0.2006736084175294"/>
        <n v="0.48811792546319177"/>
        <n v="0.1183839673629168"/>
        <n v="0.50930057722742772"/>
        <n v="0.18542643702049227"/>
        <n v="0.54850002647447649"/>
        <n v="0.45669440174913384"/>
        <n v="0.64483866882025054"/>
        <n v="0.58688471218883875"/>
        <n v="0.64271760047553261"/>
        <n v="0.6685911880608062"/>
        <n v="0.53825606181385655"/>
        <n v="0.53706735656286664"/>
        <n v="0.60900094023707774"/>
        <n v="0.57203042421130434"/>
        <n v="0.42069041648787436"/>
        <n v="0.57179751098954368"/>
        <n v="0.68058622557863369"/>
        <n v="0.31795986472501253"/>
        <n v="0.56504686873475041"/>
        <n v="0.51939278748601514"/>
        <n v="0.71176065677988565"/>
        <n v="0.79902180742995266"/>
        <n v="0.79989533829614046"/>
        <n v="0.71420033387809079"/>
        <n v="0.71971926691424881"/>
        <n v="0.63915831847929527"/>
        <n v="0.71006251607134674"/>
        <n v="0.46643882876587006"/>
        <n v="0.57371134459850626"/>
        <n v="0.37530167015899335"/>
        <n v="0.57394969916065697"/>
        <n v="0.37530927934395647"/>
        <n v="0.55468899664504567"/>
        <n v="0.17988098046876902"/>
        <n v="0.44706919553878971"/>
        <n v="0.53380317372793118"/>
        <n v="0.38662735854214847"/>
        <n v="0.49594417905854954"/>
        <n v="0.46513737637286906"/>
        <n v="0.4810067465677334"/>
        <n v="0.79478159908626367"/>
        <n v="0.47670473403912611"/>
        <n v="-6.2241700697302012E-2"/>
        <n v="0.20492044304680812"/>
        <n v="0.51214469837290266"/>
        <n v="0.84246319786642887"/>
        <n v="0.81004898303136741"/>
        <n v="0.7804319026680967"/>
        <n v="0.74808377644566615"/>
        <n v="0.59044278815376561"/>
        <n v="0.4292983177790638"/>
        <n v="0.23126230322213798"/>
        <n v="0.58157831273107008"/>
        <n v="0.74153837323762095"/>
        <n v="0.67504828135363493"/>
        <n v="0.68825600516380969"/>
        <n v="0.70804204914011548"/>
        <n v="0.67286261714844064"/>
        <n v="0.69571687876289035"/>
        <n v="0.71058915667771916"/>
        <n v="0.69885176940860305"/>
        <n v="0.65174522954024994"/>
        <n v="0.68328332357985355"/>
        <n v="0.55421480541177326"/>
        <n v="0.52479637475121399"/>
        <n v="0.51729151246224059"/>
        <n v="3.9498118665578619E-2"/>
        <n v="0.49752123230916606"/>
        <n v="0.51478307469789009"/>
        <n v="0.57769747183315456"/>
        <n v="0.8617701517288503"/>
        <n v="0.81277855559169376"/>
        <n v="-7.1531245866231205E-2"/>
        <n v="-8.4401102599940409E-2"/>
        <n v="0.24508857251092825"/>
        <n v="0.57079819338651927"/>
        <n v="0.23081149314379087"/>
        <n v="0.3280694537192928"/>
        <n v="0.52908400343029649"/>
        <n v="0.4940795877819254"/>
        <n v="0.18209971435641067"/>
        <n v="0.24883937123725536"/>
        <n v="-0.34956528436201012"/>
        <n v="0.28126303550588122"/>
        <n v="-1.174040689673999E-2"/>
        <n v="3.3275917248689751E-2"/>
        <n v="0.72832352942410938"/>
        <n v="0.62521699612253001"/>
        <n v="0.5281884581478089"/>
        <n v="0.14557404124612977"/>
        <n v="0.48435719908146052"/>
        <n v="0.58506935693022044"/>
        <n v="0.59793163592056475"/>
        <n v="0.38713227734849576"/>
        <n v="0.52999477821043373"/>
        <n v="0.64561761081855706"/>
        <n v="0.725959674538872"/>
        <n v="0.73378719280996874"/>
        <n v="0.74579486292434316"/>
        <n v="0.6078376948591"/>
        <n v="0.71105197885246496"/>
        <n v="0.52962121811171137"/>
        <n v="0.62898138317019037"/>
        <n v="0.68160240323500854"/>
        <n v="0.86855767280330909"/>
        <n v="0.72647702024811711"/>
        <n v="0.67746348640720278"/>
        <n v="0.6725828030929154"/>
        <n v="0.83614551515901225"/>
        <n v="0.85349357727242536"/>
        <n v="0.83842328803044075"/>
        <n v="0.13224255194359041"/>
        <n v="0.34639763329733647"/>
        <n v="0.48419207261084973"/>
        <n v="-0.16047356780018115"/>
        <n v="-0.76419805883888992"/>
        <n v="-0.42912306158589103"/>
        <n v="-0.14534537840547798"/>
        <n v="0.42041512155829247"/>
        <n v="0.52868233198009695"/>
        <n v="0.73438237034666443"/>
        <n v="0.74663051987368501"/>
        <n v="4.06768082752023E-2"/>
        <n v="-0.62369845841949989"/>
        <n v="-0.94577992157204827"/>
        <n v="0.40025592889518602"/>
        <n v="-0.14496682965279062"/>
        <n v="-0.35629499502673762"/>
        <n v="0.44359681970056686"/>
        <n v="0.64409460967242416"/>
        <n v="0.10874437670895711"/>
        <n v="2.4504712503280235E-2"/>
        <n v="0.37029397674961317"/>
        <n v="0.50736924838147379"/>
        <n v="0.31253223949979414"/>
        <n v="0.48564397100356477"/>
        <n v="0.42123019676115681"/>
        <n v="0.3991755532768374"/>
        <n v="0.21235487224548261"/>
        <n v="0.40203118021663331"/>
        <n v="0.57792494915561665"/>
        <n v="0.58528850913686636"/>
        <n v="0.58875717743671774"/>
        <n v="0.93338592797276676"/>
        <n v="0.88256996646738739"/>
        <n v="0.66004271632933376"/>
        <n v="0.44681357560245116"/>
        <n v="0.55577304065045297"/>
        <n v="0.63891262112967029"/>
        <n v="0.52268491272404993"/>
        <n v="0.61869597851701785"/>
        <n v="0.47411776895328078"/>
        <n v="0.18941823744026837"/>
        <n v="0.13076795797957955"/>
        <n v="0.59623370527113018"/>
        <n v="0.82138523448071077"/>
        <n v="0.79469220798533702"/>
        <n v="0.79546655207137262"/>
        <n v="0.85608953889304207"/>
        <n v="0.80819203387998584"/>
        <n v="0.74523083598779916"/>
        <n v="0.75655166019346431"/>
        <n v="0.80352915583824736"/>
        <n v="0.7458212771169721"/>
        <n v="0.71467427902911984"/>
        <n v="0.68422857435781637"/>
        <n v="0.73755808524250022"/>
        <n v="0.80050436339228725"/>
        <n v="0.81389269606237746"/>
        <n v="0.84891118178743707"/>
        <n v="0.95462566188072673"/>
        <n v="0.95363750731976216"/>
        <n v="0.60300844531822306"/>
        <n v="0.62226373928272427"/>
        <n v="0.56447143380417264"/>
        <n v="0.56267174156035804"/>
        <n v="0.7735710456553021"/>
        <n v="0.8028265201316801"/>
        <n v="0.85241304575898835"/>
        <n v="0.86436390314606126"/>
        <n v="0.88809639341938618"/>
        <n v="0.93124007811990617"/>
        <n v="0.90400183431344094"/>
        <n v="0.91244659896570601"/>
        <n v="0.8787877746450854"/>
        <n v="0.87685879867397931"/>
        <n v="0.86789856716441782"/>
        <n v="0.85853921491597318"/>
        <n v="0.49637626005131114"/>
        <n v="0.48410534604398064"/>
        <n v="0.34290269867359946"/>
        <n v="0.18025311662987342"/>
        <n v="0.1424265436063675"/>
        <n v="-4.7740595030635422E-2"/>
        <n v="0.69799013386991893"/>
        <n v="0.60800335583127652"/>
        <n v="0.8033074614105159"/>
        <n v="0.82843829716586226"/>
        <n v="0.90353121923586233"/>
        <n v="0.94256594546311701"/>
        <n v="0.73545746038296678"/>
        <n v="0.72416568607706289"/>
        <n v="0.63116779382951249"/>
        <n v="0.81758070063452537"/>
        <n v="0.82545603520005828"/>
        <n v="0.94194567756947833"/>
        <n v="0.9498652930884276"/>
        <n v="0.92101687011792821"/>
        <n v="0.71434204220003183"/>
        <n v="0.72798321822268908"/>
        <n v="0.75153357478079463"/>
        <n v="0.89394025161521695"/>
        <n v="0.74203323471585891"/>
        <n v="-0.43327500539174513"/>
        <n v="-1.9540588970722381"/>
        <n v="-3.7516772233061002"/>
        <n v="-2.1370851808705416"/>
        <n v="0.15640077057625285"/>
        <n v="0.36071359733913722"/>
        <n v="0.14845378479947446"/>
        <n v="0.4965978741989921"/>
        <n v="0.50404283721575016"/>
        <n v="0.90598764960662059"/>
        <n v="0.74404319893914128"/>
        <n v="0.69712302427147654"/>
        <n v="0.57611187499028915"/>
        <n v="0.51320329819293009"/>
        <n v="-0.82942682375460997"/>
        <n v="-1.028045813621514"/>
        <n v="7.3748025809417958E-2"/>
        <n v="0.66677794468919405"/>
        <n v="-1.5785774090328136E-2"/>
        <n v="-0.96728236463969541"/>
        <n v="-2.7306841813350613"/>
        <n v="0.2429171627805054"/>
        <n v="-8.040279438065661E-3"/>
        <n v="-4.6753780729971731E-2"/>
        <n v="0.43054574889270186"/>
        <n v="0.58907316895844175"/>
        <n v="0.3377723889289268"/>
        <n v="0.42339437727178808"/>
        <n v="0.27469892228341636"/>
        <n v="-0.42230216860004949"/>
        <n v="0.12011780582122319"/>
        <n v="0.43482323826077679"/>
        <n v="0.69865487154026962"/>
        <n v="0.72090041763353507"/>
        <n v="-1.0047584515150401"/>
        <n v="0.16876647202984488"/>
        <n v="-0.11061398712746623"/>
        <n v="0.31389609806074736"/>
        <n v="-0.16487469051679279"/>
        <n v="-0.21177829260602057"/>
        <n v="0.32601523793594911"/>
        <n v="0.26601377544339661"/>
        <n v="-2.1088971421963296"/>
        <n v="-6.08412701519834"/>
        <n v="-1.2574593389468729"/>
        <n v="0.37720001203923298"/>
        <n v="-0.19994370472741171"/>
        <n v="0.3742126419365876"/>
        <n v="0.13469997806194098"/>
        <n v="0.19276315413443948"/>
        <n v="0.60027766558992168"/>
        <n v="0.37399001564605139"/>
        <n v="0.19485390192385252"/>
        <n v="0.41414981907628196"/>
        <n v="0.52237623395335031"/>
        <n v="0.40958382193611448"/>
        <n v="0.4310132534922379"/>
        <n v="0.66169673411479879"/>
        <n v="0.85220129758288943"/>
        <n v="0.85610264677185111"/>
        <n v="0.50115118456192709"/>
        <n v="1.1111543969340727E-3"/>
        <n v="0.21135920988960163"/>
        <n v="0.5914980773067654"/>
        <n v="0.65793497491321318"/>
        <n v="0.378516578235566"/>
        <n v="4.1701611509645096E-2"/>
        <n v="0.1986656188899924"/>
        <n v="0.46857854407964689"/>
        <n v="0.13257560963740642"/>
        <n v="9.2772574931215615E-2"/>
        <n v="0.45680615724687312"/>
        <n v="0.76590942123295991"/>
        <n v="0.55768524252913598"/>
        <n v="-0.3581787040697002"/>
        <n v="-0.62624946079153265"/>
        <n v="0.18309602943013489"/>
        <n v="0.68898853445947184"/>
        <n v="0.71781381460854865"/>
        <n v="0.7964098470532277"/>
        <n v="0.88690833501710964"/>
        <n v="0.8408048161270445"/>
        <n v="0.79428154986199251"/>
        <n v="0.80179521289292599"/>
        <n v="0.84881163954295591"/>
        <n v="0.85416357869004544"/>
        <n v="0.73104556421332778"/>
        <n v="0.7607699812676354"/>
        <n v="0.74786110966220998"/>
        <n v="0.74989081985099293"/>
        <n v="0.43150761775444729"/>
        <n v="0.53579288066457509"/>
        <n v="0.41408832872654577"/>
        <n v="0.53632173906397529"/>
        <n v="0.64455060117497232"/>
        <n v="0.83133797321580105"/>
        <n v="0.83420321656996899"/>
        <n v="0.93177052720450204"/>
        <n v="0.89007457683472468"/>
        <n v="0.89807363567574183"/>
        <n v="0.34115191088215491"/>
        <n v="0.45341360625968108"/>
        <n v="0.41167167662085608"/>
        <n v="0.49255675303709706"/>
        <n v="0.45125704123230115"/>
        <n v="0.31991700594195283"/>
        <n v="-0.32328639704781237"/>
        <n v="-1.1687043605503284"/>
        <n v="-0.17901197466358126"/>
        <n v="0.54778518181699731"/>
        <n v="0.77434929309961853"/>
        <n v="-1.0647384625527512"/>
        <n v="0.17729131431297435"/>
        <n v="0.24765259034714915"/>
        <n v="0.26713194066220053"/>
        <n v="0.75712737736907776"/>
        <n v="0.51781510138551456"/>
        <n v="0.30286775183554299"/>
        <n v="-0.58219800910007025"/>
        <n v="0.17927381041129045"/>
        <n v="0.40705613614956809"/>
        <n v="0.33000660596737141"/>
        <n v="-0.38967831357221161"/>
        <n v="0.16006358089081155"/>
        <n v="0.47858137842560061"/>
        <n v="0.50285184688811135"/>
        <n v="0.29470947638031342"/>
        <n v="-1.0737421977733514"/>
        <n v="-5.8901182897952724"/>
        <n v="-10.521344743676661"/>
        <n v="-9.181496523793184"/>
        <n v="-5.098566772792565"/>
        <n v="-1.8991238624222826"/>
        <n v="-0.52111393243945792"/>
        <n v="0.5860015839291729"/>
        <n v="0.6040564048403686"/>
        <n v="0.35196826401802189"/>
        <n v="0.53778208119463222"/>
        <n v="0.63815521195994096"/>
        <n v="0.9366549103998224"/>
        <n v="5.9703224340894763E-2"/>
        <n v="-4.741257474899882E-2"/>
        <n v="0.26840026439641901"/>
        <n v="0.43941776053407849"/>
        <n v="-0.47741183710140223"/>
        <n v="-2.3144921257266708"/>
        <n v="-6.6636170872932485E-2"/>
        <n v="0.49117300298897415"/>
        <n v="0.48134224046436647"/>
        <n v="3.4796242652388065E-2"/>
        <n v="0.3809195358695136"/>
        <n v="0.51700785290707452"/>
        <n v="0.43460347169513835"/>
        <n v="-1.6935642366716792"/>
        <n v="-0.38166431558468894"/>
        <n v="-7.0959088807788454E-3"/>
        <n v="0.70566001313044779"/>
        <n v="-0.99825592719394041"/>
        <n v="-0.1259558486877744"/>
        <n v="-3.1567202651367832"/>
        <n v="0.21933740935462173"/>
        <n v="-0.82288304817366342"/>
        <n v="-5.0637201891920594"/>
        <n v="-11.032020819687474"/>
        <n v="-0.61318957244584238"/>
        <n v="-2.2093692752079832"/>
        <n v="4.6545520168544199E-2"/>
        <n v="-2.2483612754586297"/>
        <n v="-8.5796158059654228"/>
        <n v="-21.407662481968238"/>
        <n v="-21.407662481968242"/>
        <n v="0.17617717216380757"/>
        <n v="-2.3532015504683232"/>
        <n v="-2.0646033056389448"/>
        <n v="-5.1737416300050567"/>
        <n v="0.22498470808628182"/>
        <n v="-0.50969045634545906"/>
        <n v="0.18385788443103848"/>
        <n v="0.54642784793100341"/>
        <n v="0.27016265815734647"/>
        <n v="-0.96121542100589374"/>
        <n v="-0.53503556539749131"/>
        <n v="1.6338880573085853E-2"/>
        <n v="-1.9462833355493279E-2"/>
        <n v="-2.6176419838143334"/>
        <n v="6.8296906331590246E-2"/>
        <n v="0.29531728855636996"/>
        <n v="-0.72674149570354218"/>
        <n v="-0.56509867351096044"/>
        <n v="0.27160669474065269"/>
        <n v="0.47366516158490607"/>
        <n v="0.24720295664608921"/>
        <n v="0.28874995394637992"/>
        <n v="0.63448368400139377"/>
        <n v="0.86407220569872656"/>
        <n v="0.21388445983460341"/>
        <n v="0.35413949364599862"/>
        <n v="0.29678179474256888"/>
        <n v="0.81927585074927523"/>
        <n v="-0.33337087700977158"/>
        <n v="0.22558359538288209"/>
        <n v="0.2001888058965498"/>
        <n v="0.41973731490764454"/>
        <n v="0.27623492513273973"/>
        <n v="0.29534398343762824"/>
        <n v="0.17209793009261332"/>
        <n v="0.44004225177389561"/>
        <n v="0.19384493194086594"/>
        <n v="3.4005961926570037E-2"/>
        <n v="0.45787046444709723"/>
        <n v="0.51909522783679352"/>
        <n v="2.6495887958851036E-2"/>
        <n v="-0.24486259674398825"/>
        <n v="0.26391411592260317"/>
        <n v="0.63473304005402942"/>
        <n v="-5.0919526068335275E-2"/>
        <n v="-1.5464678548815456"/>
        <n v="-0.32290308794315731"/>
        <n v="0.42676159798141605"/>
        <n v="0.192374988779795"/>
        <n v="-0.88491283556507727"/>
        <n v="8.2516074376795367E-2"/>
        <n v="0.44600776846207713"/>
        <n v="0.60882916240053919"/>
        <n v="0.54690966807623853"/>
        <n v="0.44449175526495643"/>
        <n v="0.55325223595754924"/>
        <n v="0.5799310341017655"/>
        <n v="0.62316407460040879"/>
        <n v="0.69106957752135711"/>
        <n v="0.70587957696333903"/>
        <n v="0.73469694096951255"/>
        <n v="0.5182852809763191"/>
        <n v="0.6165872775900535"/>
        <n v="0.63792443095778573"/>
        <n v="0.60781108698959585"/>
        <n v="0.1719066072604328"/>
        <n v="0.48920461599911852"/>
        <n v="0.5868739851522965"/>
        <n v="0.64499364253828706"/>
        <n v="0.51204942464159531"/>
        <n v="0.68383010398566657"/>
        <n v="0.70492480234695987"/>
        <n v="0.77479383941467517"/>
        <n v="0.62969355646042768"/>
        <n v="0.74346497047746163"/>
        <n v="0.73183251371982849"/>
        <n v="0.6296969793661602"/>
        <n v="0.51000821733152635"/>
        <n v="0.65129885213525351"/>
        <n v="0.76660218725663287"/>
        <n v="0.81623849723049713"/>
        <n v="0.11319867968540563"/>
        <n v="0.36260403096362376"/>
        <n v="0.35856542721210627"/>
        <n v="2.5610687385819939E-2"/>
        <n v="0.50453457844240757"/>
        <n v="0.54483530813813619"/>
        <n v="0.84635019425501401"/>
        <n v="0.76635163367600612"/>
        <n v="-0.13122989463683077"/>
        <n v="0.3133088281698278"/>
        <n v="0.34814793290696788"/>
        <n v="0.51053047910685712"/>
        <n v="0.35411911662950951"/>
        <n v="0.48556981888593809"/>
        <n v="0.54758492366945266"/>
        <n v="0.55082671172810327"/>
        <n v="0.38910402677586819"/>
        <n v="0.50522570432683689"/>
        <n v="0.58945705819683936"/>
        <n v="0.36615778087898171"/>
        <n v="0.19451816377047493"/>
        <n v="0.47930122787038903"/>
        <n v="0.62874114329457942"/>
        <n v="0.56254630098255276"/>
        <n v="0.59418138844156443"/>
        <n v="0.59019596593409995"/>
        <n v="0.56561077742873722"/>
        <n v="0.59731350622026935"/>
        <n v="0.65768749872370735"/>
        <n v="0.56435179626081655"/>
        <n v="0.64581581749780104"/>
        <n v="0.78568001253140085"/>
        <n v="0.84932307941443741"/>
        <n v="0.6537863179527662"/>
        <n v="0.70396899186471573"/>
        <n v="0.71951567958818807"/>
        <n v="0.69944775667146197"/>
        <n v="0.54442867214355595"/>
        <n v="0.4488469308301492"/>
        <n v="0.39244388566324934"/>
        <n v="0.58613159622975664"/>
        <n v="0.21947906336432443"/>
        <n v="0.47040543118858524"/>
        <n v="-0.55620577816333672"/>
        <n v="0.27734814124841056"/>
        <n v="-0.81402479075319001"/>
        <n v="-0.30420086663115081"/>
        <n v="0.39965977738963565"/>
        <n v="0.26737331033065986"/>
        <n v="0.33794144366513207"/>
        <n v="0.64629024832071791"/>
        <n v="0.51889345651163543"/>
        <n v="0.26626667064479059"/>
        <n v="-0.2745820072529373"/>
        <n v="0.4598421988519325"/>
        <n v="0.60934488829629929"/>
        <n v="0.70022129887552975"/>
        <n v="0.69326249424537856"/>
        <n v="0.66175660665449054"/>
        <n v="0.67549598903794716"/>
        <n v="0.72537390334957796"/>
        <n v="0.41802174038427975"/>
        <n v="0.48510202751777509"/>
        <n v="0.49470364518883281"/>
        <n v="0.80917419603069385"/>
        <n v="0.2766947270175803"/>
        <n v="0.45659870256538304"/>
        <n v="0.41814294019572396"/>
        <n v="0.62291074279869763"/>
        <n v="0.48782010049315511"/>
        <n v="0.55462853932728839"/>
        <n v="0.50493454776026991"/>
        <n v="0.65010456635024416"/>
        <n v="0.62349968182076709"/>
        <n v="0.66137103156399846"/>
        <n v="0.57004420010901657"/>
        <n v="0.67865972561884425"/>
        <n v="0.80691072998224289"/>
        <n v="0.88411929519793309"/>
        <n v="0.87419627681211498"/>
        <n v="0.87367241852404531"/>
        <n v="0.84144405414724466"/>
        <n v="0.67093837214307595"/>
        <n v="0.61493951363625388"/>
        <n v="0.64702023815921395"/>
        <n v="0.54756996430453575"/>
        <n v="0.61189459524071399"/>
        <n v="0.60139014191898565"/>
        <n v="0.71831963737187898"/>
        <n v="0.74381582833508142"/>
        <n v="0.7880004984044745"/>
        <n v="0.78275527169556414"/>
        <n v="0.79780355332251185"/>
        <n v="0.59618675600381654"/>
        <n v="0.63618805407288459"/>
        <n v="0.47273112023182218"/>
        <n v="0.59920810216443321"/>
        <n v="0.60026824551213909"/>
        <n v="0.66808192764877228"/>
        <n v="0.60735258565094541"/>
        <n v="0.67679896980633492"/>
        <n v="-0.97702672444782068"/>
        <n v="-5.4427295766251849"/>
        <n v="-20.138739139687015"/>
        <n v="-20.023962628523499"/>
        <n v="-13.098975650721579"/>
        <n v="-2.5148299135717589"/>
        <n v="-1.4942325345964169"/>
        <n v="-4.064664888873275"/>
        <n v="0.17689420974065045"/>
        <n v="-0.40696297184192398"/>
        <n v="0.19852533190786339"/>
        <n v="0.57880854978471674"/>
        <n v="0.6139966343341503"/>
        <n v="0.25686615551429776"/>
        <n v="2.9518021324807898E-2"/>
        <n v="0.27435980337446958"/>
        <n v="0.46809549368433701"/>
        <n v="0.34956100907870241"/>
        <n v="-0.35967555683785829"/>
        <n v="0.12065819618684999"/>
        <n v="0.42242862808358628"/>
        <n v="0.38921942373251744"/>
        <n v="-0.3757755850013989"/>
        <n v="0.25580791942688458"/>
        <n v="0.17320345425362255"/>
        <n v="-0.49384245131134769"/>
        <n v="2.2525547919614641E-2"/>
        <n v="0.2395529426729596"/>
        <n v="0.77153293217889818"/>
        <n v="0.85898886593101897"/>
        <n v="0.71937436630127072"/>
        <n v="0.64629949040725898"/>
        <n v="0.68169689267641731"/>
        <n v="0.85169359225393837"/>
        <n v="0.91396331591907432"/>
        <n v="0.63220992112797258"/>
        <n v="0.65384130736208856"/>
        <n v="0.53313267117768637"/>
        <n v="0.73175955471467824"/>
        <n v="0.48968844664441008"/>
        <n v="0.59206130221706421"/>
        <n v="0.14292081358857509"/>
        <n v="0.4497664845106743"/>
        <n v="0.14290106702368668"/>
        <n v="0.42431398164607953"/>
        <n v="0.50906418454893931"/>
        <n v="0.44443349787137471"/>
        <n v="0.12450695871822998"/>
        <n v="0.32921451030819582"/>
        <n v="0.45306888266376105"/>
        <n v="0.3420662971926357"/>
        <n v="8.8706252685019416E-2"/>
        <n v="-0.52637234018594048"/>
        <n v="0.10453091237634479"/>
        <n v="0.44280518183098472"/>
        <n v="0.68091068749926975"/>
        <n v="0.12710589980826481"/>
        <n v="-0.10181335363154423"/>
        <n v="0.34946962707656221"/>
        <n v="0.43065904671422278"/>
        <n v="0.45229522465838989"/>
        <n v="-1.1390143133584765"/>
        <n v="-0.76211074394249889"/>
        <n v="-2.1595656991972958"/>
        <n v="0.48534170599472415"/>
        <n v="-0.55637421622903527"/>
        <n v="-0.62075201998147533"/>
        <n v="-0.96017547126490754"/>
        <n v="0.52168704523399911"/>
        <n v="0.55675401311137318"/>
        <n v="0.62585365164388274"/>
        <n v="0.57670046002281128"/>
        <n v="0.29632112458776982"/>
        <n v="-0.80083634232506595"/>
        <n v="-1.1346532187738345"/>
        <n v="-0.13721326112671312"/>
        <n v="0.82699376714805406"/>
        <n v="0.49523624611745398"/>
        <n v="0.52383110752765216"/>
        <n v="0.58023390139671627"/>
        <n v="0.6314398228078999"/>
        <n v="-0.58143873622272468"/>
        <n v="0.11380913310669029"/>
        <n v="8.3380503922666813E-2"/>
        <n v="0.66047608061812713"/>
        <n v="0.29180649935422165"/>
        <n v="0.23023316203577551"/>
        <n v="0.51412400192940877"/>
        <n v="0.67021894811770077"/>
        <n v="0.68468778635361571"/>
        <n v="0.3183938872610832"/>
        <n v="0.29262056605565773"/>
        <n v="7.7736942783877841E-2"/>
        <n v="0.51937806313070345"/>
        <n v="0.47846809206754476"/>
        <n v="0.27130732097798543"/>
        <n v="0.38338858057668507"/>
        <n v="0.34646754418924208"/>
        <n v="9.3075027265510286E-4"/>
        <n v="-1.0263635446348514"/>
        <n v="-0.79023164158566483"/>
        <n v="0.29195232731867288"/>
        <n v="-0.26225145895005614"/>
        <n v="-1.9702322537808532"/>
        <n v="-1.2598316969770966"/>
        <n v="0.1296675530214236"/>
        <n v="0.39218145668366761"/>
        <n v="0.11192347428601004"/>
        <n v="0.49943644411475496"/>
        <n v="0.36948929355137528"/>
        <n v="0.50202456139631502"/>
        <n v="-0.28318842706236497"/>
        <n v="-0.73980812338945778"/>
        <n v="-0.43550820240015309"/>
        <n v="-0.12470293672746161"/>
        <n v="-0.74962641715801759"/>
        <n v="-3.6507440463548424E-2"/>
        <n v="0.55595232566031461"/>
        <n v="0.26120882850143401"/>
        <n v="-0.43035206259394954"/>
        <n v="0.27282172834041385"/>
        <n v="0.2269038924422854"/>
        <n v="0.31722673897754494"/>
        <n v="0.75562774241998365"/>
        <n v="0.76729833553630933"/>
        <n v="0.53854027318065567"/>
        <n v="0.23496924838723665"/>
        <n v="-0.38585014950672231"/>
        <n v="0.40867517495931549"/>
        <n v="0.54828544787131839"/>
        <n v="0.59190033345074045"/>
        <n v="-0.29426855566957971"/>
        <n v="0.29139812701528656"/>
        <n v="0.46233262667990799"/>
        <n v="0.52351263340844567"/>
        <n v="0.26592024643964968"/>
        <n v="0.52464232248686138"/>
        <n v="0.58692639424133286"/>
        <n v="0.38257441702113032"/>
        <n v="0.65894155449202763"/>
        <n v="0.36695994751898942"/>
        <n v="0.20233700678360131"/>
        <n v="-0.29885598025668259"/>
        <n v="0.42041476092408303"/>
        <n v="0.59611610604725906"/>
        <n v="0.69007773879693723"/>
        <n v="0.72165835164055314"/>
        <n v="0.64763761022302124"/>
        <n v="0.55892276365346449"/>
        <n v="0.26383203921304116"/>
        <n v="0.15552191881177985"/>
        <n v="0.31458946236920382"/>
        <n v="0.68973269795384085"/>
        <n v="0.74477779595753968"/>
        <n v="0.87769631866619269"/>
        <n v="-0.47068976064393042"/>
        <n v="-4.2270404822676459"/>
        <n v="0.17818318694611526"/>
        <n v="-0.12952837132745601"/>
        <n v="0.1083239914307343"/>
        <n v="-0.37894620079084312"/>
        <n v="-1.9890685006060287"/>
        <n v="-0.96019427873320196"/>
        <n v="0.31140621508712379"/>
        <n v="0.36290214401900805"/>
        <n v="0.30165908860852725"/>
        <n v="0.45888068004599236"/>
        <n v="0.71605723427622481"/>
        <n v="0.6849165625906517"/>
        <n v="0.78907875003383343"/>
        <n v="0.7026578189098146"/>
        <n v="0.7257271222088213"/>
        <n v="0.74122292893955355"/>
        <n v="0.79023243472848093"/>
        <n v="0.79565781212768305"/>
        <n v="0.78369693019218789"/>
        <n v="0.80549442795113124"/>
        <n v="0.83913280683419333"/>
        <n v="0.82702033847818002"/>
        <n v="0.88521326732458128"/>
        <n v="0.82183516529054768"/>
        <n v="0.87022198404876661"/>
        <n v="0.83646020724185588"/>
        <n v="0.87756894321556367"/>
        <n v="0.8562716186265813"/>
        <n v="0.93363299738596839"/>
        <n v="0.88204067220940929"/>
        <n v="0.88822442488412678"/>
        <n v="0.88584381288517811"/>
        <n v="0.91728744875684187"/>
        <n v="0.67342681464189336"/>
        <n v="0.66650451240845854"/>
        <n v="0.56013279799926885"/>
        <n v="0.73407955912404244"/>
        <n v="0.64630088758688287"/>
        <n v="0.57157725542590387"/>
        <n v="0.67548053292414523"/>
        <n v="0.77154265978650849"/>
        <n v="0.83948607046550894"/>
        <n v="0.77240256211368852"/>
        <n v="0.7709622032947735"/>
        <n v="0.83591394386718321"/>
        <n v="0.84095576588153542"/>
        <n v="0.62333444861520315"/>
        <n v="0.64520417685083364"/>
        <n v="0.68973771799262884"/>
        <n v="0.902008975677554"/>
        <n v="0.85403811352093151"/>
        <n v="0.86126511166190034"/>
        <n v="0.8894322704886638"/>
        <n v="0.84537894857751428"/>
        <n v="0.69246660263299031"/>
        <n v="0.70599474535372009"/>
        <n v="0.76295720381997811"/>
        <n v="0.20236028213191942"/>
        <n v="0.3398342746621576"/>
        <n v="0.35155599894451206"/>
        <n v="0.84161484681705578"/>
        <n v="0.87941053805881753"/>
        <n v="0.85138107422793752"/>
        <n v="0.70948173140191884"/>
        <n v="0.7452033649012203"/>
        <n v="0.55880113576724211"/>
        <n v="0.52062506156666055"/>
        <n v="0.25483537606905632"/>
        <n v="0.54682550815796693"/>
        <n v="0.18583288308292512"/>
        <n v="7.0033685658634146E-2"/>
        <n v="-0.6432761585046205"/>
        <n v="0.38369145116600684"/>
        <n v="4.5689284328709528E-2"/>
        <n v="-0.29843727519409774"/>
        <n v="1.6564431116023761E-2"/>
        <n v="0.38258558448140112"/>
        <n v="-5.625094734682079E-2"/>
        <n v="-0.31114115400476561"/>
        <n v="-1.3622599569873071E-2"/>
        <n v="0.47849730411289165"/>
        <n v="0.34891164363118843"/>
        <n v="0.28754917788647111"/>
        <n v="0.62718466929017791"/>
        <n v="0.57978619823736799"/>
        <n v="0.58873216822310082"/>
        <n v="0.41183657809271063"/>
        <n v="0.67222388094261842"/>
        <n v="0.52186049214869989"/>
        <n v="0.55407571337254791"/>
        <n v="0.39496860715928905"/>
        <n v="0.76143510291894878"/>
        <n v="0.63789038247655461"/>
        <n v="0.63091538424049098"/>
        <n v="0.63393172569371392"/>
        <n v="0.91208075841085245"/>
        <n v="0.81641256682392627"/>
        <n v="0.81744673241987986"/>
        <n v="0.82543603736071069"/>
        <n v="0.89496064915771456"/>
        <n v="0.86271535717224024"/>
        <n v="0.62814432216975158"/>
        <n v="0.67583099420310722"/>
        <n v="0.58635947910498454"/>
        <n v="0.760255948672243"/>
        <n v="0.72614430844262645"/>
        <n v="0.81192290597371075"/>
        <n v="0.82111867397664684"/>
        <n v="0.64036373645319289"/>
        <n v="0.63430259337982198"/>
        <n v="0.34166213321535122"/>
        <n v="0.14509055640206311"/>
        <n v="9.1504360460429118E-2"/>
        <n v="6.664955501267103E-2"/>
        <n v="0.54061728888376759"/>
        <n v="0.60368382739524373"/>
        <n v="0.47054291340880899"/>
        <n v="-0.20173758687707777"/>
        <n v="-0.74988198981354148"/>
        <n v="-0.23646783429056248"/>
        <n v="0.61634853878669482"/>
        <n v="0.80170658131631767"/>
        <n v="0.65957245314448454"/>
        <n v="0.71561974466987999"/>
        <n v="0.75441886069270714"/>
        <n v="0.71076438240535789"/>
        <n v="0.6917457197695408"/>
        <n v="0.76835011944584575"/>
        <n v="0.83961062813959508"/>
        <n v="0.26164629612538154"/>
        <n v="0.25280630846239893"/>
        <n v="0.4514590713077849"/>
        <n v="0.30722637995069135"/>
        <n v="-2.0022307365382876"/>
        <n v="-3.3568740545955649"/>
        <n v="-7.4446861051416926"/>
        <n v="-5.6722237078018987"/>
        <n v="-14.22431175863532"/>
        <n v="-0.23535785307544704"/>
        <n v="-2.1764565104219296"/>
        <n v="-9.2587933956304855"/>
        <n v="0.18139210931831382"/>
        <n v="-2.3246879027911724"/>
        <n v="-10.243887347189821"/>
        <n v="0.16757082907692386"/>
        <n v="-2.2811344504677766"/>
        <n v="-10.076416815733117"/>
        <n v="-21.407662481968249"/>
        <n v="0.1544355851862903"/>
        <n v="-2.2659554369264483"/>
        <n v="-10.010836873446907"/>
        <n v="0.16212233564428596"/>
        <n v="0.39468312185312221"/>
        <n v="-0.25734723475555554"/>
        <n v="-1.2436634981836889"/>
        <n v="-0.2542499239608435"/>
        <n v="0.44293240489603869"/>
        <n v="-0.62333853763947222"/>
        <n v="-0.58502269106804516"/>
        <n v="-0.13422115616347843"/>
        <n v="0.52250593729277262"/>
        <n v="-0.58262380187194474"/>
        <n v="-0.16626234176945465"/>
        <n v="0.40345993781269923"/>
        <n v="0.56246170602169654"/>
        <n v="0.59157013532410574"/>
        <n v="0.35918512352726217"/>
        <n v="0.51230537430946999"/>
        <n v="0.54797097053980226"/>
        <n v="0.71169067798198282"/>
        <n v="0.19944783070953565"/>
        <n v="0.39639010136289493"/>
        <n v="0.50555332739455106"/>
        <n v="0.74468100167826112"/>
        <n v="0.65744161370447485"/>
        <n v="0.7447969269433431"/>
        <n v="0.76334767640035839"/>
        <n v="0.8292713642830678"/>
        <n v="0.8165353927512784"/>
        <n v="0.84690705620575735"/>
        <n v="0.78683223886504805"/>
        <n v="0.76390690367188241"/>
        <n v="0.56486270849461462"/>
        <n v="0.61943473466025722"/>
        <n v="0.59095398100039498"/>
        <n v="0.48148474399499575"/>
        <n v="3.1021691694626902E-2"/>
        <n v="8.7761573592031031E-2"/>
        <n v="-4.2397604897809894E-2"/>
        <n v="0.52922480512231429"/>
        <n v="0.33585601682864075"/>
        <n v="0.45367194012379863"/>
        <n v="0.30586092237349655"/>
        <n v="0.49516069571131721"/>
        <n v="0.29391556050015022"/>
        <n v="0.2732747386706077"/>
        <n v="0.43860549096497892"/>
        <n v="0.58697596341330949"/>
        <n v="0.50577292068597168"/>
        <n v="0.60300797757258617"/>
        <n v="0.31234605034863433"/>
        <n v="0.48464641684771181"/>
        <n v="0.23051769190715002"/>
        <n v="6.4481961954091616E-2"/>
        <n v="0.30657227218335703"/>
        <n v="0.72283698228563964"/>
        <n v="0.66803763119108084"/>
        <n v="0.82131808877801182"/>
        <n v="0.77467866036705735"/>
        <n v="0.78751788800845157"/>
        <n v="0.78896551871378273"/>
        <n v="0.53666022623906962"/>
        <n v="0.60084553083565395"/>
        <n v="0.54043032874522989"/>
        <n v="0.72346314004971679"/>
        <n v="0.72701760066431165"/>
        <n v="0.75008595322618599"/>
        <n v="0.67226274805088104"/>
        <n v="0.721155192627699"/>
        <n v="0.80444492207721341"/>
        <n v="0.78438735722386721"/>
        <n v="0.69972288064411858"/>
        <n v="0.72590262948884265"/>
        <n v="0.797379339238109"/>
        <n v="0.85652304558095083"/>
        <n v="0.8408176240717008"/>
        <n v="0.74605728916284941"/>
        <n v="0.74257501592807174"/>
        <n v="0.75592371754413878"/>
        <n v="0.67002539869723532"/>
        <n v="0.7554191325203431"/>
        <n v="0.76552366106138781"/>
        <n v="0.85313954503591061"/>
        <n v="0.7317712962991495"/>
        <n v="0.76069027800314126"/>
        <n v="0.79803663304220329"/>
        <n v="0.88635297340717145"/>
        <n v="0.8998508713493355"/>
        <n v="0.87539520717571828"/>
        <n v="0.88172458980894131"/>
        <n v="0.88598414281139803"/>
        <n v="0.93014516844199713"/>
        <n v="0.91351620993752702"/>
        <n v="0.92164327852253336"/>
        <n v="0.93952020551873738"/>
        <n v="0.95845920938862528"/>
        <n v="0.96199677454281485"/>
        <n v="0.91471141792453492"/>
        <n v="0.90591218983964328"/>
        <n v="0.89830011432681611"/>
        <n v="0.91499500459396255"/>
        <n v="0.674783170739092"/>
        <n v="0.67896266742765576"/>
        <n v="0.60857349251064052"/>
        <n v="0.6633980891146074"/>
        <n v="0.1698046469534174"/>
        <n v="3.3533701158022594E-2"/>
        <n v="0.38152735771072638"/>
        <n v="0.49145182639931922"/>
        <n v="0.56829624029318593"/>
        <n v="0.83856231673705983"/>
        <n v="0.53472963817185548"/>
        <n v="0.38219616959053593"/>
        <n v="0.46908291088476756"/>
        <n v="0.78240228880137508"/>
        <n v="0.86534648426665439"/>
        <n v="0.6027893987633417"/>
        <n v="0.64044481210121962"/>
        <n v="5.4948623809987621E-2"/>
        <n v="-6.4751804351646305E-2"/>
        <n v="-3.1435758969010873E-2"/>
        <n v="0.63378814323367116"/>
        <n v="0.8527884448193549"/>
        <n v="0.87614658021923175"/>
        <n v="0.92767549330244081"/>
        <n v="0.91794094065188292"/>
        <n v="0.8252303115174211"/>
        <m/>
      </sharedItems>
    </cacheField>
    <cacheField name=" Estimated Labour Participation Rate (%)" numFmtId="0">
      <sharedItems containsString="0" containsBlank="1" containsNumber="1" minValue="13.33" maxValue="79.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2">
  <r>
    <s v=" 31-01-2016"/>
    <x v="0"/>
    <n v="17.11"/>
    <n v="2635567"/>
    <n v="0"/>
    <n v="0"/>
  </r>
  <r>
    <s v=" 29-02-2016"/>
    <x v="0"/>
    <n v="10.08"/>
    <n v="1399021"/>
    <n v="2635567"/>
    <n v="0"/>
  </r>
  <r>
    <s v=" 31-03-2016"/>
    <x v="0"/>
    <n v="8.74"/>
    <n v="1251094"/>
    <n v="1769984.7999999998"/>
    <n v="0"/>
  </r>
  <r>
    <s v=" 30-04-2016"/>
    <x v="0"/>
    <n v="3.97"/>
    <n v="557626"/>
    <n v="1406761.2399999998"/>
    <n v="0"/>
  </r>
  <r>
    <s v=" 31-05-2016"/>
    <x v="0"/>
    <n v="5.94"/>
    <n v="942914"/>
    <n v="812366.57199999993"/>
    <n v="916392.26103426854"/>
  </r>
  <r>
    <s v=" 30-06-2016"/>
    <x v="0"/>
    <n v="3.54"/>
    <n v="460439"/>
    <n v="903749.77159999986"/>
    <n v="579459.79126881959"/>
  </r>
  <r>
    <s v=" 31-07-2016"/>
    <x v="0"/>
    <n v="4.9800000000000004"/>
    <n v="705422"/>
    <n v="593432.23147999996"/>
    <n v="558151.03301999415"/>
  </r>
  <r>
    <s v=" 31-08-2016"/>
    <x v="0"/>
    <n v="3.01"/>
    <n v="408119"/>
    <n v="671825.06944399991"/>
    <n v="274535.23114964418"/>
  </r>
  <r>
    <s v=" 30-09-2016"/>
    <x v="0"/>
    <n v="8.4700000000000006"/>
    <n v="1233973"/>
    <n v="487230.82083319995"/>
    <n v="304744.17660903389"/>
  </r>
  <r>
    <s v=" 31-10-2016"/>
    <x v="0"/>
    <n v="11.11"/>
    <n v="1523070"/>
    <n v="1009950.3462499599"/>
    <n v="461774.28882573801"/>
  </r>
  <r>
    <s v=" 30-11-2016"/>
    <x v="0"/>
    <n v="4.87"/>
    <n v="669997"/>
    <n v="1369134.1038749879"/>
    <n v="544810.83942745544"/>
  </r>
  <r>
    <s v=" 31-12-2016"/>
    <x v="0"/>
    <n v="4.07"/>
    <n v="535734"/>
    <n v="879738.13116249628"/>
    <n v="660734.02395266632"/>
  </r>
  <r>
    <s v=" 31-01-2017"/>
    <x v="0"/>
    <n v="5.86"/>
    <n v="844155"/>
    <n v="638935.23934874893"/>
    <n v="538647.47635045147"/>
  </r>
  <r>
    <s v=" 28-02-2017"/>
    <x v="0"/>
    <n v="4.83"/>
    <n v="627618"/>
    <n v="782589.07180462463"/>
    <n v="465204.8589719467"/>
  </r>
  <r>
    <s v=" 31-03-2017"/>
    <x v="0"/>
    <n v="2.78"/>
    <n v="371961"/>
    <n v="674109.32154138735"/>
    <n v="247971.78973618138"/>
  </r>
  <r>
    <s v=" 30-04-2017"/>
    <x v="0"/>
    <n v="2.75"/>
    <n v="361435"/>
    <n v="462605.49646241619"/>
    <n v="229074.07205844176"/>
  </r>
  <r>
    <s v=" 31-05-2017"/>
    <x v="0"/>
    <n v="1.7"/>
    <n v="222830"/>
    <n v="391786.14893872483"/>
    <n v="204568.7420412378"/>
  </r>
  <r>
    <s v=" 30-06-2017"/>
    <x v="0"/>
    <n v="3.76"/>
    <n v="474034"/>
    <n v="273516.84468161745"/>
    <n v="208226.84571474281"/>
  </r>
  <r>
    <s v=" 31-07-2017"/>
    <x v="0"/>
    <n v="2.5099999999999998"/>
    <n v="325621"/>
    <n v="413878.85340448521"/>
    <n v="162263.96107950434"/>
  </r>
  <r>
    <s v=" 31-08-2017"/>
    <x v="0"/>
    <n v="2.4900000000000002"/>
    <n v="317468"/>
    <n v="352098.35602134553"/>
    <n v="159731.81537475923"/>
  </r>
  <r>
    <s v=" 30-09-2017"/>
    <x v="0"/>
    <n v="5.91"/>
    <n v="808718"/>
    <n v="327857.10680640361"/>
    <n v="128057.07037971924"/>
  </r>
  <r>
    <s v=" 31-10-2017"/>
    <x v="0"/>
    <n v="2.96"/>
    <n v="359079"/>
    <n v="664459.732041921"/>
    <n v="282969.90938300377"/>
  </r>
  <r>
    <s v=" 30-11-2017"/>
    <x v="0"/>
    <n v="3.19"/>
    <n v="415057"/>
    <n v="450693.2196125763"/>
    <n v="329486.39408609271"/>
  </r>
  <r>
    <s v=" 31-12-2017"/>
    <x v="0"/>
    <n v="3.45"/>
    <n v="467321"/>
    <n v="425747.86588377284"/>
    <n v="329522.14404785133"/>
  </r>
  <r>
    <s v=" 31-01-2018"/>
    <x v="0"/>
    <n v="4.79"/>
    <n v="625664"/>
    <n v="454849.05976513179"/>
    <n v="179123.47429541548"/>
  </r>
  <r>
    <s v=" 28-02-2018"/>
    <x v="0"/>
    <n v="4.38"/>
    <n v="543750"/>
    <n v="574419.51792953955"/>
    <n v="103563.20040755013"/>
  </r>
  <r>
    <s v=" 31-03-2018"/>
    <x v="0"/>
    <n v="4.17"/>
    <n v="524727"/>
    <n v="552950.85537886189"/>
    <n v="103031.85367920247"/>
  </r>
  <r>
    <s v=" 30-04-2018"/>
    <x v="0"/>
    <n v="2.8"/>
    <n v="339967"/>
    <n v="533194.15661365853"/>
    <n v="101513.46240756914"/>
  </r>
  <r>
    <s v=" 31-05-2018"/>
    <x v="0"/>
    <n v="3.64"/>
    <n v="448048"/>
    <n v="397935.14698409755"/>
    <n v="114125.57323036261"/>
  </r>
  <r>
    <s v=" 30-06-2018"/>
    <x v="0"/>
    <n v="4.78"/>
    <n v="553410"/>
    <n v="433014.14409522922"/>
    <n v="116396.76127057784"/>
  </r>
  <r>
    <s v=" 31-07-2018"/>
    <x v="0"/>
    <n v="5.26"/>
    <n v="664665"/>
    <n v="517291.24322856875"/>
    <n v="134589.7398385616"/>
  </r>
  <r>
    <s v=" 31-08-2018"/>
    <x v="0"/>
    <n v="4.03"/>
    <n v="497239"/>
    <n v="620452.87296857056"/>
    <n v="113615.55694733703"/>
  </r>
  <r>
    <s v=" 30-09-2018"/>
    <x v="0"/>
    <n v="4.0599999999999996"/>
    <n v="505177"/>
    <n v="534203.16189057112"/>
    <n v="130889.06854773671"/>
  </r>
  <r>
    <s v=" 31-10-2018"/>
    <x v="0"/>
    <n v="5.74"/>
    <n v="625324"/>
    <n v="513884.84856717126"/>
    <n v="112165.35524385067"/>
  </r>
  <r>
    <s v=" 30-11-2018"/>
    <x v="0"/>
    <n v="4.67"/>
    <n v="564351"/>
    <n v="591892.25457015133"/>
    <n v="97370.188863740739"/>
  </r>
  <r>
    <s v=" 31-12-2018"/>
    <x v="0"/>
    <n v="3.9"/>
    <n v="476683"/>
    <n v="572613.37637104536"/>
    <n v="68361.107971966194"/>
  </r>
  <r>
    <s v=" 31-01-2019"/>
    <x v="0"/>
    <n v="4.67"/>
    <n v="595374"/>
    <n v="505462.11291131354"/>
    <n v="86370.987192955858"/>
  </r>
  <r>
    <s v=" 28-02-2019"/>
    <x v="0"/>
    <n v="5.75"/>
    <n v="623421"/>
    <n v="568400.43387339404"/>
    <n v="77557.087047406589"/>
  </r>
  <r>
    <s v=" 31-03-2019"/>
    <x v="0"/>
    <n v="4.96"/>
    <n v="574443"/>
    <n v="606914.83016201819"/>
    <n v="82288.207432639552"/>
  </r>
  <r>
    <s v=" 30-04-2019"/>
    <x v="0"/>
    <n v="3.56"/>
    <n v="455132"/>
    <n v="584184.54904860537"/>
    <n v="63681.05393498623"/>
  </r>
  <r>
    <s v=" 31-05-2019"/>
    <x v="0"/>
    <n v="3.65"/>
    <n v="437969"/>
    <n v="493847.76471458154"/>
    <n v="83138.925634357875"/>
  </r>
  <r>
    <s v=" 30-06-2019"/>
    <x v="0"/>
    <n v="3.05"/>
    <n v="358554"/>
    <n v="454732.62941437447"/>
    <n v="83329.499610564511"/>
  </r>
  <r>
    <s v=" 31-07-2019"/>
    <x v="0"/>
    <n v="3.75"/>
    <n v="453252"/>
    <n v="387407.58882431232"/>
    <n v="98365.518209715883"/>
  </r>
  <r>
    <s v=" 31-08-2019"/>
    <x v="0"/>
    <n v="3.32"/>
    <n v="407885"/>
    <n v="433498.67664729367"/>
    <n v="74628.528024092244"/>
  </r>
  <r>
    <s v=" 30-09-2019"/>
    <x v="0"/>
    <n v="5.17"/>
    <n v="633675"/>
    <n v="415569.10299418808"/>
    <n v="68900.594265682783"/>
  </r>
  <r>
    <s v=" 31-10-2019"/>
    <x v="0"/>
    <n v="3.52"/>
    <n v="423013"/>
    <n v="568243.23089825641"/>
    <n v="132365.31421684835"/>
  </r>
  <r>
    <s v=" 30-11-2019"/>
    <x v="0"/>
    <n v="4.12"/>
    <n v="469584"/>
    <n v="466582.06926947692"/>
    <n v="152006.64755953144"/>
  </r>
  <r>
    <s v=" 31-12-2019"/>
    <x v="0"/>
    <n v="4.38"/>
    <n v="548744"/>
    <n v="468683.42078084307"/>
    <n v="151295.53183926875"/>
  </r>
  <r>
    <s v=" 31-01-2020"/>
    <x v="0"/>
    <n v="4.84"/>
    <n v="581607"/>
    <n v="524725.82623425289"/>
    <n v="95761.035743108368"/>
  </r>
  <r>
    <s v=" 29-02-2020"/>
    <x v="0"/>
    <n v="5.91"/>
    <n v="692866"/>
    <n v="564542.64787027589"/>
    <n v="56727.935099581169"/>
  </r>
  <r>
    <s v=" 31-03-2020"/>
    <x v="0"/>
    <n v="4.0599999999999996"/>
    <n v="461202"/>
    <n v="654368.99436108267"/>
    <n v="93295.314236898994"/>
  </r>
  <r>
    <s v=" 30-04-2020"/>
    <x v="0"/>
    <n v="16.29"/>
    <n v="1432352"/>
    <n v="519152.09830832476"/>
    <n v="137859.63675815682"/>
  </r>
  <r>
    <s v=" 31-05-2020"/>
    <x v="0"/>
    <n v="14.46"/>
    <n v="1377590"/>
    <n v="1158392.0294924974"/>
    <n v="543971.33222930937"/>
  </r>
  <r>
    <s v=" 30-06-2020"/>
    <x v="0"/>
    <n v="2.44"/>
    <n v="362476"/>
    <n v="1311830.6088477492"/>
    <n v="553562.79331700865"/>
  </r>
  <r>
    <s v=" 31-07-2020"/>
    <x v="0"/>
    <n v="7.79"/>
    <n v="878156"/>
    <n v="647282.38265432476"/>
    <n v="770985.513064233"/>
  </r>
  <r>
    <s v=" 31-08-2020"/>
    <x v="0"/>
    <n v="5.84"/>
    <n v="628523"/>
    <n v="808893.91479629744"/>
    <n v="578107.41527889902"/>
  </r>
  <r>
    <s v=" 30-09-2020"/>
    <x v="0"/>
    <n v="5.43"/>
    <n v="587384"/>
    <n v="682634.27443888923"/>
    <n v="573617.31361340941"/>
  </r>
  <r>
    <s v=" 31-10-2020"/>
    <x v="0"/>
    <n v="6.55"/>
    <n v="687107"/>
    <n v="615959.08233166672"/>
    <n v="177865.96908104164"/>
  </r>
  <r>
    <s v=" 30-11-2020"/>
    <x v="0"/>
    <n v="4.74"/>
    <n v="527743"/>
    <n v="665762.62469949992"/>
    <n v="124724.10602830131"/>
  </r>
  <r>
    <s v=" 31-12-2020"/>
    <x v="0"/>
    <n v="6.51"/>
    <n v="731612"/>
    <n v="569148.88740984991"/>
    <n v="105172.96511210229"/>
  </r>
  <r>
    <s v=" 31-01-2021"/>
    <x v="0"/>
    <n v="2.95"/>
    <n v="347420"/>
    <n v="682873.06622295489"/>
    <n v="129750.6659497496"/>
  </r>
  <r>
    <s v=" 28-02-2021"/>
    <x v="0"/>
    <n v="3.14"/>
    <n v="368514"/>
    <n v="448055.91986688646"/>
    <n v="229472.17652186996"/>
  </r>
  <r>
    <s v=" 31-03-2021"/>
    <x v="0"/>
    <n v="5.39"/>
    <n v="599929"/>
    <n v="392376.57596006594"/>
    <n v="220037.82978310203"/>
  </r>
  <r>
    <s v=" 30-04-2021"/>
    <x v="0"/>
    <n v="3.56"/>
    <n v="400309"/>
    <n v="537663.27278801973"/>
    <n v="232331.43378899101"/>
  </r>
  <r>
    <s v=" 31-05-2021"/>
    <x v="0"/>
    <n v="13.55"/>
    <n v="1441325"/>
    <n v="441515.28183640586"/>
    <n v="150854.36906068109"/>
  </r>
  <r>
    <s v=" 30-06-2021"/>
    <x v="0"/>
    <n v="7.47"/>
    <n v="807558"/>
    <n v="1141382.0845509216"/>
    <n v="594856.75516949571"/>
  </r>
  <r>
    <s v=" 31-07-2021"/>
    <x v="0"/>
    <n v="8.93"/>
    <n v="970962"/>
    <n v="907705.22536527645"/>
    <n v="613711.16665028245"/>
  </r>
  <r>
    <s v=" 31-08-2021"/>
    <x v="0"/>
    <n v="5.77"/>
    <n v="664949"/>
    <n v="951984.96760958282"/>
    <n v="609660.94716594042"/>
  </r>
  <r>
    <s v=" 30-09-2021"/>
    <x v="0"/>
    <n v="5.44"/>
    <n v="665559"/>
    <n v="751059.79028287483"/>
    <n v="256794.07162485825"/>
  </r>
  <r>
    <s v=" 31-10-2021"/>
    <x v="0"/>
    <n v="5.16"/>
    <n v="560505"/>
    <n v="691209.23708486243"/>
    <n v="176730.91728930152"/>
  </r>
  <r>
    <s v=" 30-11-2021"/>
    <x v="0"/>
    <n v="5.93"/>
    <n v="658550"/>
    <n v="599716.27112545876"/>
    <n v="188665.16144791327"/>
  </r>
  <r>
    <s v=" 31-12-2021"/>
    <x v="0"/>
    <n v="4.8"/>
    <n v="575302"/>
    <n v="640899.88133763755"/>
    <n v="96359.380073097709"/>
  </r>
  <r>
    <s v=" 31-01-2022"/>
    <x v="0"/>
    <n v="5.22"/>
    <n v="575613"/>
    <n v="594981.36440129124"/>
    <n v="91009.3168878984"/>
  </r>
  <r>
    <s v=" 28-02-2022"/>
    <x v="0"/>
    <n v="7.73"/>
    <n v="826408"/>
    <n v="581423.50932038738"/>
    <n v="52088.460746602374"/>
  </r>
  <r>
    <s v=" 31-03-2022"/>
    <x v="0"/>
    <n v="9.51"/>
    <n v="1012879"/>
    <n v="752912.65279611619"/>
    <n v="146850.96328036938"/>
  </r>
  <r>
    <s v=" 30-04-2022"/>
    <x v="0"/>
    <n v="4.66"/>
    <n v="527674"/>
    <n v="934889.09583883476"/>
    <n v="206538.9679872063"/>
  </r>
  <r>
    <s v=" 31-01-2016"/>
    <x v="1"/>
    <n v="5.83"/>
    <n v="573091"/>
    <n v="649838.52875165036"/>
    <n v="312742.72527170042"/>
  </r>
  <r>
    <s v=" 29-02-2016"/>
    <x v="1"/>
    <n v="13.24"/>
    <n v="1267703"/>
    <n v="596115.25862549501"/>
    <n v="282428.05522058596"/>
  </r>
  <r>
    <s v=" 31-03-2016"/>
    <x v="1"/>
    <n v="4.1500000000000004"/>
    <n v="358394"/>
    <n v="1066226.6775876484"/>
    <n v="455611.09578712186"/>
  </r>
  <r>
    <s v=" 30-04-2016"/>
    <x v="1"/>
    <n v="0"/>
    <n v="0"/>
    <n v="570743.80327629449"/>
    <n v="565080.34148396226"/>
  </r>
  <r>
    <s v=" 31-05-2016"/>
    <x v="1"/>
    <n v="3.61"/>
    <n v="332498"/>
    <n v="171223.14098288835"/>
    <n v="652637.13317680045"/>
  </r>
  <r>
    <s v=" 30-06-2016"/>
    <x v="1"/>
    <n v="10.96"/>
    <n v="941528"/>
    <n v="284115.54229486646"/>
    <n v="533162.00433207245"/>
  </r>
  <r>
    <s v=" 31-07-2016"/>
    <x v="1"/>
    <n v="13.99"/>
    <n v="1116755"/>
    <n v="744304.26268845994"/>
    <n v="511191.16081142053"/>
  </r>
  <r>
    <s v=" 31-08-2016"/>
    <x v="1"/>
    <n v="7.55"/>
    <n v="673891"/>
    <n v="1005019.778806538"/>
    <n v="446064.37181973452"/>
  </r>
  <r>
    <s v=" 30-09-2016"/>
    <x v="1"/>
    <n v="8.0500000000000007"/>
    <n v="706516"/>
    <n v="773229.63364196126"/>
    <n v="476290.16345911205"/>
  </r>
  <r>
    <s v=" 31-10-2016"/>
    <x v="1"/>
    <n v="7.02"/>
    <n v="571355"/>
    <n v="726530.09009258833"/>
    <n v="290296.70384598628"/>
  </r>
  <r>
    <s v=" 30-11-2016"/>
    <x v="1"/>
    <n v="11.71"/>
    <n v="930122"/>
    <n v="617907.52702777646"/>
    <n v="214613.05152364017"/>
  </r>
  <r>
    <s v=" 31-12-2016"/>
    <x v="1"/>
    <n v="3.57"/>
    <n v="338573"/>
    <n v="836457.65810833289"/>
    <n v="204945.43552880935"/>
  </r>
  <r>
    <s v=" 31-01-2017"/>
    <x v="1"/>
    <n v="8.33"/>
    <n v="772666"/>
    <n v="487938.3974324998"/>
    <n v="350925.59443953249"/>
  </r>
  <r>
    <s v=" 28-02-2017"/>
    <x v="1"/>
    <n v="6.12"/>
    <n v="496327"/>
    <n v="687247.71922974987"/>
    <n v="377022.02304233779"/>
  </r>
  <r>
    <s v=" 31-03-2017"/>
    <x v="1"/>
    <n v="7.49"/>
    <n v="622229"/>
    <n v="553603.21576892491"/>
    <n v="349003.18120550743"/>
  </r>
  <r>
    <s v=" 30-04-2017"/>
    <x v="1"/>
    <n v="2.04"/>
    <n v="181201"/>
    <n v="601641.26473067747"/>
    <n v="201849.80138407485"/>
  </r>
  <r>
    <s v=" 31-05-2017"/>
    <x v="1"/>
    <n v="13.59"/>
    <n v="1291620"/>
    <n v="307333.07941920322"/>
    <n v="269524.4178791829"/>
  </r>
  <r>
    <s v=" 30-06-2017"/>
    <x v="1"/>
    <n v="11.11"/>
    <n v="947685"/>
    <n v="996333.92382576095"/>
    <n v="619220.00842311291"/>
  </r>
  <r>
    <s v=" 31-07-2017"/>
    <x v="1"/>
    <n v="8.06"/>
    <n v="693298"/>
    <n v="962279.67714772827"/>
    <n v="618589.11403899186"/>
  </r>
  <r>
    <s v=" 31-08-2017"/>
    <x v="1"/>
    <n v="4.08"/>
    <n v="367734"/>
    <n v="773992.50314431847"/>
    <n v="589784.87672965333"/>
  </r>
  <r>
    <s v=" 30-09-2017"/>
    <x v="1"/>
    <n v="9"/>
    <n v="895642"/>
    <n v="489611.55094329553"/>
    <n v="282703.51478045667"/>
  </r>
  <r>
    <s v=" 31-10-2017"/>
    <x v="1"/>
    <n v="8.4"/>
    <n v="738991"/>
    <n v="773832.86528298852"/>
    <n v="366177.47954575979"/>
  </r>
  <r>
    <s v=" 30-11-2017"/>
    <x v="1"/>
    <n v="9.34"/>
    <n v="819847"/>
    <n v="749443.55958489655"/>
    <n v="332225.15082127124"/>
  </r>
  <r>
    <s v=" 31-01-2018"/>
    <x v="1"/>
    <n v="7.96"/>
    <n v="749201"/>
    <n v="798725.96787546889"/>
    <n v="238768.59478015531"/>
  </r>
  <r>
    <s v=" 28-02-2018"/>
    <x v="1"/>
    <n v="8.4600000000000009"/>
    <n v="708557"/>
    <n v="764058.49036264059"/>
    <n v="53613.811783119127"/>
  </r>
  <r>
    <s v=" 31-03-2018"/>
    <x v="1"/>
    <n v="5.45"/>
    <n v="484866"/>
    <n v="725207.44710879214"/>
    <n v="59132.005709890407"/>
  </r>
  <r>
    <s v=" 30-04-2018"/>
    <x v="1"/>
    <n v="1.67"/>
    <n v="157385"/>
    <n v="556968.43413263757"/>
    <n v="145255.11932904905"/>
  </r>
  <r>
    <s v=" 31-05-2018"/>
    <x v="1"/>
    <n v="6.58"/>
    <n v="682385"/>
    <n v="277260.03023979126"/>
    <n v="271115.81010339136"/>
  </r>
  <r>
    <s v=" 30-06-2018"/>
    <x v="1"/>
    <n v="7.09"/>
    <n v="607947"/>
    <n v="560847.5090719373"/>
    <n v="356631.07602244942"/>
  </r>
  <r>
    <s v=" 31-07-2018"/>
    <x v="1"/>
    <n v="7.31"/>
    <n v="654960"/>
    <n v="593817.15272158117"/>
    <n v="329652.10146563331"/>
  </r>
  <r>
    <s v=" 31-08-2018"/>
    <x v="1"/>
    <n v="1.75"/>
    <n v="166069"/>
    <n v="636617.14581647434"/>
    <n v="238105.75447491446"/>
  </r>
  <r>
    <s v=" 30-09-2018"/>
    <x v="1"/>
    <n v="11.84"/>
    <n v="1163877"/>
    <n v="307233.44374494231"/>
    <n v="275301.26973330911"/>
  </r>
  <r>
    <s v=" 31-10-2018"/>
    <x v="1"/>
    <n v="4.63"/>
    <n v="392995"/>
    <n v="906883.93312348262"/>
    <n v="565388.4174553355"/>
  </r>
  <r>
    <s v=" 30-11-2018"/>
    <x v="1"/>
    <n v="8.43"/>
    <n v="788884"/>
    <n v="547161.67993704486"/>
    <n v="637530.54190666694"/>
  </r>
  <r>
    <s v=" 31-12-2018"/>
    <x v="1"/>
    <n v="5.22"/>
    <n v="497985"/>
    <n v="716367.30398111336"/>
    <n v="593394.10683421325"/>
  </r>
  <r>
    <s v=" 31-01-2019"/>
    <x v="1"/>
    <n v="4.8099999999999996"/>
    <n v="520943"/>
    <n v="563499.69119433407"/>
    <n v="351284.47460498847"/>
  </r>
  <r>
    <s v=" 28-02-2019"/>
    <x v="1"/>
    <n v="4.3499999999999996"/>
    <n v="378211"/>
    <n v="533710.00735830015"/>
    <n v="189676.55159431018"/>
  </r>
  <r>
    <s v=" 31-03-2019"/>
    <x v="1"/>
    <n v="7.14"/>
    <n v="668084"/>
    <n v="424860.70220749005"/>
    <n v="156718.26520535292"/>
  </r>
  <r>
    <s v=" 30-04-2019"/>
    <x v="1"/>
    <n v="3.77"/>
    <n v="366457"/>
    <n v="595117.01066224696"/>
    <n v="168472.13997561592"/>
  </r>
  <r>
    <s v=" 31-05-2019"/>
    <x v="1"/>
    <n v="4.29"/>
    <n v="504046"/>
    <n v="435055.00319867407"/>
    <n v="212620.87883879102"/>
  </r>
  <r>
    <s v=" 30-06-2019"/>
    <x v="1"/>
    <n v="5.08"/>
    <n v="453300"/>
    <n v="483348.70095960214"/>
    <n v="196810.17140446394"/>
  </r>
  <r>
    <s v=" 31-07-2019"/>
    <x v="1"/>
    <n v="4.26"/>
    <n v="422231"/>
    <n v="462314.61028788064"/>
    <n v="138982.11221239835"/>
  </r>
  <r>
    <s v=" 31-08-2019"/>
    <x v="1"/>
    <n v="5.79"/>
    <n v="538009"/>
    <n v="434256.08308636415"/>
    <n v="49225.25734725636"/>
  </r>
  <r>
    <s v=" 30-09-2019"/>
    <x v="1"/>
    <n v="4.46"/>
    <n v="511488"/>
    <n v="506883.12492590921"/>
    <n v="66518.889575714027"/>
  </r>
  <r>
    <s v=" 31-10-2019"/>
    <x v="1"/>
    <n v="4.6500000000000004"/>
    <n v="390410"/>
    <n v="510106.53747777274"/>
    <n v="64271.736806174507"/>
  </r>
  <r>
    <s v=" 30-11-2019"/>
    <x v="1"/>
    <n v="4.66"/>
    <n v="448542"/>
    <n v="426318.96124333178"/>
    <n v="91493.412744130866"/>
  </r>
  <r>
    <s v=" 31-01-2020"/>
    <x v="1"/>
    <n v="4.29"/>
    <n v="489961"/>
    <n v="441875.08837299951"/>
    <n v="70338.063214251728"/>
  </r>
  <r>
    <s v=" 29-02-2020"/>
    <x v="1"/>
    <n v="3.26"/>
    <n v="275888"/>
    <n v="475535.22651189979"/>
    <n v="75571.995326196353"/>
  </r>
  <r>
    <s v=" 31-03-2020"/>
    <x v="1"/>
    <n v="3.77"/>
    <n v="372429"/>
    <n v="335782.16795356991"/>
    <n v="119254.81597888601"/>
  </r>
  <r>
    <s v=" 31-05-2020"/>
    <x v="1"/>
    <n v="9.3800000000000008"/>
    <n v="931075"/>
    <n v="361434.95038607094"/>
    <n v="120435.68165890148"/>
  </r>
  <r>
    <s v=" 30-06-2020"/>
    <x v="1"/>
    <n v="0"/>
    <n v="0"/>
    <n v="760182.98511582124"/>
    <n v="349137.88655157085"/>
  </r>
  <r>
    <s v=" 31-07-2020"/>
    <x v="1"/>
    <n v="3.37"/>
    <n v="292390"/>
    <n v="228054.89553474638"/>
    <n v="548850.60119088867"/>
  </r>
  <r>
    <s v=" 31-08-2020"/>
    <x v="1"/>
    <n v="5"/>
    <n v="410508"/>
    <n v="273089.46866042388"/>
    <n v="549698.99722494057"/>
  </r>
  <r>
    <s v=" 30-09-2020"/>
    <x v="1"/>
    <n v="0.9"/>
    <n v="112681"/>
    <n v="369282.44059812714"/>
    <n v="447549.26331510593"/>
  </r>
  <r>
    <s v=" 31-10-2020"/>
    <x v="1"/>
    <n v="2.94"/>
    <n v="302341"/>
    <n v="189661.43217943812"/>
    <n v="172111.55078331739"/>
  </r>
  <r>
    <s v=" 30-11-2020"/>
    <x v="1"/>
    <n v="4.22"/>
    <n v="386820"/>
    <n v="268537.12965383142"/>
    <n v="180208.06222881083"/>
  </r>
  <r>
    <s v=" 31-01-2021"/>
    <x v="1"/>
    <n v="1.61"/>
    <n v="186044"/>
    <n v="351335.13889614941"/>
    <n v="175624.43047460803"/>
  </r>
  <r>
    <s v=" 28-02-2021"/>
    <x v="1"/>
    <n v="1.52"/>
    <n v="145905"/>
    <n v="235631.34166884481"/>
    <n v="134174.86478366365"/>
  </r>
  <r>
    <s v=" 31-03-2021"/>
    <x v="1"/>
    <n v="1.1299999999999999"/>
    <n v="107248"/>
    <n v="172822.90250065344"/>
    <n v="128274.20421917645"/>
  </r>
  <r>
    <s v=" 31-07-2021"/>
    <x v="1"/>
    <n v="1.18"/>
    <n v="112750"/>
    <n v="126920.47075019602"/>
    <n v="114995.71705768094"/>
  </r>
  <r>
    <s v=" 30-09-2021"/>
    <x v="1"/>
    <n v="3.16"/>
    <n v="459714"/>
    <n v="117001.1412250588"/>
    <n v="64683.038653953794"/>
  </r>
  <r>
    <s v=" 31-10-2021"/>
    <x v="1"/>
    <n v="3.17"/>
    <n v="302168"/>
    <n v="356900.14236751763"/>
    <n v="201620.90967038873"/>
  </r>
  <r>
    <s v=" 30-11-2021"/>
    <x v="1"/>
    <n v="4.3499999999999996"/>
    <n v="381165"/>
    <n v="318587.64271025528"/>
    <n v="200539.69949373545"/>
  </r>
  <r>
    <s v=" 31-01-2022"/>
    <x v="1"/>
    <n v="8.26"/>
    <n v="1075904"/>
    <n v="362391.79281307658"/>
    <n v="203603.89372766536"/>
  </r>
  <r>
    <s v=" 28-02-2022"/>
    <x v="1"/>
    <n v="10.45"/>
    <n v="900523"/>
    <n v="861850.3378439229"/>
    <n v="414733.32912377227"/>
  </r>
  <r>
    <s v=" 31-03-2022"/>
    <x v="1"/>
    <n v="8.44"/>
    <n v="705467"/>
    <n v="888921.20135317685"/>
    <n v="414130.08030825353"/>
  </r>
  <r>
    <s v=" 31-01-2016"/>
    <x v="2"/>
    <n v="3.7"/>
    <n v="915372"/>
    <n v="760503.26040595304"/>
    <n v="425930.62369245267"/>
  </r>
  <r>
    <s v=" 29-02-2016"/>
    <x v="2"/>
    <n v="4.5199999999999996"/>
    <n v="1217026"/>
    <n v="868911.37812178582"/>
    <n v="140398.65300376966"/>
  </r>
  <r>
    <s v=" 31-03-2016"/>
    <x v="2"/>
    <n v="2.29"/>
    <n v="545899"/>
    <n v="1112591.6134365357"/>
    <n v="244147.19635429818"/>
  </r>
  <r>
    <s v=" 30-04-2016"/>
    <x v="2"/>
    <n v="5.5"/>
    <n v="1454898"/>
    <n v="715906.78403096064"/>
    <n v="394253.99367767631"/>
  </r>
  <r>
    <s v=" 31-05-2016"/>
    <x v="2"/>
    <n v="12.92"/>
    <n v="3251962"/>
    <n v="1233200.6352092882"/>
    <n v="574001.2559127789"/>
  </r>
  <r>
    <s v=" 30-06-2016"/>
    <x v="2"/>
    <n v="7.67"/>
    <n v="2068916"/>
    <n v="2646333.5905627864"/>
    <n v="1283568.7208423484"/>
  </r>
  <r>
    <s v=" 31-07-2016"/>
    <x v="2"/>
    <n v="3.9"/>
    <n v="947912"/>
    <n v="2242141.277168836"/>
    <n v="1285161.0196317025"/>
  </r>
  <r>
    <s v=" 31-08-2016"/>
    <x v="2"/>
    <n v="12.43"/>
    <n v="3255736"/>
    <n v="1336180.7831506506"/>
    <n v="1424059.6831762306"/>
  </r>
  <r>
    <s v=" 30-09-2016"/>
    <x v="2"/>
    <n v="14.39"/>
    <n v="3549012"/>
    <n v="2679869.434945195"/>
    <n v="1377574.2843014377"/>
  </r>
  <r>
    <s v=" 31-10-2016"/>
    <x v="2"/>
    <n v="6.47"/>
    <n v="1661923"/>
    <n v="3288269.2304835585"/>
    <n v="1427717.3449022938"/>
  </r>
  <r>
    <s v=" 30-11-2016"/>
    <x v="2"/>
    <n v="6.28"/>
    <n v="1561051"/>
    <n v="2149826.8691450674"/>
    <n v="1536782.6879915583"/>
  </r>
  <r>
    <s v=" 31-12-2016"/>
    <x v="2"/>
    <n v="4.43"/>
    <n v="1148462"/>
    <n v="1737683.7607435202"/>
    <n v="1117596.809212466"/>
  </r>
  <r>
    <s v=" 31-01-2017"/>
    <x v="2"/>
    <n v="4.72"/>
    <n v="1155431"/>
    <n v="1325228.5282230559"/>
    <n v="1054963.0907965933"/>
  </r>
  <r>
    <s v=" 28-02-2017"/>
    <x v="2"/>
    <n v="3.41"/>
    <n v="878477"/>
    <n v="1206370.2584669166"/>
    <n v="490805.63295187883"/>
  </r>
  <r>
    <s v=" 31-03-2017"/>
    <x v="2"/>
    <n v="2.48"/>
    <n v="605089"/>
    <n v="976844.97754007485"/>
    <n v="401467.08992245176"/>
  </r>
  <r>
    <s v=" 30-04-2017"/>
    <x v="2"/>
    <n v="1.34"/>
    <n v="335815"/>
    <n v="716615.79326202243"/>
    <n v="302515.94799585262"/>
  </r>
  <r>
    <s v=" 31-05-2017"/>
    <x v="2"/>
    <n v="2.12"/>
    <n v="553028"/>
    <n v="450055.23797860672"/>
    <n v="360890.44502628694"/>
  </r>
  <r>
    <s v=" 30-06-2017"/>
    <x v="2"/>
    <n v="1.69"/>
    <n v="442140"/>
    <n v="522136.17139358202"/>
    <n v="312951.0828143789"/>
  </r>
  <r>
    <s v=" 31-07-2017"/>
    <x v="2"/>
    <n v="1.75"/>
    <n v="427854"/>
    <n v="466138.85141807457"/>
    <n v="232387.62252246524"/>
  </r>
  <r>
    <s v=" 31-08-2017"/>
    <x v="2"/>
    <n v="3.33"/>
    <n v="815866"/>
    <n v="439339.45542542235"/>
    <n v="78461.257964360761"/>
  </r>
  <r>
    <s v=" 30-09-2017"/>
    <x v="2"/>
    <n v="4.8099999999999996"/>
    <n v="1197777"/>
    <n v="702908.03662762663"/>
    <n v="223336.33534425666"/>
  </r>
  <r>
    <s v=" 31-10-2017"/>
    <x v="2"/>
    <n v="4.8600000000000003"/>
    <n v="1225192"/>
    <n v="1049316.3109882879"/>
    <n v="359691.1914066578"/>
  </r>
  <r>
    <s v=" 30-11-2017"/>
    <x v="2"/>
    <n v="5"/>
    <n v="1241779"/>
    <n v="1172429.2932964861"/>
    <n v="373095.06727010978"/>
  </r>
  <r>
    <s v=" 31-12-2017"/>
    <x v="2"/>
    <n v="5.05"/>
    <n v="1254137"/>
    <n v="1220974.0879889457"/>
    <n v="305852.32314220711"/>
  </r>
  <r>
    <s v=" 31-01-2018"/>
    <x v="2"/>
    <n v="3.19"/>
    <n v="839628"/>
    <n v="1244188.1263966835"/>
    <n v="110817.29488706595"/>
  </r>
  <r>
    <s v=" 28-02-2018"/>
    <x v="2"/>
    <n v="6.64"/>
    <n v="1678135"/>
    <n v="960996.03791900503"/>
    <n v="237752.01115379084"/>
  </r>
  <r>
    <s v=" 31-03-2018"/>
    <x v="2"/>
    <n v="9.89"/>
    <n v="2419174"/>
    <n v="1462993.3113757016"/>
    <n v="475764.98593940272"/>
  </r>
  <r>
    <s v=" 30-04-2018"/>
    <x v="2"/>
    <n v="7.49"/>
    <n v="1823083"/>
    <n v="2132319.7934127101"/>
    <n v="728523.32291715161"/>
  </r>
  <r>
    <s v=" 31-05-2018"/>
    <x v="2"/>
    <n v="4"/>
    <n v="1034310"/>
    <n v="1915854.0380238127"/>
    <n v="712787.29754694225"/>
  </r>
  <r>
    <s v=" 30-06-2018"/>
    <x v="2"/>
    <n v="7.03"/>
    <n v="1734212"/>
    <n v="1298773.2114071436"/>
    <n v="771800.66396134999"/>
  </r>
  <r>
    <s v=" 31-07-2018"/>
    <x v="2"/>
    <n v="8.92"/>
    <n v="2094737"/>
    <n v="1603580.363422143"/>
    <n v="595078.2088618601"/>
  </r>
  <r>
    <s v=" 31-08-2018"/>
    <x v="2"/>
    <n v="8.73"/>
    <n v="2034417"/>
    <n v="1947390.0090266429"/>
    <n v="634550.14806843456"/>
  </r>
  <r>
    <s v=" 30-09-2018"/>
    <x v="2"/>
    <n v="4.59"/>
    <n v="1148556"/>
    <n v="2008308.9027079926"/>
    <n v="382280.64622018387"/>
  </r>
  <r>
    <s v=" 31-10-2018"/>
    <x v="2"/>
    <n v="9.25"/>
    <n v="2167204"/>
    <n v="1406481.8708123977"/>
    <n v="573870.94731805602"/>
  </r>
  <r>
    <s v=" 30-11-2018"/>
    <x v="2"/>
    <n v="10.75"/>
    <n v="2461094"/>
    <n v="1938987.3612437192"/>
    <n v="664692.13643320499"/>
  </r>
  <r>
    <s v=" 31-12-2018"/>
    <x v="2"/>
    <n v="7.51"/>
    <n v="1703460"/>
    <n v="2304462.0083731157"/>
    <n v="728118.24904656783"/>
  </r>
  <r>
    <s v=" 31-01-2019"/>
    <x v="2"/>
    <n v="7.52"/>
    <n v="1825694"/>
    <n v="1883760.6025119347"/>
    <n v="635740.22843129339"/>
  </r>
  <r>
    <s v=" 28-02-2019"/>
    <x v="2"/>
    <n v="10.89"/>
    <n v="2567642"/>
    <n v="1843113.9807535801"/>
    <n v="460858.07165517501"/>
  </r>
  <r>
    <s v=" 31-03-2019"/>
    <x v="2"/>
    <n v="10.99"/>
    <n v="2556673"/>
    <n v="2350283.5942260739"/>
    <n v="544523.03136749507"/>
  </r>
  <r>
    <s v=" 30-04-2019"/>
    <x v="2"/>
    <n v="11.22"/>
    <n v="2479468"/>
    <n v="2494756.1782678221"/>
    <n v="436237.38484764384"/>
  </r>
  <r>
    <s v=" 31-05-2019"/>
    <x v="2"/>
    <n v="9.27"/>
    <n v="2254679"/>
    <n v="2484054.4534803466"/>
    <n v="435036.84360584279"/>
  </r>
  <r>
    <s v=" 30-06-2019"/>
    <x v="2"/>
    <n v="10.199999999999999"/>
    <n v="2457966"/>
    <n v="2323491.6360441037"/>
    <n v="178366.11586824973"/>
  </r>
  <r>
    <s v=" 31-07-2019"/>
    <x v="2"/>
    <n v="13.44"/>
    <n v="3124649"/>
    <n v="2417623.6908132313"/>
    <n v="153764.08511678557"/>
  </r>
  <r>
    <s v=" 31-08-2019"/>
    <x v="2"/>
    <n v="11"/>
    <n v="2448623"/>
    <n v="2912541.4072439689"/>
    <n v="436112.08079701383"/>
  </r>
  <r>
    <s v=" 30-09-2019"/>
    <x v="2"/>
    <n v="8.6199999999999992"/>
    <n v="2068032"/>
    <n v="2587798.5221731905"/>
    <n v="494364.38348373823"/>
  </r>
  <r>
    <s v=" 31-10-2019"/>
    <x v="2"/>
    <n v="12.47"/>
    <n v="2999427"/>
    <n v="2223961.9566519568"/>
    <n v="573080.0740973989"/>
  </r>
  <r>
    <s v=" 30-11-2019"/>
    <x v="2"/>
    <n v="12.4"/>
    <n v="2783304"/>
    <n v="2766787.4869955871"/>
    <n v="601864.75767860492"/>
  </r>
  <r>
    <s v=" 31-12-2019"/>
    <x v="2"/>
    <n v="10.16"/>
    <n v="2328117"/>
    <n v="2778349.046098676"/>
    <n v="539065.87916154286"/>
  </r>
  <r>
    <s v=" 31-01-2020"/>
    <x v="2"/>
    <n v="9.1300000000000008"/>
    <n v="2137242"/>
    <n v="2463186.6138296025"/>
    <n v="517792.66249172483"/>
  </r>
  <r>
    <s v=" 29-02-2020"/>
    <x v="2"/>
    <n v="9.61"/>
    <n v="2226463"/>
    <n v="2235025.3841488808"/>
    <n v="321051.18066571769"/>
  </r>
  <r>
    <s v=" 31-03-2020"/>
    <x v="2"/>
    <n v="15.39"/>
    <n v="3488587"/>
    <n v="2229031.7152446639"/>
    <n v="320947.60789524612"/>
  </r>
  <r>
    <s v=" 30-04-2020"/>
    <x v="2"/>
    <n v="45.09"/>
    <n v="6603554"/>
    <n v="3110720.4145733989"/>
    <n v="751175.2394441521"/>
  </r>
  <r>
    <s v=" 31-05-2020"/>
    <x v="2"/>
    <n v="47.26"/>
    <n v="6640181"/>
    <n v="5555703.9243720192"/>
    <n v="2143707.0139722493"/>
  </r>
  <r>
    <s v=" 30-06-2020"/>
    <x v="2"/>
    <n v="18.54"/>
    <n v="3866618"/>
    <n v="6314837.877311605"/>
    <n v="2233267.8969320389"/>
  </r>
  <r>
    <s v=" 31-07-2020"/>
    <x v="2"/>
    <n v="12.03"/>
    <n v="2642101"/>
    <n v="4601083.9631934809"/>
    <n v="2540981.2770338883"/>
  </r>
  <r>
    <s v=" 31-08-2020"/>
    <x v="2"/>
    <n v="12.25"/>
    <n v="2576098"/>
    <n v="3229795.8889580444"/>
    <n v="1915505.6203962248"/>
  </r>
  <r>
    <s v=" 30-09-2020"/>
    <x v="2"/>
    <n v="11.1"/>
    <n v="2651306"/>
    <n v="2772207.3666874133"/>
    <n v="1849208.4565902031"/>
  </r>
  <r>
    <s v=" 31-10-2020"/>
    <x v="2"/>
    <n v="9.66"/>
    <n v="2185000"/>
    <n v="2687576.4100062242"/>
    <n v="1194369.0552724756"/>
  </r>
  <r>
    <s v=" 30-11-2020"/>
    <x v="2"/>
    <n v="9.23"/>
    <n v="2114650"/>
    <n v="2335772.9230018673"/>
    <n v="481151.78422539128"/>
  </r>
  <r>
    <s v=" 31-12-2020"/>
    <x v="2"/>
    <n v="11.85"/>
    <n v="2541080"/>
    <n v="2180986.8769005602"/>
    <n v="324600.02846504212"/>
  </r>
  <r>
    <s v=" 31-01-2021"/>
    <x v="2"/>
    <n v="9.67"/>
    <n v="2419383"/>
    <n v="2433052.0630701678"/>
    <n v="379097.81159798428"/>
  </r>
  <r>
    <s v=" 28-02-2021"/>
    <x v="2"/>
    <n v="11.2"/>
    <n v="2532307"/>
    <n v="2423483.7189210504"/>
    <n v="244096.46157862418"/>
  </r>
  <r>
    <s v=" 31-03-2021"/>
    <x v="2"/>
    <n v="14.1"/>
    <n v="3201623"/>
    <n v="2499660.0156763149"/>
    <n v="217329.55550922549"/>
  </r>
  <r>
    <s v=" 30-04-2021"/>
    <x v="2"/>
    <n v="10.02"/>
    <n v="2183875"/>
    <n v="2991034.1047028941"/>
    <n v="410195.63671928481"/>
  </r>
  <r>
    <s v=" 31-05-2021"/>
    <x v="2"/>
    <n v="13.41"/>
    <n v="3250645"/>
    <n v="2426022.7314108685"/>
    <n v="620779.17656500568"/>
  </r>
  <r>
    <s v=" 30-06-2021"/>
    <x v="2"/>
    <n v="10.14"/>
    <n v="2269434"/>
    <n v="3003258.3194232606"/>
    <n v="779799.0633315905"/>
  </r>
  <r>
    <s v=" 31-07-2021"/>
    <x v="2"/>
    <n v="12.38"/>
    <n v="2771499"/>
    <n v="2489581.2958269781"/>
    <n v="789515.85120985692"/>
  </r>
  <r>
    <s v=" 31-08-2021"/>
    <x v="2"/>
    <n v="12.76"/>
    <n v="2698808"/>
    <n v="2686923.6887480933"/>
    <n v="657768.35070215131"/>
  </r>
  <r>
    <s v=" 30-09-2021"/>
    <x v="2"/>
    <n v="9.01"/>
    <n v="2139311"/>
    <n v="2695242.7066244278"/>
    <n v="453915.17583396257"/>
  </r>
  <r>
    <s v=" 31-10-2021"/>
    <x v="2"/>
    <n v="13.72"/>
    <n v="3007829"/>
    <n v="2306090.5119873285"/>
    <n v="359943.92674900003"/>
  </r>
  <r>
    <s v=" 30-11-2021"/>
    <x v="2"/>
    <n v="13.95"/>
    <n v="3017499"/>
    <n v="2797307.4535961985"/>
    <n v="516926.23743386293"/>
  </r>
  <r>
    <s v=" 31-12-2021"/>
    <x v="2"/>
    <n v="14.91"/>
    <n v="3135463"/>
    <n v="2951441.5360788591"/>
    <n v="532284.78752648842"/>
  </r>
  <r>
    <s v=" 31-01-2022"/>
    <x v="2"/>
    <n v="12.82"/>
    <n v="2901728"/>
    <n v="3080256.5608236575"/>
    <n v="437715.70752779994"/>
  </r>
  <r>
    <s v=" 28-02-2022"/>
    <x v="2"/>
    <n v="13.45"/>
    <n v="2922943"/>
    <n v="2955286.5682470971"/>
    <n v="195124.45884711944"/>
  </r>
  <r>
    <s v=" 31-03-2022"/>
    <x v="2"/>
    <n v="13.95"/>
    <n v="2944804"/>
    <n v="2932646.0704741292"/>
    <n v="149200.59497245174"/>
  </r>
  <r>
    <s v=" 30-04-2022"/>
    <x v="2"/>
    <n v="20.55"/>
    <n v="4325060"/>
    <n v="2941156.6211422384"/>
    <n v="104986.29860935356"/>
  </r>
  <r>
    <s v=" 31-01-2016"/>
    <x v="3"/>
    <n v="0.91"/>
    <n v="54988"/>
    <n v="3909888.9863426713"/>
    <n v="799245.99543804198"/>
  </r>
  <r>
    <s v=" 29-02-2016"/>
    <x v="3"/>
    <n v="5.26"/>
    <n v="327865"/>
    <n v="1211458.2959028014"/>
    <n v="2364712.6669548377"/>
  </r>
  <r>
    <s v=" 31-03-2016"/>
    <x v="3"/>
    <n v="0.97"/>
    <n v="64642"/>
    <n v="592942.98877084034"/>
    <n v="2419103.6417844254"/>
  </r>
  <r>
    <s v=" 30-04-2016"/>
    <x v="3"/>
    <n v="2.89"/>
    <n v="179068"/>
    <n v="223132.2966312521"/>
    <n v="2303627.6219480676"/>
  </r>
  <r>
    <s v=" 31-05-2016"/>
    <x v="3"/>
    <n v="4.29"/>
    <n v="271906"/>
    <n v="192287.28898937564"/>
    <n v="594917.55998575978"/>
  </r>
  <r>
    <s v=" 30-06-2016"/>
    <x v="3"/>
    <n v="1.18"/>
    <n v="76206"/>
    <n v="248020.38669681267"/>
    <n v="309506.45449211984"/>
  </r>
  <r>
    <s v=" 31-07-2016"/>
    <x v="3"/>
    <n v="3.59"/>
    <n v="248352"/>
    <n v="127750.31600904379"/>
    <n v="112251.18389368577"/>
  </r>
  <r>
    <s v=" 31-08-2016"/>
    <x v="3"/>
    <n v="1.71"/>
    <n v="107127"/>
    <n v="212171.49480271313"/>
    <n v="129620.07149158351"/>
  </r>
  <r>
    <s v=" 30-09-2016"/>
    <x v="3"/>
    <n v="8.51"/>
    <n v="605389"/>
    <n v="138640.34844081395"/>
    <n v="135522.80932966422"/>
  </r>
  <r>
    <s v=" 31-10-2016"/>
    <x v="3"/>
    <n v="3.33"/>
    <n v="276350"/>
    <n v="465364.4045322442"/>
    <n v="284858.68765765842"/>
  </r>
  <r>
    <s v=" 30-11-2016"/>
    <x v="3"/>
    <n v="3.09"/>
    <n v="234452"/>
    <n v="333054.32135967328"/>
    <n v="296993.31908386678"/>
  </r>
  <r>
    <s v=" 31-12-2016"/>
    <x v="3"/>
    <n v="3.71"/>
    <n v="231531"/>
    <n v="264032.696407902"/>
    <n v="296256.1766616372"/>
  </r>
  <r>
    <s v=" 31-01-2017"/>
    <x v="3"/>
    <n v="3.29"/>
    <n v="209905"/>
    <n v="241281.50892237056"/>
    <n v="124505.98803215125"/>
  </r>
  <r>
    <s v=" 28-02-2017"/>
    <x v="3"/>
    <n v="1.75"/>
    <n v="131942"/>
    <n v="219317.95267671117"/>
    <n v="62618.589782543306"/>
  </r>
  <r>
    <s v=" 31-03-2017"/>
    <x v="3"/>
    <n v="2.83"/>
    <n v="208593"/>
    <n v="158154.78580301334"/>
    <n v="56790.26526823618"/>
  </r>
  <r>
    <s v=" 30-04-2017"/>
    <x v="3"/>
    <n v="4.17"/>
    <n v="271655"/>
    <n v="193461.53574090399"/>
    <n v="61000.152649261392"/>
  </r>
  <r>
    <s v=" 31-05-2017"/>
    <x v="3"/>
    <n v="3.86"/>
    <n v="251945"/>
    <n v="248196.96072227118"/>
    <n v="73694.840186593123"/>
  </r>
  <r>
    <s v=" 30-06-2017"/>
    <x v="3"/>
    <n v="1.03"/>
    <n v="68971"/>
    <n v="250820.58821668135"/>
    <n v="53765.785597183865"/>
  </r>
  <r>
    <s v=" 31-07-2017"/>
    <x v="3"/>
    <n v="0.64"/>
    <n v="47141"/>
    <n v="123525.8764650044"/>
    <n v="114305.93216720717"/>
  </r>
  <r>
    <s v=" 31-08-2017"/>
    <x v="3"/>
    <n v="3.25"/>
    <n v="212205"/>
    <n v="70056.462939501318"/>
    <n v="113897.57077535054"/>
  </r>
  <r>
    <s v=" 30-09-2017"/>
    <x v="3"/>
    <n v="4.45"/>
    <n v="289622"/>
    <n v="169560.43888185039"/>
    <n v="140368.71526517882"/>
  </r>
  <r>
    <s v=" 31-10-2017"/>
    <x v="3"/>
    <n v="2.21"/>
    <n v="153430"/>
    <n v="253603.53166455511"/>
    <n v="116125.84323216074"/>
  </r>
  <r>
    <s v=" 30-11-2017"/>
    <x v="3"/>
    <n v="3.01"/>
    <n v="215271"/>
    <n v="183482.05949936653"/>
    <n v="122005.08390051726"/>
  </r>
  <r>
    <s v=" 31-12-2017"/>
    <x v="3"/>
    <n v="1.5"/>
    <n v="99577"/>
    <n v="205734.31784980994"/>
    <n v="92123.199471196567"/>
  </r>
  <r>
    <s v=" 31-01-2018"/>
    <x v="3"/>
    <n v="5.64"/>
    <n v="360877"/>
    <n v="131424.19535494299"/>
    <n v="86245.095159798351"/>
  </r>
  <r>
    <s v=" 28-02-2018"/>
    <x v="3"/>
    <n v="1.63"/>
    <n v="101397"/>
    <n v="292041.1586064829"/>
    <n v="147115.03710894758"/>
  </r>
  <r>
    <s v=" 31-03-2018"/>
    <x v="3"/>
    <n v="2.86"/>
    <n v="192163"/>
    <n v="158590.24758194486"/>
    <n v="182814.25993187921"/>
  </r>
  <r>
    <s v=" 30-04-2018"/>
    <x v="3"/>
    <n v="2.09"/>
    <n v="128798"/>
    <n v="182091.17427458346"/>
    <n v="173321.3917122182"/>
  </r>
  <r>
    <s v=" 31-05-2018"/>
    <x v="3"/>
    <n v="4.45"/>
    <n v="261210"/>
    <n v="144785.95228237502"/>
    <n v="115920.21299146375"/>
  </r>
  <r>
    <s v=" 30-06-2018"/>
    <x v="3"/>
    <n v="1.69"/>
    <n v="102548"/>
    <n v="226282.78568471249"/>
    <n v="76423.929533754839"/>
  </r>
  <r>
    <s v=" 31-07-2018"/>
    <x v="3"/>
    <n v="3.05"/>
    <n v="195914"/>
    <n v="139668.43570541375"/>
    <n v="102802.42944544756"/>
  </r>
  <r>
    <s v=" 31-08-2018"/>
    <x v="3"/>
    <n v="2.78"/>
    <n v="169941"/>
    <n v="179040.33071162412"/>
    <n v="103325.40761789746"/>
  </r>
  <r>
    <s v=" 30-09-2018"/>
    <x v="3"/>
    <n v="23.18"/>
    <n v="1413609"/>
    <n v="172670.79921348725"/>
    <n v="78648.285657640954"/>
  </r>
  <r>
    <s v=" 31-10-2018"/>
    <x v="3"/>
    <n v="12.52"/>
    <n v="800280"/>
    <n v="1041327.5397640461"/>
    <n v="717210.79641750222"/>
  </r>
  <r>
    <s v=" 30-11-2018"/>
    <x v="3"/>
    <n v="5.38"/>
    <n v="342656"/>
    <n v="872594.26192921377"/>
    <n v="729866.2736915045"/>
  </r>
  <r>
    <s v=" 31-12-2018"/>
    <x v="3"/>
    <n v="4.9000000000000004"/>
    <n v="293172"/>
    <n v="501637.47857876413"/>
    <n v="791384.03994818323"/>
  </r>
  <r>
    <s v=" 31-01-2019"/>
    <x v="3"/>
    <n v="6.81"/>
    <n v="418261"/>
    <n v="355711.6435736292"/>
    <n v="357023.03083598055"/>
  </r>
  <r>
    <s v=" 28-02-2019"/>
    <x v="3"/>
    <n v="6.94"/>
    <n v="454473"/>
    <n v="399496.1930720887"/>
    <n v="330759.14661325305"/>
  </r>
  <r>
    <s v=" 31-03-2019"/>
    <x v="3"/>
    <n v="3.17"/>
    <n v="215832"/>
    <n v="437979.95792162657"/>
    <n v="129605.46162413472"/>
  </r>
  <r>
    <s v=" 30-04-2019"/>
    <x v="3"/>
    <n v="2.99"/>
    <n v="186866"/>
    <n v="282476.38737648795"/>
    <n v="136972.73025203566"/>
  </r>
  <r>
    <s v=" 31-05-2019"/>
    <x v="3"/>
    <n v="9.82"/>
    <n v="614636"/>
    <n v="215549.11621294636"/>
    <n v="143193.93688633107"/>
  </r>
  <r>
    <s v=" 30-06-2019"/>
    <x v="3"/>
    <n v="6.76"/>
    <n v="446743"/>
    <n v="494909.93486388389"/>
    <n v="269419.99566593178"/>
  </r>
  <r>
    <s v=" 31-07-2019"/>
    <x v="3"/>
    <n v="4.54"/>
    <n v="306615"/>
    <n v="461193.08045916515"/>
    <n v="238559.38505909801"/>
  </r>
  <r>
    <s v=" 31-08-2019"/>
    <x v="3"/>
    <n v="4.6399999999999997"/>
    <n v="306597"/>
    <n v="352988.42413774953"/>
    <n v="248652.88883869353"/>
  </r>
  <r>
    <s v=" 30-09-2019"/>
    <x v="3"/>
    <n v="8.33"/>
    <n v="540682"/>
    <n v="320514.42724132485"/>
    <n v="97239.56808856214"/>
  </r>
  <r>
    <s v=" 31-10-2019"/>
    <x v="3"/>
    <n v="6.96"/>
    <n v="490251"/>
    <n v="474631.72817239742"/>
    <n v="157607.43138825995"/>
  </r>
  <r>
    <s v=" 30-11-2019"/>
    <x v="3"/>
    <n v="2.77"/>
    <n v="192319"/>
    <n v="485565.21845171915"/>
    <n v="130217.62039038038"/>
  </r>
  <r>
    <s v=" 31-12-2019"/>
    <x v="3"/>
    <n v="6.11"/>
    <n v="401390"/>
    <n v="280292.86553551571"/>
    <n v="211904.90507387539"/>
  </r>
  <r>
    <s v=" 31-01-2020"/>
    <x v="3"/>
    <n v="9.89"/>
    <n v="616760"/>
    <n v="365060.85966065468"/>
    <n v="183395.58542866411"/>
  </r>
  <r>
    <s v=" 29-02-2020"/>
    <x v="3"/>
    <n v="7.89"/>
    <n v="540242"/>
    <n v="541250.25789819635"/>
    <n v="233816.39367910614"/>
  </r>
  <r>
    <s v=" 31-03-2020"/>
    <x v="3"/>
    <n v="7.31"/>
    <n v="504010"/>
    <n v="540544.47736945888"/>
    <n v="161263.74856846998"/>
  </r>
  <r>
    <s v=" 30-04-2020"/>
    <x v="3"/>
    <n v="0"/>
    <n v="0"/>
    <n v="514970.34321083769"/>
    <n v="146842.59358035304"/>
  </r>
  <r>
    <s v=" 31-05-2020"/>
    <x v="3"/>
    <n v="7.64"/>
    <n v="416693"/>
    <n v="154491.10296325129"/>
    <n v="298066.12186299462"/>
  </r>
  <r>
    <s v=" 30-06-2020"/>
    <x v="3"/>
    <n v="10.27"/>
    <n v="586186"/>
    <n v="338032.43088897539"/>
    <n v="334304.77972104895"/>
  </r>
  <r>
    <s v=" 31-07-2020"/>
    <x v="3"/>
    <n v="12.37"/>
    <n v="797232"/>
    <n v="511739.92926669255"/>
    <n v="363099.84075040015"/>
  </r>
  <r>
    <s v=" 31-08-2020"/>
    <x v="3"/>
    <n v="6.07"/>
    <n v="418434"/>
    <n v="711584.3787800076"/>
    <n v="265729.02935371443"/>
  </r>
  <r>
    <s v=" 30-09-2020"/>
    <x v="3"/>
    <n v="0.86"/>
    <n v="59177"/>
    <n v="506379.11363400228"/>
    <n v="276298.78808576887"/>
  </r>
  <r>
    <s v=" 31-10-2020"/>
    <x v="3"/>
    <n v="6.11"/>
    <n v="387012"/>
    <n v="193337.63409020068"/>
    <n v="349967.90208492591"/>
  </r>
  <r>
    <s v=" 30-11-2020"/>
    <x v="3"/>
    <n v="3.09"/>
    <n v="201965"/>
    <n v="328909.69022706017"/>
    <n v="328347.69936158822"/>
  </r>
  <r>
    <s v=" 31-12-2020"/>
    <x v="3"/>
    <n v="7.84"/>
    <n v="493313"/>
    <n v="240048.40706811805"/>
    <n v="290754.44669923006"/>
  </r>
  <r>
    <s v=" 31-01-2021"/>
    <x v="3"/>
    <n v="6.76"/>
    <n v="441130"/>
    <n v="417333.62212043541"/>
    <n v="198130.99069416928"/>
  </r>
  <r>
    <s v=" 28-02-2021"/>
    <x v="3"/>
    <n v="5.82"/>
    <n v="383308"/>
    <n v="433991.08663613058"/>
    <n v="164138.33191344343"/>
  </r>
  <r>
    <s v=" 31-03-2021"/>
    <x v="3"/>
    <n v="2.46"/>
    <n v="155515"/>
    <n v="398512.92599083914"/>
    <n v="149753.12673875899"/>
  </r>
  <r>
    <s v=" 30-04-2021"/>
    <x v="3"/>
    <n v="3.42"/>
    <n v="241378"/>
    <n v="228414.37779725174"/>
    <n v="143971.10231686762"/>
  </r>
  <r>
    <s v=" 31-05-2021"/>
    <x v="3"/>
    <n v="9.35"/>
    <n v="656322"/>
    <n v="237488.91333917552"/>
    <n v="143509.37577667233"/>
  </r>
  <r>
    <s v=" 30-06-2021"/>
    <x v="3"/>
    <n v="2.3199999999999998"/>
    <n v="164679"/>
    <n v="530672.07400175266"/>
    <n v="279664.80056089687"/>
  </r>
  <r>
    <s v=" 31-07-2021"/>
    <x v="3"/>
    <n v="3.75"/>
    <n v="243692"/>
    <n v="274476.92220052576"/>
    <n v="321216.51067968766"/>
  </r>
  <r>
    <s v=" 31-08-2021"/>
    <x v="3"/>
    <n v="3.91"/>
    <n v="255655"/>
    <n v="252927.47666015773"/>
    <n v="321620.78919848992"/>
  </r>
  <r>
    <s v=" 30-09-2021"/>
    <x v="3"/>
    <n v="4.38"/>
    <n v="276369"/>
    <n v="254836.74299804732"/>
    <n v="212058.23181044258"/>
  </r>
  <r>
    <s v=" 31-10-2021"/>
    <x v="3"/>
    <n v="3.1"/>
    <n v="212248"/>
    <n v="269909.32289941417"/>
    <n v="21746.945456469268"/>
  </r>
  <r>
    <s v=" 30-11-2021"/>
    <x v="3"/>
    <n v="1.84"/>
    <n v="135114"/>
    <n v="229546.39686982421"/>
    <n v="35571.082045570052"/>
  </r>
  <r>
    <s v=" 31-12-2021"/>
    <x v="3"/>
    <n v="2.58"/>
    <n v="176029"/>
    <n v="163443.71906094725"/>
    <n v="65079.294783847159"/>
  </r>
  <r>
    <s v=" 31-01-2022"/>
    <x v="3"/>
    <n v="2.84"/>
    <n v="173405"/>
    <n v="172253.41571828414"/>
    <n v="64292.806838207995"/>
  </r>
  <r>
    <s v=" 28-02-2022"/>
    <x v="3"/>
    <n v="1.73"/>
    <n v="114793"/>
    <n v="173059.52471548523"/>
    <n v="55006.64511751516"/>
  </r>
  <r>
    <s v=" 31-03-2022"/>
    <x v="3"/>
    <n v="0.33"/>
    <n v="22740"/>
    <n v="132272.95741464556"/>
    <n v="34422.39263954512"/>
  </r>
  <r>
    <s v=" 30-04-2022"/>
    <x v="3"/>
    <n v="0.73"/>
    <n v="50022"/>
    <n v="55599.887224393664"/>
    <n v="71632.820245044801"/>
  </r>
  <r>
    <s v=" 31-01-2016"/>
    <x v="4"/>
    <n v="11.18"/>
    <n v="16136"/>
    <n v="51695.36616731809"/>
    <n v="71702.090830293222"/>
  </r>
  <r>
    <s v=" 29-02-2016"/>
    <x v="4"/>
    <n v="11.11"/>
    <n v="15515"/>
    <n v="26803.809850195423"/>
    <n v="66565.88242262452"/>
  </r>
  <r>
    <s v=" 31-03-2016"/>
    <x v="4"/>
    <n v="27.27"/>
    <n v="39319"/>
    <n v="18901.642955058625"/>
    <n v="21779.337118343232"/>
  </r>
  <r>
    <s v=" 30-04-2016"/>
    <x v="4"/>
    <n v="23.76"/>
    <n v="36231"/>
    <n v="33193.792886517585"/>
    <n v="24554.525847291323"/>
  </r>
  <r>
    <s v=" 31-05-2016"/>
    <x v="4"/>
    <n v="11.72"/>
    <n v="16655"/>
    <n v="35319.837865955269"/>
    <n v="13583.449777635953"/>
  </r>
  <r>
    <s v=" 30-06-2016"/>
    <x v="4"/>
    <n v="7.23"/>
    <n v="10368"/>
    <n v="22254.451359786581"/>
    <n v="16067.246894569951"/>
  </r>
  <r>
    <s v=" 31-07-2016"/>
    <x v="4"/>
    <n v="19.41"/>
    <n v="28709"/>
    <n v="13933.935407935973"/>
    <n v="12895.587430605325"/>
  </r>
  <r>
    <s v=" 31-08-2016"/>
    <x v="4"/>
    <n v="21.11"/>
    <n v="28797"/>
    <n v="24276.48062238079"/>
    <n v="15361.927311708363"/>
  </r>
  <r>
    <s v=" 30-09-2016"/>
    <x v="4"/>
    <n v="14.17"/>
    <n v="18583"/>
    <n v="27440.844186714236"/>
    <n v="11255.004147365846"/>
  </r>
  <r>
    <s v=" 31-10-2016"/>
    <x v="4"/>
    <n v="10.199999999999999"/>
    <n v="14589"/>
    <n v="21240.35325601427"/>
    <n v="10282.65583039716"/>
  </r>
  <r>
    <s v=" 30-11-2016"/>
    <x v="4"/>
    <n v="17.989999999999998"/>
    <n v="27490"/>
    <n v="16584.405976804279"/>
    <n v="6907.4114595804404"/>
  </r>
  <r>
    <s v=" 31-12-2016"/>
    <x v="4"/>
    <n v="17.53"/>
    <n v="24216"/>
    <n v="24218.321793041283"/>
    <n v="8974.6659133949761"/>
  </r>
  <r>
    <s v=" 31-01-2017"/>
    <x v="4"/>
    <n v="6.15"/>
    <n v="8721"/>
    <n v="24216.696537912387"/>
    <n v="7375.0138197786182"/>
  </r>
  <r>
    <s v=" 28-02-2017"/>
    <x v="4"/>
    <n v="10.67"/>
    <n v="13367"/>
    <n v="13369.708961373715"/>
    <n v="10939.966447001489"/>
  </r>
  <r>
    <s v=" 31-03-2017"/>
    <x v="4"/>
    <n v="2.54"/>
    <n v="3777"/>
    <n v="13367.812688412114"/>
    <n v="8946.4448045814006"/>
  </r>
  <r>
    <s v=" 30-04-2017"/>
    <x v="4"/>
    <n v="13.13"/>
    <n v="16861"/>
    <n v="6654.2438065236338"/>
    <n v="10521.411606144688"/>
  </r>
  <r>
    <s v=" 31-05-2017"/>
    <x v="4"/>
    <n v="4.51"/>
    <n v="6481"/>
    <n v="13798.973141957089"/>
    <n v="8086.2345451132087"/>
  </r>
  <r>
    <s v=" 30-06-2017"/>
    <x v="4"/>
    <n v="5.3"/>
    <n v="7099"/>
    <n v="8676.3919425871263"/>
    <n v="9123.4914903539029"/>
  </r>
  <r>
    <s v=" 31-07-2017"/>
    <x v="4"/>
    <n v="4.12"/>
    <n v="6046"/>
    <n v="7572.2175827761366"/>
    <n v="7307.9584071068775"/>
  </r>
  <r>
    <s v=" 31-08-2017"/>
    <x v="4"/>
    <n v="15.94"/>
    <n v="22006"/>
    <n v="6503.8652748328404"/>
    <n v="4410.9801011007039"/>
  </r>
  <r>
    <s v=" 30-09-2017"/>
    <x v="4"/>
    <n v="3.23"/>
    <n v="4931"/>
    <n v="17355.359582449852"/>
    <n v="9039.4263550984851"/>
  </r>
  <r>
    <s v=" 31-10-2017"/>
    <x v="4"/>
    <n v="4.4000000000000004"/>
    <n v="6004"/>
    <n v="8658.3078747349555"/>
    <n v="11503.770862652269"/>
  </r>
  <r>
    <s v=" 30-11-2017"/>
    <x v="4"/>
    <n v="3.49"/>
    <n v="5640"/>
    <n v="6800.2923624204868"/>
    <n v="11571.894721913188"/>
  </r>
  <r>
    <s v=" 31-12-2017"/>
    <x v="4"/>
    <n v="3.82"/>
    <n v="5461"/>
    <n v="5988.0877087261451"/>
    <n v="7365.6033854257257"/>
  </r>
  <r>
    <s v=" 31-01-2018"/>
    <x v="4"/>
    <n v="3.87"/>
    <n v="5922"/>
    <n v="5619.1263126178437"/>
    <n v="1699.9460886413906"/>
  </r>
  <r>
    <s v=" 28-02-2018"/>
    <x v="4"/>
    <n v="4.4400000000000004"/>
    <n v="6419"/>
    <n v="5831.1378937853524"/>
    <n v="756.26985692717653"/>
  </r>
  <r>
    <s v=" 31-03-2018"/>
    <x v="4"/>
    <n v="4.8899999999999997"/>
    <n v="7688"/>
    <n v="6242.6413681356053"/>
    <n v="488.24030255662814"/>
  </r>
  <r>
    <s v=" 30-04-2018"/>
    <x v="4"/>
    <n v="8.23"/>
    <n v="11205"/>
    <n v="7254.3924104406815"/>
    <n v="917.67385294495205"/>
  </r>
  <r>
    <s v=" 31-05-2018"/>
    <x v="4"/>
    <n v="4.22"/>
    <n v="6574"/>
    <n v="10019.817723132204"/>
    <n v="2452.3419933682253"/>
  </r>
  <r>
    <s v=" 30-06-2018"/>
    <x v="4"/>
    <n v="6.38"/>
    <n v="9522"/>
    <n v="7607.7453169396604"/>
    <n v="3139.5340250022568"/>
  </r>
  <r>
    <s v=" 31-07-2018"/>
    <x v="4"/>
    <n v="14.58"/>
    <n v="22294"/>
    <n v="8947.7235950818977"/>
    <n v="3222.0765095071915"/>
  </r>
  <r>
    <s v=" 31-08-2018"/>
    <x v="4"/>
    <n v="6.94"/>
    <n v="9587"/>
    <n v="18290.11707852457"/>
    <n v="8034.5322338255246"/>
  </r>
  <r>
    <s v=" 30-09-2018"/>
    <x v="4"/>
    <n v="5.52"/>
    <n v="9014"/>
    <n v="12197.93512355737"/>
    <n v="9265.1985362897685"/>
  </r>
  <r>
    <s v=" 31-10-2018"/>
    <x v="4"/>
    <n v="12.57"/>
    <n v="17795"/>
    <n v="9969.18053706721"/>
    <n v="9380.9165087071324"/>
  </r>
  <r>
    <s v=" 30-11-2018"/>
    <x v="4"/>
    <n v="11.44"/>
    <n v="17985"/>
    <n v="15447.254161120163"/>
    <n v="7002.9788904424095"/>
  </r>
  <r>
    <s v=" 31-12-2018"/>
    <x v="4"/>
    <n v="9.15"/>
    <n v="12618"/>
    <n v="17223.676248336051"/>
    <n v="5093.1668956289495"/>
  </r>
  <r>
    <s v=" 31-01-2019"/>
    <x v="4"/>
    <n v="9.44"/>
    <n v="15441"/>
    <n v="13999.702874500814"/>
    <n v="5443.5239172695356"/>
  </r>
  <r>
    <s v=" 28-02-2019"/>
    <x v="4"/>
    <n v="8.33"/>
    <n v="12810"/>
    <n v="15008.610862350244"/>
    <n v="3148.0017498518528"/>
  </r>
  <r>
    <s v=" 31-03-2019"/>
    <x v="4"/>
    <n v="10.130000000000001"/>
    <n v="16622"/>
    <n v="13469.583258705072"/>
    <n v="3061.7794843578322"/>
  </r>
  <r>
    <s v=" 30-04-2019"/>
    <x v="4"/>
    <n v="9.74"/>
    <n v="13803"/>
    <n v="15676.274977611522"/>
    <n v="2369.8775241780768"/>
  </r>
  <r>
    <s v=" 31-05-2019"/>
    <x v="4"/>
    <n v="12.56"/>
    <n v="21288"/>
    <n v="14364.982493283454"/>
    <n v="2468.5204864848679"/>
  </r>
  <r>
    <s v=" 30-06-2019"/>
    <x v="4"/>
    <n v="9.33"/>
    <n v="13909"/>
    <n v="19211.094747985037"/>
    <n v="4523.0911941151398"/>
  </r>
  <r>
    <s v=" 31-07-2019"/>
    <x v="4"/>
    <n v="11.07"/>
    <n v="18443"/>
    <n v="15499.628424395509"/>
    <n v="5149.4187133649602"/>
  </r>
  <r>
    <s v=" 31-08-2019"/>
    <x v="4"/>
    <n v="17.18"/>
    <n v="23263"/>
    <n v="17559.988527318652"/>
    <n v="5313.6245114796093"/>
  </r>
  <r>
    <s v=" 30-09-2019"/>
    <x v="4"/>
    <n v="12.5"/>
    <n v="20757"/>
    <n v="21552.096558195593"/>
    <n v="4806.2454094029936"/>
  </r>
  <r>
    <s v=" 31-10-2019"/>
    <x v="4"/>
    <n v="15.84"/>
    <n v="23683"/>
    <n v="20995.528967458678"/>
    <n v="3733.6289150756097"/>
  </r>
  <r>
    <s v=" 30-11-2019"/>
    <x v="4"/>
    <n v="11.11"/>
    <n v="19861"/>
    <n v="22876.758690237602"/>
    <n v="3668.7426976707916"/>
  </r>
  <r>
    <s v=" 31-12-2019"/>
    <x v="4"/>
    <n v="16.97"/>
    <n v="24720"/>
    <n v="20765.72760707128"/>
    <n v="2376.9363731034687"/>
  </r>
  <r>
    <s v=" 31-01-2020"/>
    <x v="4"/>
    <n v="13.48"/>
    <n v="21270"/>
    <n v="23533.718282121383"/>
    <n v="3263.6161531839989"/>
  </r>
  <r>
    <s v=" 29-02-2020"/>
    <x v="4"/>
    <n v="13.81"/>
    <n v="20370"/>
    <n v="21949.115484636412"/>
    <n v="3154.652178187659"/>
  </r>
  <r>
    <s v=" 31-03-2020"/>
    <x v="4"/>
    <n v="15.18"/>
    <n v="23136"/>
    <n v="20843.734645390923"/>
    <n v="2784.1393842087782"/>
  </r>
  <r>
    <s v=" 30-04-2020"/>
    <x v="4"/>
    <n v="20.69"/>
    <n v="23894"/>
    <n v="22448.320393617276"/>
    <n v="2071.43321000784"/>
  </r>
  <r>
    <s v=" 31-05-2020"/>
    <x v="4"/>
    <n v="22.76"/>
    <n v="29499"/>
    <n v="23460.296118085182"/>
    <n v="1810.8999322685277"/>
  </r>
  <r>
    <s v=" 30-06-2020"/>
    <x v="4"/>
    <n v="21.14"/>
    <n v="23700"/>
    <n v="27687.388835425554"/>
    <n v="3821.4488767876633"/>
  </r>
  <r>
    <s v=" 31-07-2020"/>
    <x v="4"/>
    <n v="16.2"/>
    <n v="23157"/>
    <n v="24896.216650627666"/>
    <n v="4260.485254938314"/>
  </r>
  <r>
    <s v=" 31-08-2020"/>
    <x v="4"/>
    <n v="20"/>
    <n v="24351"/>
    <n v="23678.7649951883"/>
    <n v="4296.9015525201403"/>
  </r>
  <r>
    <s v=" 30-09-2020"/>
    <x v="4"/>
    <n v="8.6999999999999993"/>
    <n v="12572"/>
    <n v="24149.32949855649"/>
    <n v="2541.3935930502817"/>
  </r>
  <r>
    <s v=" 31-10-2020"/>
    <x v="4"/>
    <n v="9.14"/>
    <n v="12111"/>
    <n v="16045.198849566947"/>
    <n v="6770.3109918147029"/>
  </r>
  <r>
    <s v=" 30-11-2020"/>
    <x v="4"/>
    <n v="7.07"/>
    <n v="10946"/>
    <n v="13291.259654870082"/>
    <n v="7070.2281624611032"/>
  </r>
  <r>
    <s v=" 31-12-2020"/>
    <x v="4"/>
    <n v="9.93"/>
    <n v="13795"/>
    <n v="11649.577896461025"/>
    <n v="7188.2478568573188"/>
  </r>
  <r>
    <s v=" 31-01-2021"/>
    <x v="4"/>
    <n v="10.32"/>
    <n v="14783"/>
    <n v="13151.373368938308"/>
    <n v="2920.1027059020157"/>
  </r>
  <r>
    <s v=" 28-02-2021"/>
    <x v="4"/>
    <n v="7.18"/>
    <n v="10104"/>
    <n v="14293.51201068149"/>
    <n v="2062.7881062859769"/>
  </r>
  <r>
    <s v=" 31-03-2021"/>
    <x v="4"/>
    <n v="10.95"/>
    <n v="16843"/>
    <n v="11360.853603204447"/>
    <n v="2876.1694637826768"/>
  </r>
  <r>
    <s v=" 30-04-2021"/>
    <x v="4"/>
    <n v="14.18"/>
    <n v="18726"/>
    <n v="15198.356080961332"/>
    <n v="4093.4152597691436"/>
  </r>
  <r>
    <s v=" 31-05-2021"/>
    <x v="4"/>
    <n v="22.22"/>
    <n v="26425"/>
    <n v="17667.706824288398"/>
    <n v="4474.0068403715186"/>
  </r>
  <r>
    <s v=" 30-06-2021"/>
    <x v="4"/>
    <n v="21.31"/>
    <n v="24093"/>
    <n v="23797.812047286519"/>
    <n v="6303.131087028466"/>
  </r>
  <r>
    <s v=" 31-07-2021"/>
    <x v="4"/>
    <n v="9.91"/>
    <n v="16126"/>
    <n v="24004.443614185955"/>
    <n v="5453.4879148523733"/>
  </r>
  <r>
    <s v=" 31-08-2021"/>
    <x v="4"/>
    <n v="11.18"/>
    <n v="15258"/>
    <n v="18489.533084255785"/>
    <n v="6803.1167728402161"/>
  </r>
  <r>
    <s v=" 30-09-2021"/>
    <x v="4"/>
    <n v="10"/>
    <n v="16135"/>
    <n v="16227.459925276733"/>
    <n v="4919.3433092901851"/>
  </r>
  <r>
    <s v=" 31-10-2021"/>
    <x v="4"/>
    <n v="6.18"/>
    <n v="9807"/>
    <n v="16162.73797758302"/>
    <n v="4916.6800687160621"/>
  </r>
  <r>
    <s v=" 30-11-2021"/>
    <x v="4"/>
    <n v="11.63"/>
    <n v="18720"/>
    <n v="11713.721393274905"/>
    <n v="4116.9066118512246"/>
  </r>
  <r>
    <s v=" 31-12-2021"/>
    <x v="4"/>
    <n v="9.6999999999999993"/>
    <n v="13422"/>
    <n v="16618.11641798247"/>
    <n v="5461.7425178089761"/>
  </r>
  <r>
    <s v=" 31-01-2022"/>
    <x v="4"/>
    <n v="9.77"/>
    <n v="15573"/>
    <n v="14380.834925394742"/>
    <n v="5764.7927199522082"/>
  </r>
  <r>
    <s v=" 28-02-2022"/>
    <x v="4"/>
    <n v="5.7"/>
    <n v="9132"/>
    <n v="15215.35047761842"/>
    <n v="4499.0501826296404"/>
  </r>
  <r>
    <s v=" 31-03-2022"/>
    <x v="4"/>
    <n v="10.1"/>
    <n v="16555"/>
    <n v="10957.005143285525"/>
    <n v="4026.7261621961957"/>
  </r>
  <r>
    <s v=" 30-04-2022"/>
    <x v="4"/>
    <n v="9.4"/>
    <n v="13500"/>
    <n v="14875.601542985658"/>
    <n v="4822.3769040605739"/>
  </r>
  <r>
    <s v=" 31-01-2016"/>
    <x v="5"/>
    <n v="12.29"/>
    <n v="24209"/>
    <n v="13912.680462895696"/>
    <n v="4838.6285610148698"/>
  </r>
  <r>
    <s v=" 29-02-2016"/>
    <x v="5"/>
    <n v="5.4"/>
    <n v="11408"/>
    <n v="21120.104138868708"/>
    <n v="6812.8315706716739"/>
  </r>
  <r>
    <s v=" 31-03-2016"/>
    <x v="5"/>
    <n v="7.26"/>
    <n v="16715"/>
    <n v="14321.631241660612"/>
    <n v="8210.38859046779"/>
  </r>
  <r>
    <s v=" 31-05-2016"/>
    <x v="5"/>
    <n v="14.58"/>
    <n v="29298"/>
    <n v="15996.989372498185"/>
    <n v="8287.890299060462"/>
  </r>
  <r>
    <s v=" 30-06-2016"/>
    <x v="5"/>
    <n v="7.8"/>
    <n v="16692"/>
    <n v="25307.696811749454"/>
    <n v="9608.504297939091"/>
  </r>
  <r>
    <s v=" 31-07-2016"/>
    <x v="5"/>
    <n v="4.2699999999999996"/>
    <n v="9473"/>
    <n v="19276.709043524836"/>
    <n v="9253.3836924356292"/>
  </r>
  <r>
    <s v=" 31-08-2016"/>
    <x v="5"/>
    <n v="12.5"/>
    <n v="28415"/>
    <n v="12414.11271305745"/>
    <n v="10758.869616507065"/>
  </r>
  <r>
    <s v=" 30-09-2016"/>
    <x v="5"/>
    <n v="11.36"/>
    <n v="25967"/>
    <n v="23614.733813917235"/>
    <n v="11921.567801419411"/>
  </r>
  <r>
    <s v=" 31-10-2016"/>
    <x v="5"/>
    <n v="8.7799999999999994"/>
    <n v="18702"/>
    <n v="25261.320144175166"/>
    <n v="10919.00882543403"/>
  </r>
  <r>
    <s v=" 30-11-2016"/>
    <x v="5"/>
    <n v="18.18"/>
    <n v="38800"/>
    <n v="20669.796043252551"/>
    <n v="10076.147261948392"/>
  </r>
  <r>
    <s v=" 31-12-2016"/>
    <x v="5"/>
    <n v="7.81"/>
    <n v="18267"/>
    <n v="33360.938812975764"/>
    <n v="11214.011064693896"/>
  </r>
  <r>
    <s v=" 31-01-2017"/>
    <x v="5"/>
    <n v="8.02"/>
    <n v="18092"/>
    <n v="22795.181643892727"/>
    <n v="14136.901654380747"/>
  </r>
  <r>
    <s v=" 28-02-2017"/>
    <x v="5"/>
    <n v="8.7899999999999991"/>
    <n v="18775"/>
    <n v="19502.954493167817"/>
    <n v="13888.258853897256"/>
  </r>
  <r>
    <s v=" 31-03-2017"/>
    <x v="5"/>
    <n v="16.11"/>
    <n v="33397"/>
    <n v="18993.386347950345"/>
    <n v="9137.4107238580618"/>
  </r>
  <r>
    <s v=" 30-04-2017"/>
    <x v="5"/>
    <n v="5.76"/>
    <n v="13364"/>
    <n v="29075.915904385103"/>
    <n v="8758.1185490393982"/>
  </r>
  <r>
    <s v=" 31-05-2017"/>
    <x v="5"/>
    <n v="8.4"/>
    <n v="19561"/>
    <n v="18077.574771315529"/>
    <n v="12313.384389464227"/>
  </r>
  <r>
    <s v=" 30-06-2017"/>
    <x v="5"/>
    <n v="7.49"/>
    <n v="16102"/>
    <n v="19115.972431394657"/>
    <n v="12335.976356887717"/>
  </r>
  <r>
    <s v=" 31-07-2017"/>
    <x v="5"/>
    <n v="4.42"/>
    <n v="9398"/>
    <n v="17006.191729418395"/>
    <n v="9276.2938291247574"/>
  </r>
  <r>
    <s v=" 31-08-2017"/>
    <x v="5"/>
    <n v="9.16"/>
    <n v="21120"/>
    <n v="11680.457518825518"/>
    <n v="4801.7066972030916"/>
  </r>
  <r>
    <s v=" 30-09-2017"/>
    <x v="5"/>
    <n v="2.44"/>
    <n v="5322"/>
    <n v="18288.137255647653"/>
    <n v="7212.8028177377109"/>
  </r>
  <r>
    <s v=" 31-10-2017"/>
    <x v="5"/>
    <n v="8.77"/>
    <n v="17778"/>
    <n v="9211.8411766942954"/>
    <n v="10248.743971462751"/>
  </r>
  <r>
    <s v=" 30-11-2017"/>
    <x v="5"/>
    <n v="2.63"/>
    <n v="5671"/>
    <n v="15208.152353008287"/>
    <n v="10497.694263857658"/>
  </r>
  <r>
    <s v=" 31-12-2017"/>
    <x v="5"/>
    <n v="5.71"/>
    <n v="12992"/>
    <n v="8532.145705902487"/>
    <n v="10527.061434273159"/>
  </r>
  <r>
    <s v=" 31-01-2018"/>
    <x v="5"/>
    <n v="10"/>
    <n v="19576"/>
    <n v="11654.043711770746"/>
    <n v="7836.3820800836756"/>
  </r>
  <r>
    <s v=" 28-02-2018"/>
    <x v="5"/>
    <n v="5.75"/>
    <n v="11491"/>
    <n v="17199.413113531224"/>
    <n v="7607.1231259849819"/>
  </r>
  <r>
    <s v=" 31-03-2018"/>
    <x v="5"/>
    <n v="4"/>
    <n v="8360"/>
    <n v="13203.523934059367"/>
    <n v="6197.6789212287713"/>
  </r>
  <r>
    <s v=" 30-04-2018"/>
    <x v="5"/>
    <n v="6.88"/>
    <n v="15224"/>
    <n v="9813.0571802178092"/>
    <n v="6292.935081161947"/>
  </r>
  <r>
    <s v=" 31-05-2018"/>
    <x v="5"/>
    <n v="5.47"/>
    <n v="10994"/>
    <n v="13600.717154065342"/>
    <n v="5333.0418641238766"/>
  </r>
  <r>
    <s v=" 30-06-2018"/>
    <x v="5"/>
    <n v="7.58"/>
    <n v="15373"/>
    <n v="11776.015146219601"/>
    <n v="4454.6979179310201"/>
  </r>
  <r>
    <s v=" 31-07-2018"/>
    <x v="5"/>
    <n v="5.17"/>
    <n v="10552"/>
    <n v="14293.90454386588"/>
    <n v="4041.9292653622956"/>
  </r>
  <r>
    <s v=" 31-08-2018"/>
    <x v="5"/>
    <n v="6.25"/>
    <n v="13150"/>
    <n v="11674.571363159765"/>
    <n v="3353.3626891538902"/>
  </r>
  <r>
    <s v=" 30-09-2018"/>
    <x v="5"/>
    <n v="5.79"/>
    <n v="11755"/>
    <n v="12707.371408947929"/>
    <n v="3115.3939994880234"/>
  </r>
  <r>
    <s v=" 31-10-2018"/>
    <x v="5"/>
    <n v="1.05"/>
    <n v="2084"/>
    <n v="12040.711422684379"/>
    <n v="2386.4723322925697"/>
  </r>
  <r>
    <s v=" 30-11-2018"/>
    <x v="5"/>
    <n v="1.77"/>
    <n v="3644"/>
    <n v="5071.0134268053134"/>
    <n v="5837.2368839375613"/>
  </r>
  <r>
    <s v=" 31-12-2018"/>
    <x v="5"/>
    <n v="7.22"/>
    <n v="15345"/>
    <n v="4072.1040280415937"/>
    <n v="5833.2232649275966"/>
  </r>
  <r>
    <s v=" 31-01-2019"/>
    <x v="5"/>
    <n v="4.46"/>
    <n v="8098"/>
    <n v="11963.131208412478"/>
    <n v="8722.5885544275643"/>
  </r>
  <r>
    <s v=" 28-02-2019"/>
    <x v="5"/>
    <n v="6.25"/>
    <n v="12083"/>
    <n v="9257.539362523743"/>
    <n v="6929.4970999133548"/>
  </r>
  <r>
    <s v=" 31-03-2019"/>
    <x v="5"/>
    <n v="8.74"/>
    <n v="15661"/>
    <n v="11235.361808757123"/>
    <n v="7071.0831482116391"/>
  </r>
  <r>
    <s v=" 30-04-2019"/>
    <x v="5"/>
    <n v="7.25"/>
    <n v="14626"/>
    <n v="14333.308542627135"/>
    <n v="3764.2502782519377"/>
  </r>
  <r>
    <s v=" 31-05-2019"/>
    <x v="5"/>
    <n v="2.91"/>
    <n v="5219"/>
    <n v="14538.192562788139"/>
    <n v="3036.1801386464931"/>
  </r>
  <r>
    <s v=" 30-06-2019"/>
    <x v="5"/>
    <n v="5.45"/>
    <n v="9291"/>
    <n v="8014.7577688364418"/>
    <n v="5958.7272609546508"/>
  </r>
  <r>
    <s v=" 31-07-2019"/>
    <x v="5"/>
    <n v="10.98"/>
    <n v="18385"/>
    <n v="8908.127330650932"/>
    <n v="5433.2866831581223"/>
  </r>
  <r>
    <s v=" 31-08-2019"/>
    <x v="5"/>
    <n v="1.98"/>
    <n v="3635"/>
    <n v="15541.93819919528"/>
    <n v="7709.0263078633225"/>
  </r>
  <r>
    <s v=" 30-09-2019"/>
    <x v="5"/>
    <n v="3.41"/>
    <n v="5554"/>
    <n v="7207.0814597585841"/>
    <n v="8816.9361099933958"/>
  </r>
  <r>
    <s v=" 31-10-2019"/>
    <x v="5"/>
    <n v="7.21"/>
    <n v="12793"/>
    <n v="6049.9244379275751"/>
    <n v="8837.7782121810942"/>
  </r>
  <r>
    <s v=" 30-11-2019"/>
    <x v="5"/>
    <n v="23.71"/>
    <n v="37815"/>
    <n v="10770.07733137827"/>
    <n v="7957.7409614343778"/>
  </r>
  <r>
    <s v=" 31-12-2019"/>
    <x v="5"/>
    <n v="3.54"/>
    <n v="6271"/>
    <n v="29701.523199413481"/>
    <n v="16120.68638427187"/>
  </r>
  <r>
    <s v=" 31-01-2020"/>
    <x v="5"/>
    <n v="5.38"/>
    <n v="8551"/>
    <n v="13300.156959824042"/>
    <n v="21022.894881420754"/>
  </r>
  <r>
    <s v=" 29-02-2020"/>
    <x v="5"/>
    <n v="0"/>
    <n v="0"/>
    <n v="9975.747087947213"/>
    <n v="20840.439465768053"/>
  </r>
  <r>
    <s v=" 30-04-2020"/>
    <x v="5"/>
    <n v="15.91"/>
    <n v="28902"/>
    <n v="2992.7241263841638"/>
    <n v="14956.151902477965"/>
  </r>
  <r>
    <s v=" 31-05-2020"/>
    <x v="5"/>
    <n v="20"/>
    <n v="25708"/>
    <n v="21129.217237915247"/>
    <n v="16262.027324279756"/>
  </r>
  <r>
    <s v=" 31-07-2020"/>
    <x v="5"/>
    <n v="16.36"/>
    <n v="28980"/>
    <n v="24334.365171374571"/>
    <n v="16245.731314617013"/>
  </r>
  <r>
    <s v=" 30-09-2020"/>
    <x v="5"/>
    <n v="1.52"/>
    <n v="2375"/>
    <n v="27586.309551412371"/>
    <n v="15425.495679106865"/>
  </r>
  <r>
    <s v=" 31-10-2020"/>
    <x v="5"/>
    <n v="18"/>
    <n v="26173"/>
    <n v="9938.3928654237116"/>
    <n v="15035.040226533469"/>
  </r>
  <r>
    <s v=" 30-11-2020"/>
    <x v="5"/>
    <n v="14.29"/>
    <n v="21912"/>
    <n v="21302.617859627113"/>
    <n v="17519.080275251417"/>
  </r>
  <r>
    <s v=" 31-12-2020"/>
    <x v="5"/>
    <n v="17.920000000000002"/>
    <n v="26897"/>
    <n v="21729.185357888135"/>
    <n v="17316.119125487072"/>
  </r>
  <r>
    <s v=" 31-01-2021"/>
    <x v="5"/>
    <n v="8.6999999999999993"/>
    <n v="14146"/>
    <n v="25346.65560736644"/>
    <n v="9842.7659320990078"/>
  </r>
  <r>
    <s v=" 28-02-2021"/>
    <x v="5"/>
    <n v="21.67"/>
    <n v="32839"/>
    <n v="17506.196682209931"/>
    <n v="7130.5058446803168"/>
  </r>
  <r>
    <s v=" 31-03-2021"/>
    <x v="5"/>
    <n v="31.82"/>
    <n v="44565"/>
    <n v="28239.159004662979"/>
    <n v="11361.570486983584"/>
  </r>
  <r>
    <s v=" 30-04-2021"/>
    <x v="5"/>
    <n v="15"/>
    <n v="20801"/>
    <n v="39667.24770139889"/>
    <n v="14457.784844411566"/>
  </r>
  <r>
    <s v=" 31-05-2021"/>
    <x v="5"/>
    <n v="16.07"/>
    <n v="25621"/>
    <n v="26460.874310419666"/>
    <n v="16907.229657926418"/>
  </r>
  <r>
    <s v=" 30-06-2021"/>
    <x v="5"/>
    <n v="21.43"/>
    <n v="28177"/>
    <n v="25872.962293125896"/>
    <n v="14412.653877673707"/>
  </r>
  <r>
    <s v=" 31-07-2021"/>
    <x v="5"/>
    <n v="25.37"/>
    <n v="35178"/>
    <n v="27485.788687937766"/>
    <n v="10984.068477307479"/>
  </r>
  <r>
    <s v=" 31-08-2021"/>
    <x v="5"/>
    <n v="12.5"/>
    <n v="20531"/>
    <n v="32870.33660638133"/>
    <n v="4661.3336246693316"/>
  </r>
  <r>
    <s v=" 30-09-2021"/>
    <x v="5"/>
    <n v="18.309999999999999"/>
    <n v="27161"/>
    <n v="24232.800981914399"/>
    <n v="8499.763379249609"/>
  </r>
  <r>
    <s v=" 31-10-2021"/>
    <x v="5"/>
    <n v="11.11"/>
    <n v="15927"/>
    <n v="26282.540294574315"/>
    <n v="8563.56024568672"/>
  </r>
  <r>
    <s v=" 30-11-2021"/>
    <x v="5"/>
    <n v="14.29"/>
    <n v="20377"/>
    <n v="19033.662088372294"/>
    <n v="9452.8794937072325"/>
  </r>
  <r>
    <s v=" 31-01-2022"/>
    <x v="5"/>
    <n v="14.71"/>
    <n v="21669"/>
    <n v="19973.99862651169"/>
    <n v="6261.4194617218136"/>
  </r>
  <r>
    <s v=" 28-02-2022"/>
    <x v="5"/>
    <n v="8.6999999999999993"/>
    <n v="10951"/>
    <n v="21160.499587953505"/>
    <n v="6107.7764964973367"/>
  </r>
  <r>
    <s v=" 30-04-2022"/>
    <x v="5"/>
    <n v="18.09"/>
    <n v="31076"/>
    <n v="14013.849876386052"/>
    <n v="6025.2653672505403"/>
  </r>
  <r>
    <s v=" 31-01-2016"/>
    <x v="6"/>
    <n v="2.31"/>
    <n v="287707"/>
    <n v="25957.354962915811"/>
    <n v="11521.340754346396"/>
  </r>
  <r>
    <s v=" 29-02-2016"/>
    <x v="6"/>
    <n v="4.9000000000000004"/>
    <n v="550355"/>
    <n v="209182.10648887474"/>
    <n v="151556.6203609691"/>
  </r>
  <r>
    <s v=" 31-03-2016"/>
    <x v="6"/>
    <n v="2.4700000000000002"/>
    <n v="300170"/>
    <n v="448003.13194666244"/>
    <n v="248463.90543405825"/>
  </r>
  <r>
    <s v=" 30-04-2016"/>
    <x v="6"/>
    <n v="2.02"/>
    <n v="260536"/>
    <n v="344519.93958399876"/>
    <n v="262530.28704319842"/>
  </r>
  <r>
    <s v=" 31-05-2016"/>
    <x v="6"/>
    <n v="1.48"/>
    <n v="205330"/>
    <n v="285731.1818751996"/>
    <n v="220080.95501122737"/>
  </r>
  <r>
    <s v=" 30-06-2016"/>
    <x v="6"/>
    <n v="2.93"/>
    <n v="336840"/>
    <n v="229450.35456255986"/>
    <n v="108585.27686590693"/>
  </r>
  <r>
    <s v=" 31-07-2016"/>
    <x v="6"/>
    <n v="1.65"/>
    <n v="208516"/>
    <n v="304623.10636876791"/>
    <n v="91378.677494910866"/>
  </r>
  <r>
    <s v=" 31-08-2016"/>
    <x v="6"/>
    <n v="0.8"/>
    <n v="98461"/>
    <n v="237348.13191063036"/>
    <n v="95277.597731900751"/>
  </r>
  <r>
    <s v=" 30-09-2016"/>
    <x v="6"/>
    <n v="1.01"/>
    <n v="132819"/>
    <n v="140127.13957318908"/>
    <n v="115554.81708135699"/>
  </r>
  <r>
    <s v=" 31-10-2016"/>
    <x v="6"/>
    <n v="1.47"/>
    <n v="185489"/>
    <n v="135011.44187195672"/>
    <n v="97603.996176658868"/>
  </r>
  <r>
    <s v=" 30-11-2016"/>
    <x v="6"/>
    <n v="1.72"/>
    <n v="224199"/>
    <n v="170345.73256158701"/>
    <n v="85422.534476081579"/>
  </r>
  <r>
    <s v=" 31-12-2016"/>
    <x v="6"/>
    <n v="6.25"/>
    <n v="740878"/>
    <n v="208043.01976847608"/>
    <n v="42823.541782468332"/>
  </r>
  <r>
    <s v=" 31-01-2017"/>
    <x v="6"/>
    <n v="1.23"/>
    <n v="162628"/>
    <n v="581027.50593054283"/>
    <n v="310570.05352882505"/>
  </r>
  <r>
    <s v=" 28-02-2017"/>
    <x v="6"/>
    <n v="0.91"/>
    <n v="108774"/>
    <n v="288147.85177916283"/>
    <n v="392373.73218868941"/>
  </r>
  <r>
    <s v=" 31-03-2017"/>
    <x v="6"/>
    <n v="5.32"/>
    <n v="637226"/>
    <n v="162586.15553374885"/>
    <n v="404617.61430736218"/>
  </r>
  <r>
    <s v=" 30-04-2017"/>
    <x v="6"/>
    <n v="5.14"/>
    <n v="609325"/>
    <n v="494834.04666012462"/>
    <n v="379699.9285488312"/>
  </r>
  <r>
    <s v=" 31-05-2017"/>
    <x v="6"/>
    <n v="2.7"/>
    <n v="316340"/>
    <n v="574977.71399803739"/>
    <n v="300314.35699597275"/>
  </r>
  <r>
    <s v=" 30-06-2017"/>
    <x v="6"/>
    <n v="3.59"/>
    <n v="421122"/>
    <n v="393931.31419941119"/>
    <n v="319000.85028818302"/>
  </r>
  <r>
    <s v=" 31-07-2017"/>
    <x v="6"/>
    <n v="2.92"/>
    <n v="353925"/>
    <n v="412964.79425982333"/>
    <n v="164053.83150367692"/>
  </r>
  <r>
    <s v=" 31-08-2017"/>
    <x v="6"/>
    <n v="2.2400000000000002"/>
    <n v="275014"/>
    <n v="371636.93827794696"/>
    <n v="153968.06790444048"/>
  </r>
  <r>
    <s v=" 30-09-2017"/>
    <x v="6"/>
    <n v="3.36"/>
    <n v="371102"/>
    <n v="304000.88148338406"/>
    <n v="67233.480999703708"/>
  </r>
  <r>
    <s v=" 31-10-2017"/>
    <x v="6"/>
    <n v="4.8600000000000003"/>
    <n v="551519"/>
    <n v="350971.66444501519"/>
    <n v="75991.775023983471"/>
  </r>
  <r>
    <s v=" 30-11-2017"/>
    <x v="6"/>
    <n v="3.23"/>
    <n v="416282"/>
    <n v="491354.79933350452"/>
    <n v="134235.84482277025"/>
  </r>
  <r>
    <s v=" 31-12-2017"/>
    <x v="6"/>
    <n v="1.47"/>
    <n v="186034"/>
    <n v="438803.8398000513"/>
    <n v="129560.43519551439"/>
  </r>
  <r>
    <s v=" 31-01-2018"/>
    <x v="6"/>
    <n v="3"/>
    <n v="346345"/>
    <n v="261864.95194001537"/>
    <n v="191265.74088643954"/>
  </r>
  <r>
    <s v=" 28-02-2018"/>
    <x v="6"/>
    <n v="11.12"/>
    <n v="1278271"/>
    <n v="321000.98558200459"/>
    <n v="159859.72562690655"/>
  </r>
  <r>
    <s v=" 31-03-2018"/>
    <x v="6"/>
    <n v="5.46"/>
    <n v="693509"/>
    <n v="991089.99567460129"/>
    <n v="573700.08161541168"/>
  </r>
  <r>
    <s v=" 30-04-2018"/>
    <x v="6"/>
    <n v="4.63"/>
    <n v="607544"/>
    <n v="782783.29870238039"/>
    <n v="580820.4564839676"/>
  </r>
  <r>
    <s v=" 31-05-2018"/>
    <x v="6"/>
    <n v="5.71"/>
    <n v="638376"/>
    <n v="660115.78961071407"/>
    <n v="587545.49931621423"/>
  </r>
  <r>
    <s v=" 30-06-2018"/>
    <x v="6"/>
    <n v="6.09"/>
    <n v="703808"/>
    <n v="644897.93688321416"/>
    <n v="199779.77812974239"/>
  </r>
  <r>
    <s v=" 31-07-2018"/>
    <x v="6"/>
    <n v="5.22"/>
    <n v="671686"/>
    <n v="686134.9810649642"/>
    <n v="107473.75772476415"/>
  </r>
  <r>
    <s v=" 31-08-2018"/>
    <x v="6"/>
    <n v="2.5099999999999998"/>
    <n v="335682"/>
    <n v="676020.69431948918"/>
    <n v="37201.196407989788"/>
  </r>
  <r>
    <s v=" 30-09-2018"/>
    <x v="6"/>
    <n v="4.51"/>
    <n v="568610"/>
    <n v="437783.60829584673"/>
    <n v="199590.91115022753"/>
  </r>
  <r>
    <s v=" 31-10-2018"/>
    <x v="6"/>
    <n v="7.94"/>
    <n v="972908"/>
    <n v="529362.08248875407"/>
    <n v="210677.27663517243"/>
  </r>
  <r>
    <s v=" 30-11-2018"/>
    <x v="6"/>
    <n v="5.31"/>
    <n v="734940"/>
    <n v="839844.22474662622"/>
    <n v="331501.10736784182"/>
  </r>
  <r>
    <s v=" 31-12-2018"/>
    <x v="6"/>
    <n v="3.67"/>
    <n v="495003"/>
    <n v="766411.26742398785"/>
    <n v="273772.0597363874"/>
  </r>
  <r>
    <s v=" 31-01-2019"/>
    <x v="6"/>
    <n v="5.91"/>
    <n v="809605"/>
    <n v="576425.48022719636"/>
    <n v="306268.03344819526"/>
  </r>
  <r>
    <s v=" 28-02-2019"/>
    <x v="6"/>
    <n v="5.42"/>
    <n v="721281"/>
    <n v="739651.14406815893"/>
    <n v="215282.78491111554"/>
  </r>
  <r>
    <s v=" 31-03-2019"/>
    <x v="6"/>
    <n v="4.05"/>
    <n v="586827"/>
    <n v="726792.04322044761"/>
    <n v="206859.53226013956"/>
  </r>
  <r>
    <s v=" 30-04-2019"/>
    <x v="6"/>
    <n v="2.73"/>
    <n v="382504"/>
    <n v="628816.51296613424"/>
    <n v="157374.67390303733"/>
  </r>
  <r>
    <s v=" 31-05-2019"/>
    <x v="6"/>
    <n v="2.88"/>
    <n v="401896"/>
    <n v="456397.75388984021"/>
    <n v="163908.03270988961"/>
  </r>
  <r>
    <s v=" 30-06-2019"/>
    <x v="6"/>
    <n v="4.7699999999999996"/>
    <n v="629605"/>
    <n v="418246.52616695198"/>
    <n v="166563.81013940024"/>
  </r>
  <r>
    <s v=" 31-07-2019"/>
    <x v="6"/>
    <n v="4.58"/>
    <n v="656181"/>
    <n v="566197.45785008557"/>
    <n v="190011.13974518792"/>
  </r>
  <r>
    <s v=" 31-08-2019"/>
    <x v="6"/>
    <n v="3.7"/>
    <n v="499772"/>
    <n v="629185.93735502567"/>
    <n v="136308.33123957046"/>
  </r>
  <r>
    <s v=" 30-09-2019"/>
    <x v="6"/>
    <n v="6.29"/>
    <n v="835361"/>
    <n v="538596.18120650761"/>
    <n v="152225.06309257046"/>
  </r>
  <r>
    <s v=" 31-10-2019"/>
    <x v="6"/>
    <n v="4.91"/>
    <n v="678980"/>
    <n v="746331.55436195224"/>
    <n v="194005.46617136875"/>
  </r>
  <r>
    <s v=" 30-11-2019"/>
    <x v="6"/>
    <n v="4.68"/>
    <n v="678030"/>
    <n v="699185.4663085856"/>
    <n v="190921.93581866202"/>
  </r>
  <r>
    <s v=" 31-12-2019"/>
    <x v="6"/>
    <n v="3.46"/>
    <n v="480173"/>
    <n v="684376.63989257556"/>
    <n v="176118.46704537552"/>
  </r>
  <r>
    <s v=" 31-01-2020"/>
    <x v="6"/>
    <n v="5.35"/>
    <n v="765149"/>
    <n v="541434.09196777269"/>
    <n v="124743.61997724425"/>
  </r>
  <r>
    <s v=" 29-02-2020"/>
    <x v="6"/>
    <n v="6.64"/>
    <n v="927810"/>
    <n v="698034.52759033174"/>
    <n v="175304.53538150716"/>
  </r>
  <r>
    <s v=" 31-03-2020"/>
    <x v="6"/>
    <n v="7.59"/>
    <n v="1023406"/>
    <n v="858877.35827709956"/>
    <n v="219502.66083605972"/>
  </r>
  <r>
    <s v=" 30-04-2020"/>
    <x v="6"/>
    <n v="12"/>
    <n v="1030511"/>
    <n v="974047.40748312976"/>
    <n v="208098.37556961426"/>
  </r>
  <r>
    <s v=" 31-05-2020"/>
    <x v="6"/>
    <n v="12.56"/>
    <n v="1474642"/>
    <n v="1013571.9222449388"/>
    <n v="166387.67877878851"/>
  </r>
  <r>
    <s v=" 30-06-2020"/>
    <x v="6"/>
    <n v="1.39"/>
    <n v="184459"/>
    <n v="1336320.9766734815"/>
    <n v="284513.28488499555"/>
  </r>
  <r>
    <s v=" 31-07-2020"/>
    <x v="6"/>
    <n v="0.57999999999999996"/>
    <n v="80592"/>
    <n v="530017.59300204436"/>
    <n v="717068.0505101101"/>
  </r>
  <r>
    <s v=" 31-08-2020"/>
    <x v="6"/>
    <n v="0.95"/>
    <n v="119812"/>
    <n v="215419.67790061329"/>
    <n v="761873.78516226634"/>
  </r>
  <r>
    <s v=" 30-09-2020"/>
    <x v="6"/>
    <n v="3.24"/>
    <n v="486291"/>
    <n v="148494.30337018397"/>
    <n v="715986.54666712065"/>
  </r>
  <r>
    <s v=" 31-10-2020"/>
    <x v="6"/>
    <n v="2.7"/>
    <n v="392427"/>
    <n v="384951.99101105513"/>
    <n v="329257.14366980846"/>
  </r>
  <r>
    <s v=" 30-11-2020"/>
    <x v="6"/>
    <n v="4.58"/>
    <n v="655636"/>
    <n v="390184.49730331649"/>
    <n v="202734.0721955309"/>
  </r>
  <r>
    <s v=" 31-12-2020"/>
    <x v="6"/>
    <n v="1.3"/>
    <n v="153193"/>
    <n v="576000.54919099493"/>
    <n v="248077.26235813991"/>
  </r>
  <r>
    <s v=" 31-01-2021"/>
    <x v="6"/>
    <n v="3.11"/>
    <n v="432075"/>
    <n v="280035.26475729846"/>
    <n v="288262.95848074072"/>
  </r>
  <r>
    <s v=" 28-02-2021"/>
    <x v="6"/>
    <n v="3.03"/>
    <n v="408149"/>
    <n v="386463.07942718954"/>
    <n v="301300.95974484482"/>
  </r>
  <r>
    <s v=" 31-03-2021"/>
    <x v="6"/>
    <n v="2.15"/>
    <n v="308690"/>
    <n v="401643.22382815683"/>
    <n v="259713.03644385189"/>
  </r>
  <r>
    <s v=" 30-04-2021"/>
    <x v="6"/>
    <n v="1.61"/>
    <n v="221205"/>
    <n v="336575.96714844706"/>
    <n v="103644.68480311062"/>
  </r>
  <r>
    <s v=" 31-05-2021"/>
    <x v="6"/>
    <n v="2.34"/>
    <n v="320843"/>
    <n v="255816.29014453411"/>
    <n v="86450.450224209781"/>
  </r>
  <r>
    <s v=" 30-06-2021"/>
    <x v="6"/>
    <n v="1.54"/>
    <n v="218773"/>
    <n v="301334.98704336019"/>
    <n v="93415.264411912227"/>
  </r>
  <r>
    <s v=" 31-07-2021"/>
    <x v="6"/>
    <n v="0.97"/>
    <n v="144733"/>
    <n v="243541.59611300804"/>
    <n v="90102.561487716084"/>
  </r>
  <r>
    <s v=" 31-08-2021"/>
    <x v="6"/>
    <n v="1.19"/>
    <n v="156446"/>
    <n v="174375.5788339024"/>
    <n v="83282.838098050881"/>
  </r>
  <r>
    <s v=" 30-09-2021"/>
    <x v="6"/>
    <n v="0.68"/>
    <n v="98549"/>
    <n v="161824.87365017072"/>
    <n v="75057.955757606949"/>
  </r>
  <r>
    <s v=" 31-10-2021"/>
    <x v="6"/>
    <n v="2.81"/>
    <n v="412658"/>
    <n v="117531.76209505121"/>
    <n v="68528.448226939639"/>
  </r>
  <r>
    <s v=" 30-11-2021"/>
    <x v="6"/>
    <n v="0.77"/>
    <n v="113729"/>
    <n v="324120.12862851535"/>
    <n v="174570.71373637475"/>
  </r>
  <r>
    <s v=" 31-12-2021"/>
    <x v="6"/>
    <n v="1.23"/>
    <n v="170652"/>
    <n v="176846.33858855459"/>
    <n v="212420.7769904671"/>
  </r>
  <r>
    <s v=" 31-01-2022"/>
    <x v="6"/>
    <n v="1.1000000000000001"/>
    <n v="160541"/>
    <n v="172510.30157656636"/>
    <n v="209286.32152791589"/>
  </r>
  <r>
    <s v=" 28-02-2022"/>
    <x v="6"/>
    <n v="2.2000000000000002"/>
    <n v="331390"/>
    <n v="164131.79047296991"/>
    <n v="121718.33745216994"/>
  </r>
  <r>
    <s v=" 31-03-2022"/>
    <x v="6"/>
    <n v="1.53"/>
    <n v="225589"/>
    <n v="281212.53714189096"/>
    <n v="96879.551789784047"/>
  </r>
  <r>
    <s v=" 30-04-2022"/>
    <x v="6"/>
    <n v="1.22"/>
    <n v="175879"/>
    <n v="242276.06114256725"/>
    <n v="102000.8998630143"/>
  </r>
  <r>
    <s v=" 31-01-2016"/>
    <x v="7"/>
    <n v="12.75"/>
    <n v="658720"/>
    <n v="195798.11834277015"/>
    <n v="108747.19347602039"/>
  </r>
  <r>
    <s v=" 29-02-2016"/>
    <x v="7"/>
    <n v="9.5500000000000007"/>
    <n v="487791"/>
    <n v="519843.43550283101"/>
    <n v="271906.36631606321"/>
  </r>
  <r>
    <s v=" 31-03-2016"/>
    <x v="7"/>
    <n v="7.36"/>
    <n v="394118"/>
    <n v="497406.73065084929"/>
    <n v="270636.65486349241"/>
  </r>
  <r>
    <s v=" 30-04-2016"/>
    <x v="7"/>
    <n v="12.03"/>
    <n v="604925"/>
    <n v="425104.61919525475"/>
    <n v="274464.68444239913"/>
  </r>
  <r>
    <s v=" 31-05-2016"/>
    <x v="7"/>
    <n v="7.1"/>
    <n v="380299"/>
    <n v="550978.88575857645"/>
    <n v="121149.06775523894"/>
  </r>
  <r>
    <s v=" 30-06-2016"/>
    <x v="7"/>
    <n v="10.31"/>
    <n v="497289"/>
    <n v="431502.96572757291"/>
    <n v="155065.09884001192"/>
  </r>
  <r>
    <s v=" 31-07-2016"/>
    <x v="7"/>
    <n v="8.6300000000000008"/>
    <n v="429452"/>
    <n v="477553.18971827184"/>
    <n v="148093.20833022386"/>
  </r>
  <r>
    <s v=" 31-08-2016"/>
    <x v="7"/>
    <n v="17.059999999999999"/>
    <n v="847783"/>
    <n v="443882.3569154815"/>
    <n v="109198.82502445839"/>
  </r>
  <r>
    <s v=" 30-09-2016"/>
    <x v="7"/>
    <n v="3.41"/>
    <n v="179607"/>
    <n v="726612.80707464437"/>
    <n v="237891.61134271053"/>
  </r>
  <r>
    <s v=" 31-10-2016"/>
    <x v="7"/>
    <n v="8.5299999999999994"/>
    <n v="423671"/>
    <n v="343708.74212239333"/>
    <n v="393558.46956955193"/>
  </r>
  <r>
    <s v=" 30-11-2016"/>
    <x v="7"/>
    <n v="4.91"/>
    <n v="250911"/>
    <n v="399682.32263671793"/>
    <n v="395282.61836410814"/>
  </r>
  <r>
    <s v=" 31-12-2016"/>
    <x v="7"/>
    <n v="18.79"/>
    <n v="852820"/>
    <n v="295542.39679101534"/>
    <n v="330525.95566124929"/>
  </r>
  <r>
    <s v=" 31-01-2017"/>
    <x v="7"/>
    <n v="5.32"/>
    <n v="270537"/>
    <n v="685636.71903730463"/>
    <n v="336196.96417542396"/>
  </r>
  <r>
    <s v=" 28-02-2017"/>
    <x v="7"/>
    <n v="8.32"/>
    <n v="409404"/>
    <n v="395066.91571119137"/>
    <n v="410284.05209979351"/>
  </r>
  <r>
    <s v=" 31-03-2017"/>
    <x v="7"/>
    <n v="4.49"/>
    <n v="207428"/>
    <n v="405102.87471335742"/>
    <n v="401277.81555472023"/>
  </r>
  <r>
    <s v=" 30-04-2017"/>
    <x v="7"/>
    <n v="1.92"/>
    <n v="82426"/>
    <n v="266730.46241400717"/>
    <n v="265574.02284089907"/>
  </r>
  <r>
    <s v=" 31-05-2017"/>
    <x v="7"/>
    <n v="0.92"/>
    <n v="44185"/>
    <n v="137717.33872420213"/>
    <n v="156257.31230309632"/>
  </r>
  <r>
    <s v=" 30-06-2017"/>
    <x v="7"/>
    <n v="4.01"/>
    <n v="198473"/>
    <n v="72244.701617260638"/>
    <n v="165117.92689456488"/>
  </r>
  <r>
    <s v=" 31-07-2017"/>
    <x v="7"/>
    <n v="6.83"/>
    <n v="324437"/>
    <n v="160604.51048517818"/>
    <n v="139821.33428717396"/>
  </r>
  <r>
    <s v=" 31-08-2017"/>
    <x v="7"/>
    <n v="0.41"/>
    <n v="18475"/>
    <n v="275287.25314555346"/>
    <n v="131050.83787147257"/>
  </r>
  <r>
    <s v=" 30-09-2017"/>
    <x v="7"/>
    <n v="10.220000000000001"/>
    <n v="528465"/>
    <n v="95518.675943666036"/>
    <n v="190374.36915975314"/>
  </r>
  <r>
    <s v=" 31-10-2017"/>
    <x v="7"/>
    <n v="14.89"/>
    <n v="744046"/>
    <n v="398581.10278309981"/>
    <n v="305633.84274880955"/>
  </r>
  <r>
    <s v=" 30-11-2017"/>
    <x v="7"/>
    <n v="15.67"/>
    <n v="753415"/>
    <n v="640406.5308349299"/>
    <n v="352486.90192623774"/>
  </r>
  <r>
    <s v=" 31-12-2017"/>
    <x v="7"/>
    <n v="22.05"/>
    <n v="1031232"/>
    <n v="719512.45925047901"/>
    <n v="326373.72689704876"/>
  </r>
  <r>
    <s v=" 31-01-2018"/>
    <x v="7"/>
    <n v="10.59"/>
    <n v="529652"/>
    <n v="937716.13777514361"/>
    <n v="276457.3393233323"/>
  </r>
  <r>
    <s v=" 28-02-2018"/>
    <x v="7"/>
    <n v="17.43"/>
    <n v="843771"/>
    <n v="652071.24133254308"/>
    <n v="303565.65831589949"/>
  </r>
  <r>
    <s v=" 31-03-2018"/>
    <x v="7"/>
    <n v="12.5"/>
    <n v="598265"/>
    <n v="786261.07239976292"/>
    <n v="316456.532084279"/>
  </r>
  <r>
    <s v=" 30-04-2018"/>
    <x v="7"/>
    <n v="23.72"/>
    <n v="1094441"/>
    <n v="654663.82171992888"/>
    <n v="282021.0756007841"/>
  </r>
  <r>
    <s v=" 31-05-2018"/>
    <x v="7"/>
    <n v="11.25"/>
    <n v="563324"/>
    <n v="962507.84651597857"/>
    <n v="297486.85531010141"/>
  </r>
  <r>
    <s v=" 30-06-2018"/>
    <x v="7"/>
    <n v="15.44"/>
    <n v="750390"/>
    <n v="683079.15395479347"/>
    <n v="359673.10764684214"/>
  </r>
  <r>
    <s v=" 31-07-2018"/>
    <x v="7"/>
    <n v="12.57"/>
    <n v="611861"/>
    <n v="730196.74618643802"/>
    <n v="345100.20759705687"/>
  </r>
  <r>
    <s v=" 31-08-2018"/>
    <x v="7"/>
    <n v="25.09"/>
    <n v="1177108"/>
    <n v="647361.72385593131"/>
    <n v="243503.48535501151"/>
  </r>
  <r>
    <s v=" 30-09-2018"/>
    <x v="7"/>
    <n v="14.01"/>
    <n v="709011"/>
    <n v="1018184.1171567794"/>
    <n v="315787.4896769083"/>
  </r>
  <r>
    <s v=" 31-10-2018"/>
    <x v="7"/>
    <n v="18.670000000000002"/>
    <n v="904100"/>
    <n v="801762.93514703377"/>
    <n v="360657.95535680279"/>
  </r>
  <r>
    <s v=" 30-11-2018"/>
    <x v="7"/>
    <n v="17.34"/>
    <n v="826251"/>
    <n v="873398.88054411008"/>
    <n v="359022.75150918023"/>
  </r>
  <r>
    <s v=" 31-12-2018"/>
    <x v="7"/>
    <n v="25.59"/>
    <n v="1186408"/>
    <n v="840395.36416323297"/>
    <n v="189985.80109660962"/>
  </r>
  <r>
    <s v=" 31-01-2019"/>
    <x v="7"/>
    <n v="14"/>
    <n v="708082"/>
    <n v="1082604.2092489698"/>
    <n v="210095.64618781692"/>
  </r>
  <r>
    <s v=" 28-02-2019"/>
    <x v="7"/>
    <n v="21.05"/>
    <n v="1001947"/>
    <n v="820438.66277469089"/>
    <n v="295643.11369128712"/>
  </r>
  <r>
    <s v=" 31-03-2019"/>
    <x v="7"/>
    <n v="16.010000000000002"/>
    <n v="755536"/>
    <n v="947494.49883240717"/>
    <n v="312483.0159980607"/>
  </r>
  <r>
    <s v=" 30-04-2019"/>
    <x v="7"/>
    <n v="27.78"/>
    <n v="1256035"/>
    <n v="813123.54964972218"/>
    <n v="264613.06781602011"/>
  </r>
  <r>
    <s v=" 31-05-2019"/>
    <x v="7"/>
    <n v="14.54"/>
    <n v="763232"/>
    <n v="1123161.5648949167"/>
    <n v="297749.27629784675"/>
  </r>
  <r>
    <s v=" 30-06-2019"/>
    <x v="7"/>
    <n v="23.08"/>
    <n v="1095187"/>
    <n v="871210.86946847499"/>
    <n v="347643.4523142075"/>
  </r>
  <r>
    <s v=" 31-07-2019"/>
    <x v="7"/>
    <n v="16.22"/>
    <n v="782868"/>
    <n v="1027994.1608405424"/>
    <n v="353970.40911386244"/>
  </r>
  <r>
    <s v=" 31-08-2019"/>
    <x v="7"/>
    <n v="30.94"/>
    <n v="1410340"/>
    <n v="856405.84825216269"/>
    <n v="282725.68180820445"/>
  </r>
  <r>
    <s v=" 30-09-2019"/>
    <x v="7"/>
    <n v="16.29"/>
    <n v="836964"/>
    <n v="1244159.7544756487"/>
    <n v="372869.58678555622"/>
  </r>
  <r>
    <s v=" 31-10-2019"/>
    <x v="7"/>
    <n v="24.17"/>
    <n v="1159877"/>
    <n v="959122.7263426946"/>
    <n v="421401.73297540052"/>
  </r>
  <r>
    <s v=" 30-11-2019"/>
    <x v="7"/>
    <n v="16.59"/>
    <n v="808889"/>
    <n v="1099650.7179028082"/>
    <n v="413502.80342752259"/>
  </r>
  <r>
    <s v=" 31-12-2019"/>
    <x v="7"/>
    <n v="29.56"/>
    <n v="1360789"/>
    <n v="896117.5153708423"/>
    <n v="311262.50307013496"/>
  </r>
  <r>
    <s v=" 31-01-2020"/>
    <x v="7"/>
    <n v="16.21"/>
    <n v="820598"/>
    <n v="1221387.5546112526"/>
    <n v="337028.30920509237"/>
  </r>
  <r>
    <s v=" 29-02-2020"/>
    <x v="7"/>
    <n v="27.19"/>
    <n v="1242612"/>
    <n v="940834.86638337583"/>
    <n v="392043.46370895492"/>
  </r>
  <r>
    <s v=" 31-03-2020"/>
    <x v="7"/>
    <n v="23.92"/>
    <n v="1044383"/>
    <n v="1152078.8599150127"/>
    <n v="394808.51649325632"/>
  </r>
  <r>
    <s v=" 30-04-2020"/>
    <x v="7"/>
    <n v="41.61"/>
    <n v="1681481"/>
    <n v="1076691.7579745038"/>
    <n v="296254.45352612343"/>
  </r>
  <r>
    <s v=" 31-05-2020"/>
    <x v="7"/>
    <n v="23.7"/>
    <n v="1048674"/>
    <n v="1500044.227392351"/>
    <n v="395153.07746343658"/>
  </r>
  <r>
    <s v=" 30-06-2020"/>
    <x v="7"/>
    <n v="25.8"/>
    <n v="1185325"/>
    <n v="1184085.0682177052"/>
    <n v="440114.95001829957"/>
  </r>
  <r>
    <s v=" 31-07-2020"/>
    <x v="7"/>
    <n v="17.62"/>
    <n v="782358"/>
    <n v="1184953.0204653116"/>
    <n v="435701.21523693338"/>
  </r>
  <r>
    <s v=" 31-08-2020"/>
    <x v="7"/>
    <n v="32.01"/>
    <n v="1470543"/>
    <n v="903136.50613959343"/>
    <n v="349198.78298304154"/>
  </r>
  <r>
    <s v=" 30-09-2020"/>
    <x v="7"/>
    <n v="13.32"/>
    <n v="629864"/>
    <n v="1300321.0518418779"/>
    <n v="401677.48970587878"/>
  </r>
  <r>
    <s v=" 31-10-2020"/>
    <x v="7"/>
    <n v="30.51"/>
    <n v="1288271"/>
    <n v="831001.11555256334"/>
    <n v="557836.75573382783"/>
  </r>
  <r>
    <s v=" 30-11-2020"/>
    <x v="7"/>
    <n v="17.170000000000002"/>
    <n v="805520"/>
    <n v="1151090.034665769"/>
    <n v="571710.45552273351"/>
  </r>
  <r>
    <s v=" 31-12-2020"/>
    <x v="7"/>
    <n v="29.01"/>
    <n v="1240160"/>
    <n v="909191.01039973064"/>
    <n v="509256.66562352603"/>
  </r>
  <r>
    <s v=" 31-01-2021"/>
    <x v="7"/>
    <n v="11.07"/>
    <n v="547870"/>
    <n v="1140869.3031199193"/>
    <n v="382123.39549701131"/>
  </r>
  <r>
    <s v=" 28-02-2021"/>
    <x v="7"/>
    <n v="29.8"/>
    <n v="1273395"/>
    <n v="725769.79093597573"/>
    <n v="439926.99941264268"/>
  </r>
  <r>
    <s v=" 31-03-2021"/>
    <x v="7"/>
    <n v="21.52"/>
    <n v="1040483"/>
    <n v="1109107.4372807927"/>
    <n v="503680.45927954145"/>
  </r>
  <r>
    <s v=" 30-04-2021"/>
    <x v="7"/>
    <n v="31"/>
    <n v="1374872"/>
    <n v="1061070.3311842377"/>
    <n v="467707.47855728219"/>
  </r>
  <r>
    <s v=" 31-05-2021"/>
    <x v="7"/>
    <n v="20.420000000000002"/>
    <n v="884287"/>
    <n v="1280731.4993552712"/>
    <n v="366548.84637934185"/>
  </r>
  <r>
    <s v=" 30-06-2021"/>
    <x v="7"/>
    <n v="29.7"/>
    <n v="1278603"/>
    <n v="1003220.3498065813"/>
    <n v="294589.56861635728"/>
  </r>
  <r>
    <s v=" 31-07-2021"/>
    <x v="7"/>
    <n v="21"/>
    <n v="957519"/>
    <n v="1195988.2049419745"/>
    <n v="332403.03470744658"/>
  </r>
  <r>
    <s v=" 31-08-2021"/>
    <x v="7"/>
    <n v="33.57"/>
    <n v="1495464"/>
    <n v="1029059.7614825922"/>
    <n v="310843.69426999794"/>
  </r>
  <r>
    <s v=" 30-09-2021"/>
    <x v="7"/>
    <n v="15.42"/>
    <n v="727470"/>
    <n v="1355542.7284447777"/>
    <n v="341680.20108487963"/>
  </r>
  <r>
    <s v=" 31-10-2021"/>
    <x v="7"/>
    <n v="35.770000000000003"/>
    <n v="1498556"/>
    <n v="915891.81853343325"/>
    <n v="472184.93115470762"/>
  </r>
  <r>
    <s v=" 30-11-2021"/>
    <x v="7"/>
    <n v="23.1"/>
    <n v="1045834"/>
    <n v="1323756.74556003"/>
    <n v="563177.24098403647"/>
  </r>
  <r>
    <s v=" 31-12-2021"/>
    <x v="7"/>
    <n v="30.56"/>
    <n v="1426537"/>
    <n v="1129210.8236680089"/>
    <n v="520004.47212172986"/>
  </r>
  <r>
    <s v=" 31-01-2022"/>
    <x v="7"/>
    <n v="18.46"/>
    <n v="886579"/>
    <n v="1337339.1471004025"/>
    <n v="410341.91271667246"/>
  </r>
  <r>
    <s v=" 28-02-2022"/>
    <x v="7"/>
    <n v="35.76"/>
    <n v="1499009"/>
    <n v="1021807.0441301207"/>
    <n v="350632.10437047546"/>
  </r>
  <r>
    <s v=" 31-03-2022"/>
    <x v="7"/>
    <n v="18.059999999999999"/>
    <n v="808923"/>
    <n v="1355848.4132390362"/>
    <n v="416056.59552205837"/>
  </r>
  <r>
    <s v=" 30-04-2022"/>
    <x v="7"/>
    <n v="31.51"/>
    <n v="1416840"/>
    <n v="973000.62397171091"/>
    <n v="493299.71435450384"/>
  </r>
  <r>
    <s v=" 31-01-2016"/>
    <x v="8"/>
    <n v="3.27"/>
    <n v="65426"/>
    <n v="1283688.1871915131"/>
    <n v="491203.45616519899"/>
  </r>
  <r>
    <s v=" 29-02-2016"/>
    <x v="8"/>
    <n v="3.57"/>
    <n v="70344"/>
    <n v="430904.65615745395"/>
    <n v="812462.0106196804"/>
  </r>
  <r>
    <s v=" 31-03-2016"/>
    <x v="8"/>
    <n v="5.85"/>
    <n v="122882"/>
    <n v="178512.19684723616"/>
    <n v="776994.23747810035"/>
  </r>
  <r>
    <s v=" 30-04-2016"/>
    <x v="8"/>
    <n v="3.18"/>
    <n v="56132"/>
    <n v="139571.05905417085"/>
    <n v="734225.54716077214"/>
  </r>
  <r>
    <s v=" 31-05-2016"/>
    <x v="8"/>
    <n v="4.38"/>
    <n v="89032"/>
    <n v="81163.717716251238"/>
    <n v="216071.57930170686"/>
  </r>
  <r>
    <s v=" 30-06-2016"/>
    <x v="8"/>
    <n v="1.1200000000000001"/>
    <n v="22706"/>
    <n v="86671.51531487536"/>
    <n v="58076.688505241094"/>
  </r>
  <r>
    <s v=" 31-07-2016"/>
    <x v="8"/>
    <n v="9.24"/>
    <n v="186541"/>
    <n v="41895.654594462605"/>
    <n v="60870.281723896871"/>
  </r>
  <r>
    <s v=" 31-08-2016"/>
    <x v="8"/>
    <n v="3.85"/>
    <n v="71816"/>
    <n v="143147.39637833877"/>
    <n v="91425.33012078132"/>
  </r>
  <r>
    <s v=" 30-09-2016"/>
    <x v="8"/>
    <n v="1.9"/>
    <n v="38850"/>
    <n v="93215.418913501635"/>
    <n v="100169.90766737027"/>
  </r>
  <r>
    <s v=" 31-10-2016"/>
    <x v="8"/>
    <n v="0.57999999999999996"/>
    <n v="11674"/>
    <n v="55159.62567405049"/>
    <n v="98261.628371084618"/>
  </r>
  <r>
    <s v=" 30-11-2016"/>
    <x v="8"/>
    <n v="4.24"/>
    <n v="88723"/>
    <n v="24719.687702215146"/>
    <n v="57546.40597867615"/>
  </r>
  <r>
    <s v=" 31-12-2016"/>
    <x v="8"/>
    <n v="1.37"/>
    <n v="28145"/>
    <n v="69522.006310664539"/>
    <n v="54598.603153658121"/>
  </r>
  <r>
    <s v=" 31-01-2017"/>
    <x v="8"/>
    <n v="1.69"/>
    <n v="35566"/>
    <n v="40558.10189319936"/>
    <n v="50660.570718538722"/>
  </r>
  <r>
    <s v=" 28-02-2017"/>
    <x v="8"/>
    <n v="2.33"/>
    <n v="48563"/>
    <n v="37063.630567959801"/>
    <n v="44096.113652008818"/>
  </r>
  <r>
    <s v=" 31-03-2017"/>
    <x v="8"/>
    <n v="2.67"/>
    <n v="59369"/>
    <n v="45113.189170387937"/>
    <n v="24961.391720544474"/>
  </r>
  <r>
    <s v=" 30-04-2017"/>
    <x v="8"/>
    <n v="0"/>
    <n v="0"/>
    <n v="55092.25675111638"/>
    <n v="10960.302931584658"/>
  </r>
  <r>
    <s v=" 31-05-2017"/>
    <x v="8"/>
    <n v="1.95"/>
    <n v="40869"/>
    <n v="16527.677025334913"/>
    <n v="33519.25015905116"/>
  </r>
  <r>
    <s v=" 30-06-2017"/>
    <x v="8"/>
    <n v="1.23"/>
    <n v="25504"/>
    <n v="33566.603107600473"/>
    <n v="35734.599948777803"/>
  </r>
  <r>
    <s v=" 31-07-2017"/>
    <x v="8"/>
    <n v="2.58"/>
    <n v="52010"/>
    <n v="27922.78093228014"/>
    <n v="35084.0055056364"/>
  </r>
  <r>
    <s v=" 31-08-2017"/>
    <x v="8"/>
    <n v="0.69"/>
    <n v="14444"/>
    <n v="44783.834279684044"/>
    <n v="20311.73466614783"/>
  </r>
  <r>
    <s v=" 30-09-2017"/>
    <x v="8"/>
    <n v="4.9000000000000004"/>
    <n v="103520"/>
    <n v="23545.950283905215"/>
    <n v="22845.168967097525"/>
  </r>
  <r>
    <s v=" 31-10-2017"/>
    <x v="8"/>
    <n v="4.6399999999999997"/>
    <n v="93834"/>
    <n v="79527.785085171563"/>
    <n v="51304.802551442226"/>
  </r>
  <r>
    <s v=" 30-11-2017"/>
    <x v="8"/>
    <n v="14.4"/>
    <n v="306644"/>
    <n v="89542.135525551479"/>
    <n v="50070.024157175292"/>
  </r>
  <r>
    <s v=" 31-12-2017"/>
    <x v="8"/>
    <n v="11.11"/>
    <n v="234600"/>
    <n v="241513.44065766543"/>
    <n v="133832.90075247252"/>
  </r>
  <r>
    <s v=" 31-01-2018"/>
    <x v="8"/>
    <n v="12.77"/>
    <n v="259712"/>
    <n v="236674.03219729965"/>
    <n v="125679.06615025183"/>
  </r>
  <r>
    <s v=" 28-02-2018"/>
    <x v="8"/>
    <n v="8.81"/>
    <n v="170806"/>
    <n v="252800.60965918988"/>
    <n v="126110.74918563594"/>
  </r>
  <r>
    <s v=" 31-03-2018"/>
    <x v="8"/>
    <n v="15.1"/>
    <n v="302248"/>
    <n v="195404.38289775696"/>
    <n v="49334.435692756684"/>
  </r>
  <r>
    <s v=" 30-04-2018"/>
    <x v="8"/>
    <n v="16.96"/>
    <n v="346051"/>
    <n v="270194.91486932704"/>
    <n v="78886.886297474251"/>
  </r>
  <r>
    <s v=" 31-05-2018"/>
    <x v="8"/>
    <n v="13.81"/>
    <n v="280345"/>
    <n v="323294.17446079809"/>
    <n v="89242.777821710464"/>
  </r>
  <r>
    <s v=" 30-06-2018"/>
    <x v="8"/>
    <n v="11.11"/>
    <n v="215681"/>
    <n v="293229.75233823946"/>
    <n v="79612.259846723551"/>
  </r>
  <r>
    <s v=" 31-07-2018"/>
    <x v="8"/>
    <n v="17.7"/>
    <n v="346294"/>
    <n v="238945.62570147181"/>
    <n v="67361.181272880436"/>
  </r>
  <r>
    <s v=" 31-08-2018"/>
    <x v="8"/>
    <n v="17.09"/>
    <n v="342975"/>
    <n v="314089.48771044152"/>
    <n v="80378.508820493749"/>
  </r>
  <r>
    <s v=" 30-09-2018"/>
    <x v="8"/>
    <n v="14.53"/>
    <n v="303055"/>
    <n v="334309.34631313244"/>
    <n v="78255.681953420572"/>
  </r>
  <r>
    <s v=" 31-10-2018"/>
    <x v="8"/>
    <n v="12.44"/>
    <n v="246562"/>
    <n v="312431.30389393971"/>
    <n v="66670.534341712395"/>
  </r>
  <r>
    <s v=" 30-11-2018"/>
    <x v="8"/>
    <n v="19.32"/>
    <n v="404626"/>
    <n v="266322.79116818192"/>
    <n v="45276.823280657365"/>
  </r>
  <r>
    <s v=" 31-12-2018"/>
    <x v="8"/>
    <n v="18.670000000000002"/>
    <n v="375880"/>
    <n v="363135.03735045454"/>
    <n v="90265.122338052723"/>
  </r>
  <r>
    <s v=" 31-01-2019"/>
    <x v="8"/>
    <n v="14.29"/>
    <n v="293318"/>
    <n v="372056.51120513637"/>
    <n v="88748.665420177771"/>
  </r>
  <r>
    <s v=" 28-02-2019"/>
    <x v="8"/>
    <n v="13.33"/>
    <n v="265017"/>
    <n v="316939.55336154089"/>
    <n v="92177.301603878557"/>
  </r>
  <r>
    <s v=" 31-03-2019"/>
    <x v="8"/>
    <n v="18.55"/>
    <n v="363126"/>
    <n v="280593.76600846229"/>
    <n v="54948.881600149536"/>
  </r>
  <r>
    <s v=" 30-04-2019"/>
    <x v="8"/>
    <n v="19.18"/>
    <n v="381455"/>
    <n v="338366.32980253868"/>
    <n v="72358.538639235892"/>
  </r>
  <r>
    <s v=" 31-05-2019"/>
    <x v="8"/>
    <n v="13.68"/>
    <n v="279860"/>
    <n v="368528.39894076157"/>
    <n v="61547.14912054981"/>
  </r>
  <r>
    <s v=" 30-06-2019"/>
    <x v="8"/>
    <n v="11.43"/>
    <n v="223694"/>
    <n v="306460.51968222845"/>
    <n v="74230.021145395454"/>
  </r>
  <r>
    <s v=" 31-07-2019"/>
    <x v="8"/>
    <n v="20.59"/>
    <n v="394674"/>
    <n v="248523.95590466852"/>
    <n v="74316.923264292796"/>
  </r>
  <r>
    <s v=" 31-08-2019"/>
    <x v="8"/>
    <n v="18.559999999999999"/>
    <n v="365492"/>
    <n v="350828.98677140055"/>
    <n v="109654.33133274474"/>
  </r>
  <r>
    <s v=" 30-09-2019"/>
    <x v="8"/>
    <n v="15.98"/>
    <n v="325961"/>
    <n v="361093.09603142017"/>
    <n v="97339.844747356023"/>
  </r>
  <r>
    <s v=" 31-10-2019"/>
    <x v="8"/>
    <n v="15.81"/>
    <n v="307814"/>
    <n v="336500.62880942604"/>
    <n v="87195.38121859885"/>
  </r>
  <r>
    <s v=" 30-11-2019"/>
    <x v="8"/>
    <n v="22.86"/>
    <n v="462780"/>
    <n v="316419.98864282778"/>
    <n v="27520.845438520493"/>
  </r>
  <r>
    <s v=" 31-12-2019"/>
    <x v="8"/>
    <n v="19.46"/>
    <n v="374181"/>
    <n v="418871.99659284833"/>
    <n v="88465.510734376585"/>
  </r>
  <r>
    <s v=" 31-01-2020"/>
    <x v="8"/>
    <n v="16.670000000000002"/>
    <n v="340241"/>
    <n v="387588.29897785449"/>
    <n v="89891.52865793927"/>
  </r>
  <r>
    <s v=" 29-02-2020"/>
    <x v="8"/>
    <n v="15.42"/>
    <n v="301070"/>
    <n v="354445.18969335634"/>
    <n v="92484.782210249599"/>
  </r>
  <r>
    <s v=" 31-03-2020"/>
    <x v="8"/>
    <n v="17.71"/>
    <n v="318855"/>
    <n v="317082.5569080069"/>
    <n v="48607.142039560727"/>
  </r>
  <r>
    <s v=" 30-04-2020"/>
    <x v="8"/>
    <n v="2.13"/>
    <n v="20963"/>
    <n v="318323.26707240206"/>
    <n v="41206.064075628754"/>
  </r>
  <r>
    <s v=" 31-05-2020"/>
    <x v="8"/>
    <n v="25.64"/>
    <n v="444098"/>
    <n v="110171.08012172062"/>
    <n v="174427.80824043549"/>
  </r>
  <r>
    <s v=" 30-06-2020"/>
    <x v="8"/>
    <n v="12.85"/>
    <n v="254590"/>
    <n v="343919.92403651617"/>
    <n v="258155.93337314529"/>
  </r>
  <r>
    <s v=" 31-07-2020"/>
    <x v="8"/>
    <n v="24.06"/>
    <n v="484513"/>
    <n v="281388.97721095488"/>
    <n v="263255.35865463078"/>
  </r>
  <r>
    <s v=" 31-08-2020"/>
    <x v="8"/>
    <n v="14.05"/>
    <n v="253164"/>
    <n v="423575.79316328641"/>
    <n v="231478.14279953743"/>
  </r>
  <r>
    <s v=" 30-09-2020"/>
    <x v="8"/>
    <n v="11.36"/>
    <n v="228208"/>
    <n v="304287.53794898593"/>
    <n v="161533.67369427028"/>
  </r>
  <r>
    <s v=" 31-10-2020"/>
    <x v="8"/>
    <n v="13.42"/>
    <n v="256773"/>
    <n v="251031.86138469575"/>
    <n v="159256.23376356147"/>
  </r>
  <r>
    <s v=" 30-11-2020"/>
    <x v="8"/>
    <n v="15.57"/>
    <n v="274044"/>
    <n v="255050.65841540869"/>
    <n v="107798.01484915825"/>
  </r>
  <r>
    <s v=" 31-12-2020"/>
    <x v="8"/>
    <n v="7.02"/>
    <n v="137135"/>
    <n v="268345.99752462259"/>
    <n v="45393.846101574512"/>
  </r>
  <r>
    <s v=" 31-01-2021"/>
    <x v="8"/>
    <n v="11.43"/>
    <n v="230859"/>
    <n v="176498.29925738677"/>
    <n v="76615.998260928114"/>
  </r>
  <r>
    <s v=" 28-02-2021"/>
    <x v="8"/>
    <n v="15.5"/>
    <n v="289422"/>
    <n v="214550.78977721601"/>
    <n v="82728.791201901477"/>
  </r>
  <r>
    <s v=" 31-03-2021"/>
    <x v="8"/>
    <n v="13.84"/>
    <n v="236195"/>
    <n v="266960.63693316479"/>
    <n v="92695.037222170606"/>
  </r>
  <r>
    <s v=" 30-04-2021"/>
    <x v="8"/>
    <n v="10.53"/>
    <n v="188464"/>
    <n v="245424.69107994944"/>
    <n v="56294.784605549321"/>
  </r>
  <r>
    <s v=" 31-05-2021"/>
    <x v="8"/>
    <n v="6.85"/>
    <n v="138849"/>
    <n v="205552.20732398483"/>
    <n v="57145.261875426033"/>
  </r>
  <r>
    <s v=" 30-06-2021"/>
    <x v="8"/>
    <n v="17.190000000000001"/>
    <n v="300994"/>
    <n v="158859.96219719545"/>
    <n v="53666.75759262043"/>
  </r>
  <r>
    <s v=" 31-07-2021"/>
    <x v="8"/>
    <n v="14.62"/>
    <n v="264110"/>
    <n v="258353.78865915863"/>
    <n v="96429.461088993281"/>
  </r>
  <r>
    <s v=" 31-08-2021"/>
    <x v="8"/>
    <n v="4.03"/>
    <n v="75255"/>
    <n v="262383.13659774757"/>
    <n v="90709.309589177981"/>
  </r>
  <r>
    <s v=" 30-09-2021"/>
    <x v="8"/>
    <n v="7.94"/>
    <n v="136725"/>
    <n v="131393.44097932428"/>
    <n v="135710.67039560643"/>
  </r>
  <r>
    <s v=" 31-10-2021"/>
    <x v="8"/>
    <n v="14.58"/>
    <n v="252628"/>
    <n v="135125.5322937973"/>
    <n v="108133.40371525142"/>
  </r>
  <r>
    <s v=" 30-11-2021"/>
    <x v="8"/>
    <n v="13.29"/>
    <n v="223810"/>
    <n v="217377.25968813917"/>
    <n v="127609.03174042115"/>
  </r>
  <r>
    <s v=" 31-12-2021"/>
    <x v="8"/>
    <n v="9.35"/>
    <n v="164857"/>
    <n v="221880.17790644174"/>
    <n v="68011.360782734904"/>
  </r>
  <r>
    <s v=" 31-01-2022"/>
    <x v="8"/>
    <n v="14.4"/>
    <n v="235874"/>
    <n v="181963.9533719325"/>
    <n v="75498.019584438443"/>
  </r>
  <r>
    <s v=" 28-02-2022"/>
    <x v="8"/>
    <n v="12.41"/>
    <n v="201076"/>
    <n v="219700.98601157975"/>
    <n v="45458.098266095403"/>
  </r>
  <r>
    <s v=" 31-03-2022"/>
    <x v="8"/>
    <n v="11.3"/>
    <n v="174646"/>
    <n v="206663.49580347392"/>
    <n v="46564.743636939384"/>
  </r>
  <r>
    <s v=" 30-04-2022"/>
    <x v="8"/>
    <n v="0"/>
    <n v="0"/>
    <n v="184251.24874104216"/>
    <n v="37763.753648604303"/>
  </r>
  <r>
    <s v=" 31-01-2016"/>
    <x v="9"/>
    <n v="11.52"/>
    <n v="282959"/>
    <n v="55275.374622312644"/>
    <n v="108505.81060338105"/>
  </r>
  <r>
    <s v=" 29-02-2016"/>
    <x v="9"/>
    <n v="18.62"/>
    <n v="428212"/>
    <n v="214653.91238669379"/>
    <n v="170111.21456788786"/>
  </r>
  <r>
    <s v=" 31-03-2016"/>
    <x v="9"/>
    <n v="11.52"/>
    <n v="278031"/>
    <n v="364144.5737160081"/>
    <n v="209280.84218167467"/>
  </r>
  <r>
    <s v=" 30-04-2016"/>
    <x v="9"/>
    <n v="5.29"/>
    <n v="138590"/>
    <n v="303865.07211480243"/>
    <n v="186960.27887256516"/>
  </r>
  <r>
    <s v=" 31-05-2016"/>
    <x v="9"/>
    <n v="22.68"/>
    <n v="536686"/>
    <n v="188172.52163444072"/>
    <n v="163644.38459226975"/>
  </r>
  <r>
    <s v=" 30-06-2016"/>
    <x v="9"/>
    <n v="21.38"/>
    <n v="518971"/>
    <n v="432131.95649033214"/>
    <n v="228176.13199978991"/>
  </r>
  <r>
    <s v=" 31-07-2016"/>
    <x v="9"/>
    <n v="17.04"/>
    <n v="411851"/>
    <n v="492919.28694709961"/>
    <n v="228267.76202717738"/>
  </r>
  <r>
    <s v=" 31-08-2016"/>
    <x v="9"/>
    <n v="25"/>
    <n v="666246"/>
    <n v="436171.48608412984"/>
    <n v="212583.10628134149"/>
  </r>
  <r>
    <s v=" 30-09-2016"/>
    <x v="9"/>
    <n v="26.74"/>
    <n v="603496"/>
    <n v="597223.6458252389"/>
    <n v="149496.23025329123"/>
  </r>
  <r>
    <s v=" 31-10-2016"/>
    <x v="9"/>
    <n v="25.76"/>
    <n v="593744"/>
    <n v="601614.29374757165"/>
    <n v="140884.9312134491"/>
  </r>
  <r>
    <s v=" 30-11-2016"/>
    <x v="9"/>
    <n v="34.33"/>
    <n v="740795"/>
    <n v="596105.08812427148"/>
    <n v="132960.60306746338"/>
  </r>
  <r>
    <s v=" 31-12-2016"/>
    <x v="9"/>
    <n v="22.89"/>
    <n v="623223"/>
    <n v="697388.0264372814"/>
    <n v="83738.590365439813"/>
  </r>
  <r>
    <s v=" 31-01-2017"/>
    <x v="9"/>
    <n v="25"/>
    <n v="560082"/>
    <n v="645472.50793118437"/>
    <n v="93981.49333551756"/>
  </r>
  <r>
    <s v=" 28-02-2017"/>
    <x v="9"/>
    <n v="7.05"/>
    <n v="172794"/>
    <n v="585699.15237935528"/>
    <n v="106030.12243350848"/>
  </r>
  <r>
    <s v=" 31-03-2017"/>
    <x v="9"/>
    <n v="22.7"/>
    <n v="550896"/>
    <n v="296665.54571380652"/>
    <n v="247172.44645025121"/>
  </r>
  <r>
    <s v=" 30-04-2017"/>
    <x v="9"/>
    <n v="19.54"/>
    <n v="522978"/>
    <n v="474626.86371414189"/>
    <n v="284262.39497614908"/>
  </r>
  <r>
    <s v=" 31-05-2017"/>
    <x v="9"/>
    <n v="9.85"/>
    <n v="227020"/>
    <n v="508472.65911424253"/>
    <n v="281342.98233539111"/>
  </r>
  <r>
    <s v=" 30-06-2017"/>
    <x v="9"/>
    <n v="8.7899999999999991"/>
    <n v="208113"/>
    <n v="311455.79773427278"/>
    <n v="220746.12536363726"/>
  </r>
  <r>
    <s v=" 31-07-2017"/>
    <x v="9"/>
    <n v="7.78"/>
    <n v="183703"/>
    <n v="239115.83932028181"/>
    <n v="175340.77824449778"/>
  </r>
  <r>
    <s v=" 31-08-2017"/>
    <x v="9"/>
    <n v="6.31"/>
    <n v="172559"/>
    <n v="200326.85179608455"/>
    <n v="176035.90157271916"/>
  </r>
  <r>
    <s v=" 30-09-2017"/>
    <x v="9"/>
    <n v="13.44"/>
    <n v="321405"/>
    <n v="180889.35553882536"/>
    <n v="69573.390982595971"/>
  </r>
  <r>
    <s v=" 31-10-2017"/>
    <x v="9"/>
    <n v="10.99"/>
    <n v="266451"/>
    <n v="279250.30666164763"/>
    <n v="88668.451159819568"/>
  </r>
  <r>
    <s v=" 30-11-2017"/>
    <x v="9"/>
    <n v="12.86"/>
    <n v="321332"/>
    <n v="270290.7919984943"/>
    <n v="83025.141137544313"/>
  </r>
  <r>
    <s v=" 31-12-2017"/>
    <x v="9"/>
    <n v="12.76"/>
    <n v="343652"/>
    <n v="306019.63759954827"/>
    <n v="86628.851051696605"/>
  </r>
  <r>
    <s v=" 31-01-2018"/>
    <x v="9"/>
    <n v="6.87"/>
    <n v="167337"/>
    <n v="332362.2912798645"/>
    <n v="37350.688816097267"/>
  </r>
  <r>
    <s v=" 28-02-2018"/>
    <x v="9"/>
    <n v="15.89"/>
    <n v="358863"/>
    <n v="216844.58738395933"/>
    <n v="102069.82312139081"/>
  </r>
  <r>
    <s v=" 31-03-2018"/>
    <x v="9"/>
    <n v="14.35"/>
    <n v="363048"/>
    <n v="316257.47621518775"/>
    <n v="127565.37014909"/>
  </r>
  <r>
    <s v=" 30-04-2018"/>
    <x v="9"/>
    <n v="10.14"/>
    <n v="282579"/>
    <n v="349010.8428645563"/>
    <n v="128571.54869311897"/>
  </r>
  <r>
    <s v=" 31-05-2018"/>
    <x v="9"/>
    <n v="7.98"/>
    <n v="200442"/>
    <n v="302508.55285936687"/>
    <n v="94466.523849136036"/>
  </r>
  <r>
    <s v=" 30-06-2018"/>
    <x v="9"/>
    <n v="11.44"/>
    <n v="262724"/>
    <n v="231061.96585781005"/>
    <n v="75321.807543880481"/>
  </r>
  <r>
    <s v=" 31-07-2018"/>
    <x v="9"/>
    <n v="8.4600000000000009"/>
    <n v="212820"/>
    <n v="253225.38975734299"/>
    <n v="72648.136853824937"/>
  </r>
  <r>
    <s v=" 31-08-2018"/>
    <x v="9"/>
    <n v="6.99"/>
    <n v="192857"/>
    <n v="224941.61692720291"/>
    <n v="65961.254132149261"/>
  </r>
  <r>
    <s v=" 30-09-2018"/>
    <x v="9"/>
    <n v="13.01"/>
    <n v="309459"/>
    <n v="202482.38507816085"/>
    <n v="34949.976494171184"/>
  </r>
  <r>
    <s v=" 31-10-2018"/>
    <x v="9"/>
    <n v="12.92"/>
    <n v="280422"/>
    <n v="277366.01552344824"/>
    <n v="68571.165720837336"/>
  </r>
  <r>
    <s v=" 30-11-2018"/>
    <x v="9"/>
    <n v="10.58"/>
    <n v="254920"/>
    <n v="279505.20465703448"/>
    <n v="64505.187968673599"/>
  </r>
  <r>
    <s v=" 31-12-2018"/>
    <x v="9"/>
    <n v="8.24"/>
    <n v="222778"/>
    <n v="262295.56139711034"/>
    <n v="63397.601083123678"/>
  </r>
  <r>
    <s v=" 31-01-2019"/>
    <x v="9"/>
    <n v="14.6"/>
    <n v="358269"/>
    <n v="234633.26841913309"/>
    <n v="26928.355488366913"/>
  </r>
  <r>
    <s v=" 28-02-2019"/>
    <x v="9"/>
    <n v="13.3"/>
    <n v="314721"/>
    <n v="321178.28052573989"/>
    <n v="76271.148040699336"/>
  </r>
  <r>
    <s v=" 31-03-2019"/>
    <x v="9"/>
    <n v="13.73"/>
    <n v="354526"/>
    <n v="316658.18415772193"/>
    <n v="75031.38955152627"/>
  </r>
  <r>
    <s v=" 30-04-2019"/>
    <x v="9"/>
    <n v="8.73"/>
    <n v="246901"/>
    <n v="343165.65524731658"/>
    <n v="74747.26766910158"/>
  </r>
  <r>
    <s v=" 31-05-2019"/>
    <x v="9"/>
    <n v="12.78"/>
    <n v="318885"/>
    <n v="275780.39657419495"/>
    <n v="59840.208885379347"/>
  </r>
  <r>
    <s v=" 30-06-2019"/>
    <x v="9"/>
    <n v="12.09"/>
    <n v="293030"/>
    <n v="305953.61897225847"/>
    <n v="64701.525389141912"/>
  </r>
  <r>
    <s v=" 31-07-2019"/>
    <x v="9"/>
    <n v="13.67"/>
    <n v="348491"/>
    <n v="296907.08569167752"/>
    <n v="61351.203774445908"/>
  </r>
  <r>
    <s v=" 31-08-2019"/>
    <x v="9"/>
    <n v="11.32"/>
    <n v="314540"/>
    <n v="333015.82570750325"/>
    <n v="39521.837757558787"/>
  </r>
  <r>
    <s v=" 30-09-2019"/>
    <x v="9"/>
    <n v="20.190000000000001"/>
    <n v="453131"/>
    <n v="320082.74771225097"/>
    <n v="32502.698750937143"/>
  </r>
  <r>
    <s v=" 31-10-2019"/>
    <x v="9"/>
    <n v="19.27"/>
    <n v="477438"/>
    <n v="413216.52431367524"/>
    <n v="83074.452125321302"/>
  </r>
  <r>
    <s v=" 30-11-2019"/>
    <x v="9"/>
    <n v="14.73"/>
    <n v="355836"/>
    <n v="458171.55729410256"/>
    <n v="85960.43956713994"/>
  </r>
  <r>
    <s v=" 31-01-2020"/>
    <x v="9"/>
    <n v="22.19"/>
    <n v="526677"/>
    <n v="386536.66718823079"/>
    <n v="103760.62461719001"/>
  </r>
  <r>
    <s v=" 29-02-2020"/>
    <x v="9"/>
    <n v="21.23"/>
    <n v="459289"/>
    <n v="484634.9001564692"/>
    <n v="106827.39521710898"/>
  </r>
  <r>
    <s v=" 31-03-2020"/>
    <x v="9"/>
    <n v="16"/>
    <n v="377761"/>
    <n v="466892.77004694077"/>
    <n v="101249.35196834544"/>
  </r>
  <r>
    <s v=" 31-05-2020"/>
    <x v="9"/>
    <n v="20.87"/>
    <n v="481900"/>
    <n v="404500.53101408225"/>
    <n v="96998.625363173531"/>
  </r>
  <r>
    <s v=" 30-06-2020"/>
    <x v="9"/>
    <n v="18.97"/>
    <n v="388812"/>
    <n v="458680.15930422465"/>
    <n v="69707.878286805993"/>
  </r>
  <r>
    <s v=" 31-07-2020"/>
    <x v="9"/>
    <n v="12.16"/>
    <n v="298623"/>
    <n v="409772.44779126736"/>
    <n v="79197.453485078018"/>
  </r>
  <r>
    <s v=" 31-08-2020"/>
    <x v="9"/>
    <n v="9.86"/>
    <n v="236443"/>
    <n v="331967.83433738019"/>
    <n v="87989.463816539283"/>
  </r>
  <r>
    <s v=" 30-09-2020"/>
    <x v="9"/>
    <n v="16.670000000000002"/>
    <n v="379423"/>
    <n v="265100.450301214"/>
    <n v="93738.560909315071"/>
  </r>
  <r>
    <s v=" 31-10-2020"/>
    <x v="9"/>
    <n v="18.989999999999998"/>
    <n v="399545"/>
    <n v="345126.23509036418"/>
    <n v="107313.93057927287"/>
  </r>
  <r>
    <s v=" 30-11-2020"/>
    <x v="9"/>
    <n v="6.19"/>
    <n v="127616"/>
    <n v="383219.37052710925"/>
    <n v="91571.540919482795"/>
  </r>
  <r>
    <s v=" 31-01-2021"/>
    <x v="9"/>
    <n v="20.350000000000001"/>
    <n v="458000"/>
    <n v="204297.01115813275"/>
    <n v="164685.6909071948"/>
  </r>
  <r>
    <s v=" 28-02-2021"/>
    <x v="9"/>
    <n v="13.41"/>
    <n v="270448"/>
    <n v="381889.10334743984"/>
    <n v="210285.27571405272"/>
  </r>
  <r>
    <s v=" 31-03-2021"/>
    <x v="9"/>
    <n v="9.33"/>
    <n v="195696"/>
    <n v="303880.33100423194"/>
    <n v="217652.17595007722"/>
  </r>
  <r>
    <s v=" 30-04-2021"/>
    <x v="9"/>
    <n v="10.53"/>
    <n v="284368"/>
    <n v="228151.29930126958"/>
    <n v="171744.16587609277"/>
  </r>
  <r>
    <s v=" 31-05-2021"/>
    <x v="9"/>
    <n v="9.0500000000000007"/>
    <n v="214221"/>
    <n v="267502.98979038082"/>
    <n v="95364.714696751835"/>
  </r>
  <r>
    <s v=" 30-06-2021"/>
    <x v="9"/>
    <n v="6.67"/>
    <n v="151030"/>
    <n v="230205.59693711423"/>
    <n v="76818.264643043716"/>
  </r>
  <r>
    <s v=" 31-07-2021"/>
    <x v="9"/>
    <n v="14.98"/>
    <n v="343823"/>
    <n v="174782.67908113427"/>
    <n v="63948.059714691517"/>
  </r>
  <r>
    <s v=" 31-08-2021"/>
    <x v="9"/>
    <n v="11.71"/>
    <n v="310783"/>
    <n v="293110.90372434026"/>
    <n v="112074.93874297342"/>
  </r>
  <r>
    <s v=" 30-09-2021"/>
    <x v="9"/>
    <n v="21.34"/>
    <n v="494030"/>
    <n v="305481.37111730204"/>
    <n v="108252.34136571469"/>
  </r>
  <r>
    <s v=" 31-10-2021"/>
    <x v="9"/>
    <n v="21.92"/>
    <n v="464823"/>
    <n v="437465.41133519064"/>
    <n v="146557.74577127688"/>
  </r>
  <r>
    <s v=" 30-11-2021"/>
    <x v="9"/>
    <n v="22.71"/>
    <n v="529547"/>
    <n v="456615.72340055718"/>
    <n v="110470.69912858409"/>
  </r>
  <r>
    <s v=" 31-12-2021"/>
    <x v="9"/>
    <n v="11.54"/>
    <n v="333058"/>
    <n v="507667.61702016712"/>
    <n v="117782.27684662168"/>
  </r>
  <r>
    <s v=" 31-01-2022"/>
    <x v="9"/>
    <n v="16.190000000000001"/>
    <n v="364592"/>
    <n v="385440.88510605012"/>
    <n v="110387.08728818297"/>
  </r>
  <r>
    <s v=" 28-02-2022"/>
    <x v="9"/>
    <n v="9.85"/>
    <n v="219508"/>
    <n v="370846.66553181503"/>
    <n v="109912.33699714081"/>
  </r>
  <r>
    <s v=" 31-03-2022"/>
    <x v="9"/>
    <n v="21.62"/>
    <n v="489898"/>
    <n v="264909.59965954447"/>
    <n v="133948.48020917756"/>
  </r>
  <r>
    <s v=" 30-04-2022"/>
    <x v="9"/>
    <n v="12.94"/>
    <n v="326444"/>
    <n v="422401.47989786335"/>
    <n v="157011.51548307209"/>
  </r>
  <r>
    <s v=" 31-01-2016"/>
    <x v="10"/>
    <n v="13.02"/>
    <n v="749769"/>
    <n v="355231.24396935897"/>
    <n v="166063.2509227097"/>
  </r>
  <r>
    <s v=" 29-02-2016"/>
    <x v="10"/>
    <n v="9.83"/>
    <n v="693396"/>
    <n v="631407.67319080757"/>
    <n v="268009.73811275314"/>
  </r>
  <r>
    <s v=" 31-03-2016"/>
    <x v="10"/>
    <n v="6.52"/>
    <n v="433676"/>
    <n v="674799.50195724226"/>
    <n v="237143.01700496103"/>
  </r>
  <r>
    <s v=" 30-04-2016"/>
    <x v="10"/>
    <n v="5.44"/>
    <n v="433380"/>
    <n v="506013.05058717262"/>
    <n v="269346.82523370069"/>
  </r>
  <r>
    <s v=" 31-05-2016"/>
    <x v="10"/>
    <n v="10.91"/>
    <n v="656113"/>
    <n v="455169.91517615179"/>
    <n v="149731.5997536105"/>
  </r>
  <r>
    <s v=" 30-06-2016"/>
    <x v="10"/>
    <n v="5.09"/>
    <n v="369114"/>
    <n v="595830.07455284544"/>
    <n v="186005.57928213448"/>
  </r>
  <r>
    <s v=" 31-07-2016"/>
    <x v="10"/>
    <n v="1.85"/>
    <n v="132277"/>
    <n v="437128.82236585359"/>
    <n v="179864.63598752482"/>
  </r>
  <r>
    <s v=" 31-08-2016"/>
    <x v="10"/>
    <n v="7.49"/>
    <n v="576173"/>
    <n v="223732.54670975608"/>
    <n v="248135.00048626593"/>
  </r>
  <r>
    <s v=" 30-09-2016"/>
    <x v="10"/>
    <n v="4.46"/>
    <n v="309413"/>
    <n v="470440.86401292682"/>
    <n v="299192.85039132979"/>
  </r>
  <r>
    <s v=" 31-10-2016"/>
    <x v="10"/>
    <n v="3.44"/>
    <n v="251094"/>
    <n v="357721.35920387798"/>
    <n v="284651.17817179923"/>
  </r>
  <r>
    <s v=" 30-11-2016"/>
    <x v="10"/>
    <n v="0.72"/>
    <n v="52553"/>
    <n v="283082.20776116336"/>
    <n v="232029.91174615905"/>
  </r>
  <r>
    <s v=" 31-12-2016"/>
    <x v="10"/>
    <n v="0.77"/>
    <n v="60551"/>
    <n v="121711.762328349"/>
    <n v="173630.91348254404"/>
  </r>
  <r>
    <s v=" 31-01-2017"/>
    <x v="10"/>
    <n v="3.31"/>
    <n v="232978"/>
    <n v="78899.228698504696"/>
    <n v="150835.17296524622"/>
  </r>
  <r>
    <s v=" 28-02-2017"/>
    <x v="10"/>
    <n v="2.38"/>
    <n v="173397"/>
    <n v="186754.3686095514"/>
    <n v="163935.57906014271"/>
  </r>
  <r>
    <s v=" 31-03-2017"/>
    <x v="10"/>
    <n v="0"/>
    <n v="0"/>
    <n v="177404.2105828654"/>
    <n v="96019.661025810608"/>
  </r>
  <r>
    <s v=" 30-04-2017"/>
    <x v="10"/>
    <n v="0.35"/>
    <n v="26504"/>
    <n v="53221.263174859618"/>
    <n v="135881.003080489"/>
  </r>
  <r>
    <s v=" 31-05-2017"/>
    <x v="10"/>
    <n v="1.75"/>
    <n v="124785"/>
    <n v="34519.178952457885"/>
    <n v="103866.07623963946"/>
  </r>
  <r>
    <s v=" 30-06-2017"/>
    <x v="10"/>
    <n v="3.67"/>
    <n v="272153"/>
    <n v="97705.253685737363"/>
    <n v="115951.1169034481"/>
  </r>
  <r>
    <s v=" 31-07-2017"/>
    <x v="10"/>
    <n v="0.51"/>
    <n v="34645"/>
    <n v="219818.67610572118"/>
    <n v="114446.12530949069"/>
  </r>
  <r>
    <s v=" 31-08-2017"/>
    <x v="10"/>
    <n v="1.18"/>
    <n v="86283"/>
    <n v="90197.102831716358"/>
    <n v="155851.66555202287"/>
  </r>
  <r>
    <s v=" 30-09-2017"/>
    <x v="10"/>
    <n v="8.1999999999999993"/>
    <n v="581517"/>
    <n v="87457.230849514905"/>
    <n v="146897.50022562119"/>
  </r>
  <r>
    <s v=" 31-10-2017"/>
    <x v="10"/>
    <n v="7.36"/>
    <n v="538228"/>
    <n v="433299.06925485446"/>
    <n v="304630.741508751"/>
  </r>
  <r>
    <s v=" 30-11-2017"/>
    <x v="10"/>
    <n v="5.7"/>
    <n v="389810"/>
    <n v="506749.32077645633"/>
    <n v="291616.44683918147"/>
  </r>
  <r>
    <s v=" 31-12-2017"/>
    <x v="10"/>
    <n v="6.19"/>
    <n v="446160"/>
    <n v="424891.7962329369"/>
    <n v="299321.42185506265"/>
  </r>
  <r>
    <s v=" 31-01-2018"/>
    <x v="10"/>
    <n v="4.76"/>
    <n v="341938"/>
    <n v="439779.53886988107"/>
    <n v="91537.281553211636"/>
  </r>
  <r>
    <s v=" 28-02-2018"/>
    <x v="10"/>
    <n v="5.99"/>
    <n v="438991"/>
    <n v="371290.4616609643"/>
    <n v="88882.146620422252"/>
  </r>
  <r>
    <s v=" 31-03-2018"/>
    <x v="10"/>
    <n v="6.19"/>
    <n v="433577"/>
    <n v="418680.83849828923"/>
    <n v="69782.199524183845"/>
  </r>
  <r>
    <s v=" 30-04-2018"/>
    <x v="10"/>
    <n v="8.9"/>
    <n v="615992"/>
    <n v="429108.15154948673"/>
    <n v="69229.630571759131"/>
  </r>
  <r>
    <s v=" 31-05-2018"/>
    <x v="10"/>
    <n v="7.45"/>
    <n v="532048"/>
    <n v="559926.845464846"/>
    <n v="115080.88652560092"/>
  </r>
  <r>
    <s v=" 30-06-2018"/>
    <x v="10"/>
    <n v="7.93"/>
    <n v="574076"/>
    <n v="540411.65363945381"/>
    <n v="109429.88388859207"/>
  </r>
  <r>
    <s v=" 31-07-2018"/>
    <x v="10"/>
    <n v="9.1999999999999993"/>
    <n v="640623"/>
    <n v="563976.69609183609"/>
    <n v="110809.28218040519"/>
  </r>
  <r>
    <s v=" 31-08-2018"/>
    <x v="10"/>
    <n v="7.96"/>
    <n v="557671"/>
    <n v="617629.10882755078"/>
    <n v="50941.712257305102"/>
  </r>
  <r>
    <s v=" 30-09-2018"/>
    <x v="10"/>
    <n v="5.88"/>
    <n v="420380"/>
    <n v="575658.43264826515"/>
    <n v="59450.032051692695"/>
  </r>
  <r>
    <s v=" 31-10-2018"/>
    <x v="10"/>
    <n v="7.32"/>
    <n v="542048"/>
    <n v="466963.52979447955"/>
    <n v="105800.16125170582"/>
  </r>
  <r>
    <s v=" 30-11-2018"/>
    <x v="10"/>
    <n v="8.5500000000000007"/>
    <n v="594329"/>
    <n v="519522.65893834387"/>
    <n v="105426.18922880269"/>
  </r>
  <r>
    <s v=" 31-12-2018"/>
    <x v="10"/>
    <n v="9.7799999999999994"/>
    <n v="681720"/>
    <n v="571887.09768150316"/>
    <n v="108543.4751221499"/>
  </r>
  <r>
    <s v=" 31-01-2019"/>
    <x v="10"/>
    <n v="6.2"/>
    <n v="437524"/>
    <n v="648770.12930445094"/>
    <n v="88122.892903000291"/>
  </r>
  <r>
    <s v=" 28-02-2019"/>
    <x v="10"/>
    <n v="5.45"/>
    <n v="407834"/>
    <n v="500897.83879133523"/>
    <n v="144088.14691112994"/>
  </r>
  <r>
    <s v=" 31-03-2019"/>
    <x v="10"/>
    <n v="11.88"/>
    <n v="817325"/>
    <n v="435753.15163740056"/>
    <n v="147590.73104184298"/>
  </r>
  <r>
    <s v=" 30-04-2019"/>
    <x v="10"/>
    <n v="10.71"/>
    <n v="773297"/>
    <n v="702853.4454912201"/>
    <n v="257476.78257760318"/>
  </r>
  <r>
    <s v=" 31-05-2019"/>
    <x v="10"/>
    <n v="7.11"/>
    <n v="500243"/>
    <n v="752163.93364736601"/>
    <n v="230376.68279382621"/>
  </r>
  <r>
    <s v=" 30-06-2019"/>
    <x v="10"/>
    <n v="8.4600000000000009"/>
    <n v="619253"/>
    <n v="575819.28009420983"/>
    <n v="267097.68914789875"/>
  </r>
  <r>
    <s v=" 31-07-2019"/>
    <x v="10"/>
    <n v="9.98"/>
    <n v="694448"/>
    <n v="606222.88402826292"/>
    <n v="153093.587070618"/>
  </r>
  <r>
    <s v=" 31-08-2019"/>
    <x v="10"/>
    <n v="12.06"/>
    <n v="846052"/>
    <n v="667980.46520847885"/>
    <n v="156134.89458674475"/>
  </r>
  <r>
    <s v=" 30-09-2019"/>
    <x v="10"/>
    <n v="6.38"/>
    <n v="489566"/>
    <n v="792630.53956254362"/>
    <n v="117444.49840398232"/>
  </r>
  <r>
    <s v=" 31-10-2019"/>
    <x v="10"/>
    <n v="6.57"/>
    <n v="509913"/>
    <n v="580485.36186876299"/>
    <n v="209237.70989912481"/>
  </r>
  <r>
    <s v=" 30-11-2019"/>
    <x v="10"/>
    <n v="8.07"/>
    <n v="587466"/>
    <n v="531084.70856062882"/>
    <n v="206992.78965139514"/>
  </r>
  <r>
    <s v=" 31-12-2019"/>
    <x v="10"/>
    <n v="15.15"/>
    <n v="1041326"/>
    <n v="570551.61256818858"/>
    <n v="182580.96233759195"/>
  </r>
  <r>
    <s v=" 31-01-2020"/>
    <x v="10"/>
    <n v="6.16"/>
    <n v="484714"/>
    <n v="900093.68377045658"/>
    <n v="276759.72259097733"/>
  </r>
  <r>
    <s v=" 29-02-2020"/>
    <x v="10"/>
    <n v="9.06"/>
    <n v="718676"/>
    <n v="609327.905131137"/>
    <n v="363935.73405910237"/>
  </r>
  <r>
    <s v=" 31-03-2020"/>
    <x v="10"/>
    <n v="5.01"/>
    <n v="358588"/>
    <n v="685871.57153934101"/>
    <n v="367933.78543903411"/>
  </r>
  <r>
    <s v=" 30-04-2020"/>
    <x v="10"/>
    <n v="41.72"/>
    <n v="1785797"/>
    <n v="456773.07146180223"/>
    <n v="311775.46607574355"/>
  </r>
  <r>
    <s v=" 31-05-2020"/>
    <x v="10"/>
    <n v="55.1"/>
    <n v="1826586"/>
    <n v="1387089.8214385405"/>
    <n v="792753.8804021714"/>
  </r>
  <r>
    <s v=" 30-06-2020"/>
    <x v="10"/>
    <n v="21.53"/>
    <n v="1372562"/>
    <n v="1694737.146431562"/>
    <n v="829975.10601157532"/>
  </r>
  <r>
    <s v=" 31-07-2020"/>
    <x v="10"/>
    <n v="8.36"/>
    <n v="577463"/>
    <n v="1469214.5439294684"/>
    <n v="829308.61134952423"/>
  </r>
  <r>
    <s v=" 31-08-2020"/>
    <x v="10"/>
    <n v="6.35"/>
    <n v="450435"/>
    <n v="844988.46317884047"/>
    <n v="603372.33724263369"/>
  </r>
  <r>
    <s v=" 30-09-2020"/>
    <x v="10"/>
    <n v="7.79"/>
    <n v="595185"/>
    <n v="568801.03895365214"/>
    <n v="592927.78548071813"/>
  </r>
  <r>
    <s v=" 31-10-2020"/>
    <x v="10"/>
    <n v="11.32"/>
    <n v="905587"/>
    <n v="587269.81168609567"/>
    <n v="563201.96638136322"/>
  </r>
  <r>
    <s v=" 30-11-2020"/>
    <x v="10"/>
    <n v="8.17"/>
    <n v="588355"/>
    <n v="810091.84350582864"/>
    <n v="293083.82252806192"/>
  </r>
  <r>
    <s v=" 31-12-2020"/>
    <x v="10"/>
    <n v="9.86"/>
    <n v="725641"/>
    <n v="654876.05305174855"/>
    <n v="224491.40558493044"/>
  </r>
  <r>
    <s v=" 31-01-2021"/>
    <x v="10"/>
    <n v="8.5299999999999994"/>
    <n v="651198"/>
    <n v="704411.51591552445"/>
    <n v="227669.8910415303"/>
  </r>
  <r>
    <s v=" 28-02-2021"/>
    <x v="10"/>
    <n v="10.82"/>
    <n v="857156"/>
    <n v="667162.05477465736"/>
    <n v="137848.44789430767"/>
  </r>
  <r>
    <s v=" 31-03-2021"/>
    <x v="10"/>
    <n v="12.77"/>
    <n v="922947"/>
    <n v="800157.81643239711"/>
    <n v="121019.3582517154"/>
  </r>
  <r>
    <s v=" 30-04-2021"/>
    <x v="10"/>
    <n v="14.13"/>
    <n v="1030825"/>
    <n v="886110.24492971902"/>
    <n v="134172.22899390763"/>
  </r>
  <r>
    <s v=" 31-05-2021"/>
    <x v="10"/>
    <n v="12.04"/>
    <n v="861731"/>
    <n v="987410.57347891573"/>
    <n v="155045.41609749963"/>
  </r>
  <r>
    <s v=" 30-06-2021"/>
    <x v="10"/>
    <n v="9.91"/>
    <n v="840687"/>
    <n v="899434.87204367458"/>
    <n v="131421.58514502359"/>
  </r>
  <r>
    <s v=" 31-07-2021"/>
    <x v="10"/>
    <n v="8.4600000000000009"/>
    <n v="655064"/>
    <n v="858311.36161310226"/>
    <n v="115742.57066806138"/>
  </r>
  <r>
    <s v=" 31-08-2021"/>
    <x v="10"/>
    <n v="15.1"/>
    <n v="1138844"/>
    <n v="716038.20848393068"/>
    <n v="142075.28246460197"/>
  </r>
  <r>
    <s v=" 30-09-2021"/>
    <x v="10"/>
    <n v="11.46"/>
    <n v="864553"/>
    <n v="1012002.2625451791"/>
    <n v="272962.47593877377"/>
  </r>
  <r>
    <s v=" 31-10-2021"/>
    <x v="10"/>
    <n v="18.23"/>
    <n v="1394538"/>
    <n v="908787.77876355371"/>
    <n v="283910.49784943037"/>
  </r>
  <r>
    <s v=" 30-11-2021"/>
    <x v="10"/>
    <n v="10.69"/>
    <n v="803342"/>
    <n v="1248812.9336290662"/>
    <n v="381426.83867984591"/>
  </r>
  <r>
    <s v=" 31-12-2021"/>
    <x v="10"/>
    <n v="17.079999999999998"/>
    <n v="1269519"/>
    <n v="936983.28008871968"/>
    <n v="389931.15425021958"/>
  </r>
  <r>
    <s v=" 31-01-2022"/>
    <x v="10"/>
    <n v="5.13"/>
    <n v="414826"/>
    <n v="1169758.2840266158"/>
    <n v="426214.98298257968"/>
  </r>
  <r>
    <s v=" 28-02-2022"/>
    <x v="10"/>
    <n v="13.85"/>
    <n v="1120287"/>
    <n v="641305.68520798464"/>
    <n v="541278.45920281124"/>
  </r>
  <r>
    <s v=" 31-03-2022"/>
    <x v="10"/>
    <n v="14"/>
    <n v="1026194"/>
    <n v="976592.6055623953"/>
    <n v="550734.61800351844"/>
  </r>
  <r>
    <s v=" 30-04-2022"/>
    <x v="10"/>
    <n v="12.85"/>
    <n v="981135"/>
    <n v="1011313.5816687185"/>
    <n v="516980.38380441652"/>
  </r>
  <r>
    <s v=" 31-01-2016"/>
    <x v="11"/>
    <n v="4.42"/>
    <n v="646975"/>
    <n v="990188.57450061548"/>
    <n v="278564.26250901725"/>
  </r>
  <r>
    <s v=" 29-02-2016"/>
    <x v="11"/>
    <n v="4.8499999999999996"/>
    <n v="707280"/>
    <n v="749939.07235018467"/>
    <n v="200969.81767019967"/>
  </r>
  <r>
    <s v=" 31-03-2016"/>
    <x v="11"/>
    <n v="2.4700000000000002"/>
    <n v="346552"/>
    <n v="720077.72170505533"/>
    <n v="200437.93799811063"/>
  </r>
  <r>
    <s v=" 30-04-2016"/>
    <x v="11"/>
    <n v="2.76"/>
    <n v="393405"/>
    <n v="458609.7165115166"/>
    <n v="293902.94256809243"/>
  </r>
  <r>
    <s v=" 31-05-2016"/>
    <x v="11"/>
    <n v="8.58"/>
    <n v="1261915"/>
    <n v="412966.41495345498"/>
    <n v="220297.46275162286"/>
  </r>
  <r>
    <s v=" 30-06-2016"/>
    <x v="11"/>
    <n v="2.62"/>
    <n v="389328"/>
    <n v="1007230.4244860365"/>
    <n v="536807.48252458894"/>
  </r>
  <r>
    <s v=" 31-07-2016"/>
    <x v="11"/>
    <n v="2.4"/>
    <n v="362245"/>
    <n v="574698.72734581097"/>
    <n v="607390.25381644047"/>
  </r>
  <r>
    <s v=" 31-08-2016"/>
    <x v="11"/>
    <n v="2.0299999999999998"/>
    <n v="293403"/>
    <n v="425981.11820374324"/>
    <n v="618507.26013022172"/>
  </r>
  <r>
    <s v=" 30-09-2016"/>
    <x v="11"/>
    <n v="3.39"/>
    <n v="547018"/>
    <n v="333176.43546112295"/>
    <n v="384931.57395191508"/>
  </r>
  <r>
    <s v=" 31-10-2016"/>
    <x v="11"/>
    <n v="4.43"/>
    <n v="688295"/>
    <n v="482865.53063833684"/>
    <n v="190124.30882101724"/>
  </r>
  <r>
    <s v=" 30-11-2016"/>
    <x v="11"/>
    <n v="5.36"/>
    <n v="752381"/>
    <n v="626666.15919150098"/>
    <n v="187533.49837037554"/>
  </r>
  <r>
    <s v=" 31-12-2016"/>
    <x v="11"/>
    <n v="3.51"/>
    <n v="554012"/>
    <n v="714666.54775745026"/>
    <n v="185951.34023551742"/>
  </r>
  <r>
    <s v=" 31-01-2017"/>
    <x v="11"/>
    <n v="5.93"/>
    <n v="934166"/>
    <n v="602208.36432723503"/>
    <n v="167148.01005583006"/>
  </r>
  <r>
    <s v=" 28-02-2017"/>
    <x v="11"/>
    <n v="3.87"/>
    <n v="598589"/>
    <n v="834578.7092981704"/>
    <n v="224951.8295073483"/>
  </r>
  <r>
    <s v=" 31-03-2017"/>
    <x v="11"/>
    <n v="3.03"/>
    <n v="412380"/>
    <n v="669385.91278945107"/>
    <n v="252782.44829051325"/>
  </r>
  <r>
    <s v=" 30-04-2017"/>
    <x v="11"/>
    <n v="0.6"/>
    <n v="95063"/>
    <n v="489481.77383683529"/>
    <n v="278052.18574027071"/>
  </r>
  <r>
    <s v=" 31-05-2017"/>
    <x v="11"/>
    <n v="0.78"/>
    <n v="121009"/>
    <n v="213388.63215105055"/>
    <n v="304033.63369772461"/>
  </r>
  <r>
    <s v=" 30-06-2017"/>
    <x v="11"/>
    <n v="0.94"/>
    <n v="136977"/>
    <n v="148722.88964531515"/>
    <n v="276979.06346873642"/>
  </r>
  <r>
    <s v=" 31-07-2017"/>
    <x v="11"/>
    <n v="1.45"/>
    <n v="191517"/>
    <n v="140500.76689359453"/>
    <n v="233978.72518306444"/>
  </r>
  <r>
    <s v=" 31-08-2017"/>
    <x v="11"/>
    <n v="0.17"/>
    <n v="28072"/>
    <n v="176212.13006807835"/>
    <n v="61304.209752921088"/>
  </r>
  <r>
    <s v=" 30-09-2017"/>
    <x v="11"/>
    <n v="0.8"/>
    <n v="118670"/>
    <n v="72514.039020423501"/>
    <n v="90712.219133760576"/>
  </r>
  <r>
    <s v=" 31-10-2017"/>
    <x v="11"/>
    <n v="0.38"/>
    <n v="59680"/>
    <n v="104823.21170612705"/>
    <n v="94301.867975317189"/>
  </r>
  <r>
    <s v=" 30-11-2017"/>
    <x v="11"/>
    <n v="1.68"/>
    <n v="240553"/>
    <n v="73222.963511838112"/>
    <n v="93298.410907652593"/>
  </r>
  <r>
    <s v=" 31-12-2017"/>
    <x v="11"/>
    <n v="2.29"/>
    <n v="322961"/>
    <n v="190353.9890535514"/>
    <n v="103549.70369862966"/>
  </r>
  <r>
    <s v=" 31-01-2018"/>
    <x v="11"/>
    <n v="0.95"/>
    <n v="144664"/>
    <n v="283178.89671606541"/>
    <n v="125991.89130842951"/>
  </r>
  <r>
    <s v=" 28-02-2018"/>
    <x v="11"/>
    <n v="2.41"/>
    <n v="361739"/>
    <n v="186218.4690148196"/>
    <n v="146935.74227707315"/>
  </r>
  <r>
    <s v=" 31-03-2018"/>
    <x v="11"/>
    <n v="3.63"/>
    <n v="493434"/>
    <n v="309082.84070444584"/>
    <n v="150087.14442142547"/>
  </r>
  <r>
    <s v=" 30-04-2018"/>
    <x v="11"/>
    <n v="0.98"/>
    <n v="140285"/>
    <n v="438128.65221133374"/>
    <n v="167311.27013563344"/>
  </r>
  <r>
    <s v=" 31-05-2018"/>
    <x v="11"/>
    <n v="0.88"/>
    <n v="131134"/>
    <n v="229638.0956634001"/>
    <n v="226203.18881742907"/>
  </r>
  <r>
    <s v=" 30-06-2018"/>
    <x v="11"/>
    <n v="2.0099999999999998"/>
    <n v="297804"/>
    <n v="160685.22869902002"/>
    <n v="210078.75345424231"/>
  </r>
  <r>
    <s v=" 31-07-2018"/>
    <x v="11"/>
    <n v="2.91"/>
    <n v="374232"/>
    <n v="256668.368609706"/>
    <n v="197665.92647540502"/>
  </r>
  <r>
    <s v=" 31-08-2018"/>
    <x v="11"/>
    <n v="0.6"/>
    <n v="83060"/>
    <n v="338962.91058291181"/>
    <n v="118779.65837525613"/>
  </r>
  <r>
    <s v=" 30-09-2018"/>
    <x v="11"/>
    <n v="0.38"/>
    <n v="54794"/>
    <n v="159830.87317487353"/>
    <n v="180839.76748636633"/>
  </r>
  <r>
    <s v=" 31-10-2018"/>
    <x v="11"/>
    <n v="1.65"/>
    <n v="230071"/>
    <n v="86305.061952462056"/>
    <n v="173532.17933746771"/>
  </r>
  <r>
    <s v=" 30-11-2018"/>
    <x v="11"/>
    <n v="1.44"/>
    <n v="186217"/>
    <n v="186941.21858573859"/>
    <n v="179988.60085558076"/>
  </r>
  <r>
    <s v=" 31-12-2018"/>
    <x v="11"/>
    <n v="0.65"/>
    <n v="84762"/>
    <n v="186434.26557572157"/>
    <n v="102797.39646768445"/>
  </r>
  <r>
    <s v=" 31-01-2019"/>
    <x v="11"/>
    <n v="0.98"/>
    <n v="140490"/>
    <n v="115263.67967271646"/>
    <n v="101663.5284038291"/>
  </r>
  <r>
    <s v=" 28-02-2019"/>
    <x v="11"/>
    <n v="1.78"/>
    <n v="241223"/>
    <n v="132922.10390181493"/>
    <n v="60481.791521952298"/>
  </r>
  <r>
    <s v=" 31-03-2019"/>
    <x v="11"/>
    <n v="0.85"/>
    <n v="101388"/>
    <n v="208732.73117054446"/>
    <n v="86991.763825135873"/>
  </r>
  <r>
    <s v=" 30-04-2019"/>
    <x v="11"/>
    <n v="0.24"/>
    <n v="30518"/>
    <n v="133591.41935116332"/>
    <n v="89234.41533960063"/>
  </r>
  <r>
    <s v=" 31-05-2019"/>
    <x v="11"/>
    <n v="5.46"/>
    <n v="759565"/>
    <n v="61440.025805348996"/>
    <n v="106263.98760082851"/>
  </r>
  <r>
    <s v=" 30-06-2019"/>
    <x v="11"/>
    <n v="5.98"/>
    <n v="770732"/>
    <n v="550127.5077416047"/>
    <n v="412118.71294612001"/>
  </r>
  <r>
    <s v=" 31-07-2019"/>
    <x v="11"/>
    <n v="0.52"/>
    <n v="63283"/>
    <n v="704550.65232248139"/>
    <n v="426875.84119023313"/>
  </r>
  <r>
    <s v=" 31-08-2019"/>
    <x v="11"/>
    <n v="0.37"/>
    <n v="46940"/>
    <n v="255663.2956967444"/>
    <n v="561922.00630634779"/>
  </r>
  <r>
    <s v=" 30-09-2019"/>
    <x v="11"/>
    <n v="3.15"/>
    <n v="433141"/>
    <n v="109556.98870902332"/>
    <n v="409656.74984726822"/>
  </r>
  <r>
    <s v=" 31-10-2019"/>
    <x v="11"/>
    <n v="7.13"/>
    <n v="912891"/>
    <n v="336065.79661270697"/>
    <n v="431855.00207239948"/>
  </r>
  <r>
    <s v=" 30-11-2019"/>
    <x v="11"/>
    <n v="1.19"/>
    <n v="137293"/>
    <n v="739843.438983812"/>
    <n v="400416.17591053998"/>
  </r>
  <r>
    <s v=" 31-12-2019"/>
    <x v="11"/>
    <n v="0.41"/>
    <n v="52300"/>
    <n v="318058.13169514359"/>
    <n v="516559.43805966008"/>
  </r>
  <r>
    <s v=" 31-01-2020"/>
    <x v="11"/>
    <n v="2.57"/>
    <n v="358229"/>
    <n v="132027.43950854306"/>
    <n v="505444.2703683133"/>
  </r>
  <r>
    <s v=" 29-02-2020"/>
    <x v="11"/>
    <n v="4.1100000000000003"/>
    <n v="524175"/>
    <n v="290368.53185256291"/>
    <n v="402020.54758865584"/>
  </r>
  <r>
    <s v=" 31-03-2020"/>
    <x v="11"/>
    <n v="2.39"/>
    <n v="307206"/>
    <n v="454033.05955576885"/>
    <n v="242528.34547631888"/>
  </r>
  <r>
    <s v=" 30-04-2020"/>
    <x v="11"/>
    <n v="33.17"/>
    <n v="3094894"/>
    <n v="351254.11786673067"/>
    <n v="206066.9761138694"/>
  </r>
  <r>
    <s v=" 31-05-2020"/>
    <x v="11"/>
    <n v="23.72"/>
    <n v="2520565"/>
    <n v="2271802.0353600192"/>
    <n v="1592040.9807118275"/>
  </r>
  <r>
    <s v=" 30-06-2020"/>
    <x v="11"/>
    <n v="10.92"/>
    <n v="1681266"/>
    <n v="2445936.1106080059"/>
    <n v="1592796.3879946619"/>
  </r>
  <r>
    <s v=" 31-07-2020"/>
    <x v="11"/>
    <n v="4.6100000000000003"/>
    <n v="643440"/>
    <n v="1910667.0331824017"/>
    <n v="1650672.9126294719"/>
  </r>
  <r>
    <s v=" 31-08-2020"/>
    <x v="11"/>
    <n v="0"/>
    <n v="0"/>
    <n v="1023608.1099547205"/>
    <n v="866500.19124098751"/>
  </r>
  <r>
    <s v=" 30-09-2020"/>
    <x v="11"/>
    <n v="2.68"/>
    <n v="312616"/>
    <n v="307082.43298641616"/>
    <n v="1038967.1625305917"/>
  </r>
  <r>
    <s v=" 31-10-2020"/>
    <x v="11"/>
    <n v="1.1100000000000001"/>
    <n v="152318"/>
    <n v="310955.92989592481"/>
    <n v="940508.46828674548"/>
  </r>
  <r>
    <s v=" 30-11-2020"/>
    <x v="11"/>
    <n v="2.13"/>
    <n v="279742"/>
    <n v="199909.37896877743"/>
    <n v="598044.08308268641"/>
  </r>
  <r>
    <s v=" 31-12-2020"/>
    <x v="11"/>
    <n v="1.1200000000000001"/>
    <n v="150962"/>
    <n v="255792.21369063322"/>
    <n v="102583.07291535802"/>
  </r>
  <r>
    <s v=" 31-01-2021"/>
    <x v="11"/>
    <n v="3.82"/>
    <n v="502730"/>
    <n v="182411.06410718994"/>
    <n v="119063.86785363418"/>
  </r>
  <r>
    <s v=" 28-02-2021"/>
    <x v="11"/>
    <n v="2.5299999999999998"/>
    <n v="354933"/>
    <n v="406634.31923215697"/>
    <n v="199972.36623647177"/>
  </r>
  <r>
    <s v=" 31-03-2021"/>
    <x v="11"/>
    <n v="0.98"/>
    <n v="131498"/>
    <n v="370443.39576964709"/>
    <n v="196864.2686423579"/>
  </r>
  <r>
    <s v=" 30-04-2021"/>
    <x v="11"/>
    <n v="1.94"/>
    <n v="279296"/>
    <n v="203181.61873089412"/>
    <n v="232645.76023170279"/>
  </r>
  <r>
    <s v=" 31-05-2021"/>
    <x v="11"/>
    <n v="4.29"/>
    <n v="639801"/>
    <n v="256461.68561926822"/>
    <n v="147830.2265053142"/>
  </r>
  <r>
    <s v=" 30-06-2021"/>
    <x v="11"/>
    <n v="2.79"/>
    <n v="421633"/>
    <n v="524799.20568578038"/>
    <n v="264472.63950824959"/>
  </r>
  <r>
    <s v=" 31-07-2021"/>
    <x v="11"/>
    <n v="2.33"/>
    <n v="321172"/>
    <n v="452582.86170573405"/>
    <n v="233370.73151352198"/>
  </r>
  <r>
    <s v=" 31-08-2021"/>
    <x v="11"/>
    <n v="0.83"/>
    <n v="116592"/>
    <n v="360595.25851172023"/>
    <n v="241427.08389886847"/>
  </r>
  <r>
    <s v=" 30-09-2021"/>
    <x v="11"/>
    <n v="3.79"/>
    <n v="498022"/>
    <n v="189792.97755351604"/>
    <n v="170733.38936695195"/>
  </r>
  <r>
    <s v=" 31-10-2021"/>
    <x v="11"/>
    <n v="0.71"/>
    <n v="113743"/>
    <n v="405553.29326605477"/>
    <n v="239312.58151693296"/>
  </r>
  <r>
    <s v=" 30-11-2021"/>
    <x v="11"/>
    <n v="2.4900000000000002"/>
    <n v="308145"/>
    <n v="201286.08797981642"/>
    <n v="282663.50294928032"/>
  </r>
  <r>
    <s v=" 31-12-2021"/>
    <x v="11"/>
    <n v="1.39"/>
    <n v="184084"/>
    <n v="276087.32639394491"/>
    <n v="252703.51838499948"/>
  </r>
  <r>
    <s v=" 31-01-2022"/>
    <x v="11"/>
    <n v="3.57"/>
    <n v="463681"/>
    <n v="211684.99791818345"/>
    <n v="187115.54932866927"/>
  </r>
  <r>
    <s v=" 28-02-2022"/>
    <x v="11"/>
    <n v="1.71"/>
    <n v="257653"/>
    <n v="388082.19937545498"/>
    <n v="166718.749406405"/>
  </r>
  <r>
    <s v=" 31-03-2022"/>
    <x v="11"/>
    <n v="1.65"/>
    <n v="229774"/>
    <n v="296781.75981263648"/>
    <n v="172219.21416467233"/>
  </r>
  <r>
    <s v=" 30-04-2022"/>
    <x v="11"/>
    <n v="1.56"/>
    <n v="204805"/>
    <n v="249876.32794379094"/>
    <n v="168328.84580491949"/>
  </r>
  <r>
    <s v=" 31-01-2016"/>
    <x v="12"/>
    <n v="20.6"/>
    <n v="1091857"/>
    <n v="218326.39838313728"/>
    <n v="88568.693730623418"/>
  </r>
  <r>
    <s v=" 29-02-2016"/>
    <x v="12"/>
    <n v="23.68"/>
    <n v="1293632"/>
    <n v="829797.81951494107"/>
    <n v="506483.68727888388"/>
  </r>
  <r>
    <s v=" 31-03-2016"/>
    <x v="12"/>
    <n v="26.37"/>
    <n v="1338935"/>
    <n v="1154481.7458544823"/>
    <n v="571614.46318008809"/>
  </r>
  <r>
    <s v=" 30-04-2016"/>
    <x v="12"/>
    <n v="17.39"/>
    <n v="958952"/>
    <n v="1283599.0237563446"/>
    <n v="580867.4151394146"/>
  </r>
  <r>
    <s v=" 31-05-2016"/>
    <x v="12"/>
    <n v="13.1"/>
    <n v="743483"/>
    <n v="1056346.1071269033"/>
    <n v="343783.28444189456"/>
  </r>
  <r>
    <s v=" 30-06-2016"/>
    <x v="12"/>
    <n v="6.56"/>
    <n v="363280"/>
    <n v="837341.93213807093"/>
    <n v="281248.4173584056"/>
  </r>
  <r>
    <s v=" 31-07-2016"/>
    <x v="12"/>
    <n v="12.7"/>
    <n v="655513"/>
    <n v="505498.57964142121"/>
    <n v="377718.47070599801"/>
  </r>
  <r>
    <s v=" 31-08-2016"/>
    <x v="12"/>
    <n v="18.329999999999998"/>
    <n v="1059375"/>
    <n v="610508.6738924263"/>
    <n v="339176.63324542349"/>
  </r>
  <r>
    <s v=" 30-09-2016"/>
    <x v="12"/>
    <n v="5.52"/>
    <n v="308762"/>
    <n v="924715.10216772789"/>
    <n v="386747.12691512523"/>
  </r>
  <r>
    <s v=" 31-10-2016"/>
    <x v="12"/>
    <n v="1.21"/>
    <n v="69475"/>
    <n v="493547.93065031839"/>
    <n v="448472.78962380707"/>
  </r>
  <r>
    <s v=" 30-11-2016"/>
    <x v="12"/>
    <n v="17.399999999999999"/>
    <n v="842607"/>
    <n v="196696.87919509551"/>
    <n v="503559.67977778229"/>
  </r>
  <r>
    <s v=" 31-12-2016"/>
    <x v="12"/>
    <n v="20.92"/>
    <n v="1187721"/>
    <n v="648833.96375852858"/>
    <n v="570507.36446856486"/>
  </r>
  <r>
    <s v=" 31-01-2017"/>
    <x v="12"/>
    <n v="12.27"/>
    <n v="685871"/>
    <n v="1026054.8891275586"/>
    <n v="543886.3154795228"/>
  </r>
  <r>
    <s v=" 28-02-2017"/>
    <x v="12"/>
    <n v="7.67"/>
    <n v="421068"/>
    <n v="787926.16673826752"/>
    <n v="523871.54927178932"/>
  </r>
  <r>
    <s v=" 31-03-2017"/>
    <x v="12"/>
    <n v="11.64"/>
    <n v="582804"/>
    <n v="531125.45002148021"/>
    <n v="424542.5894432856"/>
  </r>
  <r>
    <s v=" 30-04-2017"/>
    <x v="12"/>
    <n v="4.05"/>
    <n v="227303"/>
    <n v="567300.43500644411"/>
    <n v="290390.92355673236"/>
  </r>
  <r>
    <s v=" 31-05-2017"/>
    <x v="12"/>
    <n v="10.23"/>
    <n v="519122"/>
    <n v="329302.2305019332"/>
    <n v="290318.12599365663"/>
  </r>
  <r>
    <s v=" 30-06-2017"/>
    <x v="12"/>
    <n v="4.76"/>
    <n v="250630"/>
    <n v="462176.06915057992"/>
    <n v="226789.530351486"/>
  </r>
  <r>
    <s v=" 31-07-2017"/>
    <x v="12"/>
    <n v="8.52"/>
    <n v="418560"/>
    <n v="314093.82074517396"/>
    <n v="255852.52267424317"/>
  </r>
  <r>
    <s v=" 31-08-2017"/>
    <x v="12"/>
    <n v="4.41"/>
    <n v="249088"/>
    <n v="387220.14622355218"/>
    <n v="174829.88576848313"/>
  </r>
  <r>
    <s v=" 30-09-2017"/>
    <x v="12"/>
    <n v="5.54"/>
    <n v="278626"/>
    <n v="290527.64386706561"/>
    <n v="157845.29535961067"/>
  </r>
  <r>
    <s v=" 31-10-2017"/>
    <x v="12"/>
    <n v="11.6"/>
    <n v="633987"/>
    <n v="282196.49316011963"/>
    <n v="100225.28216500516"/>
  </r>
  <r>
    <s v=" 30-11-2017"/>
    <x v="12"/>
    <n v="11.52"/>
    <n v="605173"/>
    <n v="528449.84794803581"/>
    <n v="218310.7110288172"/>
  </r>
  <r>
    <s v=" 31-12-2017"/>
    <x v="12"/>
    <n v="13.42"/>
    <n v="677443"/>
    <n v="582156.05438441073"/>
    <n v="207994.11200815855"/>
  </r>
  <r>
    <s v=" 31-01-2018"/>
    <x v="12"/>
    <n v="6.56"/>
    <n v="330733"/>
    <n v="648856.91631532321"/>
    <n v="215036.89975459018"/>
  </r>
  <r>
    <s v=" 28-02-2018"/>
    <x v="12"/>
    <n v="7.42"/>
    <n v="409745"/>
    <n v="426170.17489459692"/>
    <n v="196781.4948933087"/>
  </r>
  <r>
    <s v=" 31-03-2018"/>
    <x v="12"/>
    <n v="11.21"/>
    <n v="568311"/>
    <n v="414672.55246837909"/>
    <n v="191965.46087501012"/>
  </r>
  <r>
    <s v=" 30-04-2018"/>
    <x v="12"/>
    <n v="5.91"/>
    <n v="299151"/>
    <n v="522219.46574051364"/>
    <n v="204187.32009443641"/>
  </r>
  <r>
    <s v=" 31-05-2018"/>
    <x v="12"/>
    <n v="4.97"/>
    <n v="258201"/>
    <n v="366071.53972215403"/>
    <n v="156667.4815632049"/>
  </r>
  <r>
    <s v=" 30-06-2018"/>
    <x v="12"/>
    <n v="8.99"/>
    <n v="498371"/>
    <n v="290562.16191664618"/>
    <n v="168325.44500431512"/>
  </r>
  <r>
    <s v=" 31-07-2018"/>
    <x v="12"/>
    <n v="8.3800000000000008"/>
    <n v="419266"/>
    <n v="436028.34857499378"/>
    <n v="186708.42413893118"/>
  </r>
  <r>
    <s v=" 30-09-2018"/>
    <x v="12"/>
    <n v="3.68"/>
    <n v="193906"/>
    <n v="424294.7045724981"/>
    <n v="135525.57305450016"/>
  </r>
  <r>
    <s v=" 31-10-2018"/>
    <x v="12"/>
    <n v="8.2799999999999994"/>
    <n v="445540"/>
    <n v="263022.61137174943"/>
    <n v="179391.97744036844"/>
  </r>
  <r>
    <s v=" 30-11-2018"/>
    <x v="12"/>
    <n v="6.8"/>
    <n v="343437"/>
    <n v="390784.78341152484"/>
    <n v="169973.0651956551"/>
  </r>
  <r>
    <s v=" 31-12-2018"/>
    <x v="12"/>
    <n v="9.31"/>
    <n v="458167"/>
    <n v="357641.33502345742"/>
    <n v="171885.00510540404"/>
  </r>
  <r>
    <s v=" 31-01-2019"/>
    <x v="12"/>
    <n v="6.84"/>
    <n v="357231"/>
    <n v="428009.3005070372"/>
    <n v="123369.11967024891"/>
  </r>
  <r>
    <s v=" 28-02-2019"/>
    <x v="12"/>
    <n v="8.6300000000000008"/>
    <n v="470292"/>
    <n v="378464.49015211116"/>
    <n v="76063.109182715751"/>
  </r>
  <r>
    <s v=" 31-03-2019"/>
    <x v="12"/>
    <n v="6.47"/>
    <n v="312807"/>
    <n v="442743.74704563332"/>
    <n v="88595.087724065655"/>
  </r>
  <r>
    <s v=" 30-04-2019"/>
    <x v="12"/>
    <n v="9.9700000000000006"/>
    <n v="510443"/>
    <n v="351788.02411369001"/>
    <n v="100540.89983737875"/>
  </r>
  <r>
    <s v=" 31-05-2019"/>
    <x v="12"/>
    <n v="6.63"/>
    <n v="343723"/>
    <n v="462846.507234107"/>
    <n v="129726.95835375496"/>
  </r>
  <r>
    <s v=" 30-06-2019"/>
    <x v="12"/>
    <n v="9"/>
    <n v="504506"/>
    <n v="379460.05217023205"/>
    <n v="136925.00329504086"/>
  </r>
  <r>
    <s v=" 31-07-2019"/>
    <x v="12"/>
    <n v="4.95"/>
    <n v="240342"/>
    <n v="466992.21565106953"/>
    <n v="135398.54802013817"/>
  </r>
  <r>
    <s v=" 31-08-2019"/>
    <x v="12"/>
    <n v="10.32"/>
    <n v="540092"/>
    <n v="308337.06469532085"/>
    <n v="164516.68537372909"/>
  </r>
  <r>
    <s v=" 30-09-2019"/>
    <x v="12"/>
    <n v="5.35"/>
    <n v="288927"/>
    <n v="470565.51940859621"/>
    <n v="200596.74254699601"/>
  </r>
  <r>
    <s v=" 31-10-2019"/>
    <x v="12"/>
    <n v="9.14"/>
    <n v="487055"/>
    <n v="343418.55582257884"/>
    <n v="214532.99825877551"/>
  </r>
  <r>
    <s v=" 30-11-2019"/>
    <x v="12"/>
    <n v="5"/>
    <n v="227895"/>
    <n v="443964.06674677366"/>
    <n v="189151.02419932108"/>
  </r>
  <r>
    <s v=" 31-12-2019"/>
    <x v="12"/>
    <n v="10.77"/>
    <n v="545588"/>
    <n v="292715.72002403205"/>
    <n v="182856.79408916525"/>
  </r>
  <r>
    <s v=" 31-01-2020"/>
    <x v="12"/>
    <n v="4.1100000000000003"/>
    <n v="218119"/>
    <n v="469726.31600720959"/>
    <n v="209174.29708339684"/>
  </r>
  <r>
    <s v=" 29-02-2020"/>
    <x v="12"/>
    <n v="8.91"/>
    <n v="463639"/>
    <n v="293601.19480216282"/>
    <n v="240787.92401434772"/>
  </r>
  <r>
    <s v=" 31-03-2020"/>
    <x v="12"/>
    <n v="8.85"/>
    <n v="366563"/>
    <n v="412627.65844064881"/>
    <n v="228154.54312453346"/>
  </r>
  <r>
    <s v=" 30-04-2020"/>
    <x v="12"/>
    <n v="10.71"/>
    <n v="187872"/>
    <n v="380382.39753219462"/>
    <n v="177333.06649926957"/>
  </r>
  <r>
    <s v=" 31-05-2020"/>
    <x v="12"/>
    <n v="15"/>
    <n v="688504"/>
    <n v="245625.11925965839"/>
    <n v="150659.72820869647"/>
  </r>
  <r>
    <s v=" 30-06-2020"/>
    <x v="12"/>
    <n v="10.31"/>
    <n v="509877"/>
    <n v="555640.3357778975"/>
    <n v="280073.74559871131"/>
  </r>
  <r>
    <s v=" 31-07-2020"/>
    <x v="12"/>
    <n v="9.3800000000000008"/>
    <n v="485726"/>
    <n v="523606.0007333692"/>
    <n v="280057.2792991593"/>
  </r>
  <r>
    <s v=" 31-08-2020"/>
    <x v="12"/>
    <n v="14.89"/>
    <n v="722038"/>
    <n v="497090.0002200107"/>
    <n v="257986.35646282948"/>
  </r>
  <r>
    <s v=" 30-09-2020"/>
    <x v="12"/>
    <n v="6.61"/>
    <n v="336447"/>
    <n v="654553.60006600316"/>
    <n v="134326.4431178745"/>
  </r>
  <r>
    <s v=" 31-10-2020"/>
    <x v="12"/>
    <n v="3.59"/>
    <n v="176583"/>
    <n v="431878.98001980095"/>
    <n v="226000.22571237269"/>
  </r>
  <r>
    <s v=" 30-11-2020"/>
    <x v="12"/>
    <n v="6.85"/>
    <n v="320314"/>
    <n v="253171.79400594026"/>
    <n v="268929.63703345699"/>
  </r>
  <r>
    <s v=" 31-12-2020"/>
    <x v="12"/>
    <n v="6.39"/>
    <n v="318749"/>
    <n v="300171.33820178208"/>
    <n v="238660.09458751962"/>
  </r>
  <r>
    <s v=" 31-01-2021"/>
    <x v="12"/>
    <n v="5.4"/>
    <n v="276929"/>
    <n v="313175.70146053459"/>
    <n v="152784.42629830691"/>
  </r>
  <r>
    <s v=" 28-02-2021"/>
    <x v="12"/>
    <n v="4.43"/>
    <n v="220021"/>
    <n v="287803.01043816039"/>
    <n v="45339.565908842567"/>
  </r>
  <r>
    <s v=" 31-03-2021"/>
    <x v="12"/>
    <n v="6.63"/>
    <n v="324163"/>
    <n v="240355.60313144809"/>
    <n v="45655.791248927628"/>
  </r>
  <r>
    <s v=" 30-04-2021"/>
    <x v="12"/>
    <n v="8.5"/>
    <n v="431812"/>
    <n v="299020.78093943442"/>
    <n v="65655.423933571466"/>
  </r>
  <r>
    <s v=" 31-05-2021"/>
    <x v="12"/>
    <n v="21.82"/>
    <n v="896910"/>
    <n v="391974.63428183028"/>
    <n v="98744.769597369828"/>
  </r>
  <r>
    <s v=" 30-06-2021"/>
    <x v="12"/>
    <n v="12.98"/>
    <n v="508902"/>
    <n v="745429.3902845491"/>
    <n v="305295.98271317838"/>
  </r>
  <r>
    <s v=" 31-07-2021"/>
    <x v="12"/>
    <n v="8.4"/>
    <n v="385155"/>
    <n v="579860.21708536474"/>
    <n v="330927.2013436149"/>
  </r>
  <r>
    <s v=" 31-08-2021"/>
    <x v="12"/>
    <n v="8.33"/>
    <n v="416194"/>
    <n v="443566.5651256094"/>
    <n v="340986.3396423285"/>
  </r>
  <r>
    <s v=" 30-09-2021"/>
    <x v="12"/>
    <n v="10.86"/>
    <n v="529386"/>
    <n v="424405.76953768276"/>
    <n v="177580.57817662583"/>
  </r>
  <r>
    <s v=" 31-10-2021"/>
    <x v="12"/>
    <n v="6.16"/>
    <n v="318575"/>
    <n v="497891.93086130475"/>
    <n v="128685.95840227477"/>
  </r>
  <r>
    <s v=" 30-11-2021"/>
    <x v="12"/>
    <n v="7.94"/>
    <n v="392812"/>
    <n v="372370.0792583914"/>
    <n v="121002.29722749746"/>
  </r>
  <r>
    <s v=" 31-12-2021"/>
    <x v="12"/>
    <n v="6.79"/>
    <n v="352958"/>
    <n v="386679.4237775174"/>
    <n v="120544.98828935942"/>
  </r>
  <r>
    <s v=" 31-01-2022"/>
    <x v="12"/>
    <n v="4.43"/>
    <n v="219583"/>
    <n v="363074.42713325517"/>
    <n v="106002.46575545162"/>
  </r>
  <r>
    <s v=" 28-02-2022"/>
    <x v="12"/>
    <n v="5.75"/>
    <n v="298911"/>
    <n v="262630.42813997652"/>
    <n v="85916.230918896428"/>
  </r>
  <r>
    <s v=" 31-03-2022"/>
    <x v="12"/>
    <n v="7.76"/>
    <n v="391941"/>
    <n v="288026.82844199293"/>
    <n v="87641.702358355105"/>
  </r>
  <r>
    <s v=" 30-04-2022"/>
    <x v="12"/>
    <n v="5.15"/>
    <n v="257932"/>
    <n v="360766.74853259791"/>
    <n v="104409.8089354564"/>
  </r>
  <r>
    <s v=" 31-01-2016"/>
    <x v="13"/>
    <n v="2.8"/>
    <n v="515868"/>
    <n v="288782.42455977935"/>
    <n v="86966.316182071139"/>
  </r>
  <r>
    <s v=" 29-02-2016"/>
    <x v="13"/>
    <n v="4.33"/>
    <n v="658922"/>
    <n v="447742.32736793376"/>
    <n v="155928.40144263406"/>
  </r>
  <r>
    <s v=" 31-03-2016"/>
    <x v="13"/>
    <n v="2.91"/>
    <n v="411741"/>
    <n v="595568.09821038006"/>
    <n v="188626.34864705891"/>
  </r>
  <r>
    <s v=" 30-04-2016"/>
    <x v="13"/>
    <n v="7.98"/>
    <n v="1260437"/>
    <n v="466889.12946311396"/>
    <n v="208132.26142884203"/>
  </r>
  <r>
    <s v=" 31-05-2016"/>
    <x v="13"/>
    <n v="5.26"/>
    <n v="957992"/>
    <n v="1022372.6388389341"/>
    <n v="485835.18433142937"/>
  </r>
  <r>
    <s v=" 30-06-2016"/>
    <x v="13"/>
    <n v="2.63"/>
    <n v="417099"/>
    <n v="977306.19165168016"/>
    <n v="471753.99363347015"/>
  </r>
  <r>
    <s v=" 31-07-2016"/>
    <x v="13"/>
    <n v="10.64"/>
    <n v="1466126"/>
    <n v="585161.15749550401"/>
    <n v="562048.39265825925"/>
  </r>
  <r>
    <s v=" 31-08-2016"/>
    <x v="13"/>
    <n v="8.34"/>
    <n v="1262543"/>
    <n v="1201836.5472486513"/>
    <n v="603897.34722730902"/>
  </r>
  <r>
    <s v=" 30-09-2016"/>
    <x v="13"/>
    <n v="7.11"/>
    <n v="1194162"/>
    <n v="1244331.0641745953"/>
    <n v="603770.49301669956"/>
  </r>
  <r>
    <s v=" 31-10-2016"/>
    <x v="13"/>
    <n v="5.78"/>
    <n v="972169"/>
    <n v="1209212.7192523784"/>
    <n v="510653.58843178541"/>
  </r>
  <r>
    <s v=" 30-11-2016"/>
    <x v="13"/>
    <n v="6.17"/>
    <n v="868646"/>
    <n v="1043282.1157757135"/>
    <n v="144212.7285676809"/>
  </r>
  <r>
    <s v=" 31-12-2016"/>
    <x v="13"/>
    <n v="1.37"/>
    <n v="202779"/>
    <n v="921036.83473271399"/>
    <n v="172437.84655191319"/>
  </r>
  <r>
    <s v=" 31-01-2017"/>
    <x v="13"/>
    <n v="2.35"/>
    <n v="383582"/>
    <n v="418256.35041981417"/>
    <n v="448174.74825680646"/>
  </r>
  <r>
    <s v=" 28-02-2017"/>
    <x v="13"/>
    <n v="4.09"/>
    <n v="674443"/>
    <n v="393984.3051259442"/>
    <n v="427237.01488564524"/>
  </r>
  <r>
    <s v=" 31-03-2017"/>
    <x v="13"/>
    <n v="2.44"/>
    <n v="400832"/>
    <n v="590305.3915377832"/>
    <n v="445628.28578028333"/>
  </r>
  <r>
    <s v=" 30-04-2017"/>
    <x v="13"/>
    <n v="1.65"/>
    <n v="237067"/>
    <n v="457674.01746133494"/>
    <n v="196434.51513445468"/>
  </r>
  <r>
    <s v=" 31-05-2017"/>
    <x v="13"/>
    <n v="1.44"/>
    <n v="236326"/>
    <n v="303249.10523840046"/>
    <n v="233255.72646380667"/>
  </r>
  <r>
    <s v=" 30-06-2017"/>
    <x v="13"/>
    <n v="1.72"/>
    <n v="301554"/>
    <n v="256402.93157152011"/>
    <n v="172284.96187882629"/>
  </r>
  <r>
    <s v=" 31-07-2017"/>
    <x v="13"/>
    <n v="0.86"/>
    <n v="144708"/>
    <n v="288008.67947145604"/>
    <n v="135627.89431402503"/>
  </r>
  <r>
    <s v=" 31-08-2017"/>
    <x v="13"/>
    <n v="0.63"/>
    <n v="96694"/>
    <n v="187698.2038414368"/>
    <n v="94960.352660051896"/>
  </r>
  <r>
    <s v=" 30-09-2017"/>
    <x v="13"/>
    <n v="0.82"/>
    <n v="133548"/>
    <n v="123995.26115243105"/>
    <n v="101415.75951502481"/>
  </r>
  <r>
    <s v=" 31-10-2017"/>
    <x v="13"/>
    <n v="0.18"/>
    <n v="28034"/>
    <n v="130682.17834572931"/>
    <n v="98163.307254263156"/>
  </r>
  <r>
    <s v=" 30-11-2017"/>
    <x v="13"/>
    <n v="3.41"/>
    <n v="544195"/>
    <n v="58828.453503718789"/>
    <n v="79392.838581323536"/>
  </r>
  <r>
    <s v=" 31-12-2017"/>
    <x v="13"/>
    <n v="1.5"/>
    <n v="251101"/>
    <n v="398585.03605111566"/>
    <n v="286477.79890415777"/>
  </r>
  <r>
    <s v=" 31-01-2018"/>
    <x v="13"/>
    <n v="2"/>
    <n v="306323"/>
    <n v="295346.21081533469"/>
    <n v="298813.69550571707"/>
  </r>
  <r>
    <s v=" 28-02-2018"/>
    <x v="13"/>
    <n v="2.0299999999999998"/>
    <n v="323325"/>
    <n v="303029.9632446004"/>
    <n v="292946.36326379958"/>
  </r>
  <r>
    <s v=" 31-03-2018"/>
    <x v="13"/>
    <n v="4.2699999999999996"/>
    <n v="693382"/>
    <n v="317236.48897338012"/>
    <n v="86185.68966217534"/>
  </r>
  <r>
    <s v=" 30-04-2018"/>
    <x v="13"/>
    <n v="2.76"/>
    <n v="448808"/>
    <n v="580538.34669201402"/>
    <n v="217575.9054392931"/>
  </r>
  <r>
    <s v=" 31-05-2018"/>
    <x v="13"/>
    <n v="1.58"/>
    <n v="242656"/>
    <n v="488327.10400760418"/>
    <n v="230398.36387004302"/>
  </r>
  <r>
    <s v=" 30-06-2018"/>
    <x v="13"/>
    <n v="2"/>
    <n v="310405"/>
    <n v="316357.33120228123"/>
    <n v="270303.91602132481"/>
  </r>
  <r>
    <s v=" 31-07-2018"/>
    <x v="13"/>
    <n v="3.62"/>
    <n v="560170"/>
    <n v="312190.69936068438"/>
    <n v="160978.88663906098"/>
  </r>
  <r>
    <s v=" 31-08-2018"/>
    <x v="13"/>
    <n v="6.41"/>
    <n v="1042981"/>
    <n v="485776.20980820531"/>
    <n v="201563.43512371881"/>
  </r>
  <r>
    <s v=" 30-09-2018"/>
    <x v="13"/>
    <n v="3.66"/>
    <n v="553196"/>
    <n v="875819.56294246158"/>
    <n v="352139.33890104154"/>
  </r>
  <r>
    <s v=" 31-10-2018"/>
    <x v="13"/>
    <n v="7.31"/>
    <n v="1105927"/>
    <n v="649983.06888273847"/>
    <n v="398353.64318819973"/>
  </r>
  <r>
    <s v=" 30-11-2018"/>
    <x v="13"/>
    <n v="5.97"/>
    <n v="895770"/>
    <n v="969143.82066482143"/>
    <n v="455502.65637755708"/>
  </r>
  <r>
    <s v=" 31-12-2018"/>
    <x v="13"/>
    <n v="6.98"/>
    <n v="1088094"/>
    <n v="917782.1461994464"/>
    <n v="325245.82971823221"/>
  </r>
  <r>
    <s v=" 31-01-2019"/>
    <x v="13"/>
    <n v="4.67"/>
    <n v="712781"/>
    <n v="1037000.4438598338"/>
    <n v="284179.93913868297"/>
  </r>
  <r>
    <s v=" 28-02-2019"/>
    <x v="13"/>
    <n v="6.33"/>
    <n v="1015829"/>
    <n v="810046.83315795008"/>
    <n v="215644.84141037273"/>
  </r>
  <r>
    <s v=" 31-03-2019"/>
    <x v="13"/>
    <n v="4.0599999999999996"/>
    <n v="637643"/>
    <n v="954094.34994738491"/>
    <n v="242535.68501148466"/>
  </r>
  <r>
    <s v=" 30-04-2019"/>
    <x v="13"/>
    <n v="6.3"/>
    <n v="989636"/>
    <n v="732578.40498421551"/>
    <n v="287289.63599505374"/>
  </r>
  <r>
    <s v=" 31-05-2019"/>
    <x v="13"/>
    <n v="3.63"/>
    <n v="557199"/>
    <n v="912518.72149526456"/>
    <n v="263670.4788361353"/>
  </r>
  <r>
    <s v=" 30-06-2019"/>
    <x v="13"/>
    <n v="4.25"/>
    <n v="692529"/>
    <n v="663794.9164485794"/>
    <n v="312235.04422272107"/>
  </r>
  <r>
    <s v=" 31-07-2019"/>
    <x v="13"/>
    <n v="3.92"/>
    <n v="637968"/>
    <n v="683908.7749345738"/>
    <n v="253742.88771399512"/>
  </r>
  <r>
    <s v=" 31-08-2019"/>
    <x v="13"/>
    <n v="4.9400000000000004"/>
    <n v="818022"/>
    <n v="651750.23248037207"/>
    <n v="207515.70771277498"/>
  </r>
  <r>
    <s v=" 30-09-2019"/>
    <x v="13"/>
    <n v="3.32"/>
    <n v="538021"/>
    <n v="768140.46974411153"/>
    <n v="100966.17095712533"/>
  </r>
  <r>
    <s v=" 31-10-2019"/>
    <x v="13"/>
    <n v="2.98"/>
    <n v="508407"/>
    <n v="607056.84092323342"/>
    <n v="166043.99600808759"/>
  </r>
  <r>
    <s v=" 30-11-2019"/>
    <x v="13"/>
    <n v="2.72"/>
    <n v="443535"/>
    <n v="538001.95227697003"/>
    <n v="173525.27399353244"/>
  </r>
  <r>
    <s v=" 31-12-2019"/>
    <x v="13"/>
    <n v="2.94"/>
    <n v="495527"/>
    <n v="471875.08568309096"/>
    <n v="154500.01784464801"/>
  </r>
  <r>
    <s v=" 31-01-2020"/>
    <x v="13"/>
    <n v="3.66"/>
    <n v="592323"/>
    <n v="488431.42570492724"/>
    <n v="80031.67963903003"/>
  </r>
  <r>
    <s v=" 29-02-2020"/>
    <x v="13"/>
    <n v="4.42"/>
    <n v="715070"/>
    <n v="561155.52771147818"/>
    <n v="82212.888958813026"/>
  </r>
  <r>
    <s v=" 31-03-2020"/>
    <x v="13"/>
    <n v="1.19"/>
    <n v="196117"/>
    <n v="668895.65831344342"/>
    <n v="108077.96112100003"/>
  </r>
  <r>
    <s v=" 30-04-2020"/>
    <x v="13"/>
    <n v="12.5"/>
    <n v="1779870"/>
    <n v="337950.59749403305"/>
    <n v="293259.14805056097"/>
  </r>
  <r>
    <s v=" 31-05-2020"/>
    <x v="13"/>
    <n v="22.41"/>
    <n v="2938755"/>
    <n v="1347294.1792482098"/>
    <n v="880594.66420135251"/>
  </r>
  <r>
    <s v=" 30-06-2020"/>
    <x v="13"/>
    <n v="5.09"/>
    <n v="852337"/>
    <n v="2461316.7537744627"/>
    <n v="1269566.6934125971"/>
  </r>
  <r>
    <s v=" 31-07-2020"/>
    <x v="13"/>
    <n v="3.12"/>
    <n v="548019"/>
    <n v="1335030.9261323386"/>
    <n v="1549268.1019723751"/>
  </r>
  <r>
    <s v=" 31-08-2020"/>
    <x v="13"/>
    <n v="4.1900000000000004"/>
    <n v="698838"/>
    <n v="784122.57783970155"/>
    <n v="1383347.5297165478"/>
  </r>
  <r>
    <s v=" 30-09-2020"/>
    <x v="13"/>
    <n v="1.97"/>
    <n v="327303"/>
    <n v="724423.37335191038"/>
    <n v="1035290.1492090612"/>
  </r>
  <r>
    <s v=" 31-10-2020"/>
    <x v="13"/>
    <n v="2.36"/>
    <n v="391874"/>
    <n v="446439.11200557312"/>
    <n v="511326.97367502871"/>
  </r>
  <r>
    <s v=" 30-11-2020"/>
    <x v="13"/>
    <n v="3.43"/>
    <n v="611679"/>
    <n v="408243.53360167192"/>
    <n v="236611.77879713816"/>
  </r>
  <r>
    <s v=" 31-12-2020"/>
    <x v="13"/>
    <n v="4.7"/>
    <n v="816008"/>
    <n v="550648.36008050153"/>
    <n v="259530.30097212584"/>
  </r>
  <r>
    <s v=" 31-01-2021"/>
    <x v="13"/>
    <n v="5.53"/>
    <n v="908352"/>
    <n v="736400.10802415037"/>
    <n v="195600.85116983505"/>
  </r>
  <r>
    <s v=" 28-02-2021"/>
    <x v="13"/>
    <n v="1.45"/>
    <n v="233607"/>
    <n v="856766.43240724504"/>
    <n v="217078.46556870121"/>
  </r>
  <r>
    <s v=" 31-03-2021"/>
    <x v="13"/>
    <n v="0.98"/>
    <n v="171639"/>
    <n v="420554.82972217351"/>
    <n v="403448.00154435431"/>
  </r>
  <r>
    <s v=" 30-04-2021"/>
    <x v="13"/>
    <n v="1.0900000000000001"/>
    <n v="180253"/>
    <n v="246313.74891665205"/>
    <n v="399939.2544034957"/>
  </r>
  <r>
    <s v=" 31-05-2021"/>
    <x v="13"/>
    <n v="4.75"/>
    <n v="752623"/>
    <n v="200071.22467499561"/>
    <n v="389294.57185693661"/>
  </r>
  <r>
    <s v=" 30-06-2021"/>
    <x v="13"/>
    <n v="1.4"/>
    <n v="226190"/>
    <n v="586857.4674024987"/>
    <n v="351964.28665823524"/>
  </r>
  <r>
    <s v=" 31-07-2021"/>
    <x v="13"/>
    <n v="1.47"/>
    <n v="260463"/>
    <n v="334390.24022074963"/>
    <n v="382865.73321238678"/>
  </r>
  <r>
    <s v=" 31-08-2021"/>
    <x v="13"/>
    <n v="3.42"/>
    <n v="586328"/>
    <n v="282641.17206622486"/>
    <n v="383344.80706191174"/>
  </r>
  <r>
    <s v=" 30-09-2021"/>
    <x v="13"/>
    <n v="3.05"/>
    <n v="513298"/>
    <n v="495221.95161986741"/>
    <n v="275543.06883538625"/>
  </r>
  <r>
    <s v=" 31-10-2021"/>
    <x v="13"/>
    <n v="1.1599999999999999"/>
    <n v="189713"/>
    <n v="507875.18548596022"/>
    <n v="180755.51612807068"/>
  </r>
  <r>
    <s v=" 30-11-2021"/>
    <x v="13"/>
    <n v="0.94"/>
    <n v="165576"/>
    <n v="285161.65564578807"/>
    <n v="254151.92914129258"/>
  </r>
  <r>
    <s v=" 31-12-2021"/>
    <x v="13"/>
    <n v="3.35"/>
    <n v="580892"/>
    <n v="201451.69669373642"/>
    <n v="196515.1807829584"/>
  </r>
  <r>
    <s v=" 31-01-2022"/>
    <x v="13"/>
    <n v="2.82"/>
    <n v="465915"/>
    <n v="467059.90900812089"/>
    <n v="294110.43792119133"/>
  </r>
  <r>
    <s v=" 28-02-2022"/>
    <x v="13"/>
    <n v="1.88"/>
    <n v="298107"/>
    <n v="466258.47270243627"/>
    <n v="229693.26185590727"/>
  </r>
  <r>
    <s v=" 31-03-2022"/>
    <x v="13"/>
    <n v="1.19"/>
    <n v="205076"/>
    <n v="348552.44181073084"/>
    <n v="239618.56658850145"/>
  </r>
  <r>
    <s v=" 30-04-2022"/>
    <x v="13"/>
    <n v="1.24"/>
    <n v="212687"/>
    <n v="248118.93254321924"/>
    <n v="127621.46886176463"/>
  </r>
  <r>
    <s v=" 31-01-2016"/>
    <x v="14"/>
    <n v="4.41"/>
    <n v="1029704"/>
    <n v="223316.57976296576"/>
    <n v="129248.89292938313"/>
  </r>
  <r>
    <s v=" 29-02-2016"/>
    <x v="14"/>
    <n v="2.27"/>
    <n v="545009"/>
    <n v="787787.77392888966"/>
    <n v="473322.15340609703"/>
  </r>
  <r>
    <s v=" 31-03-2016"/>
    <x v="14"/>
    <n v="4.2300000000000004"/>
    <n v="1026063"/>
    <n v="617842.63217866689"/>
    <n v="486640.73895455338"/>
  </r>
  <r>
    <s v=" 30-04-2016"/>
    <x v="14"/>
    <n v="8.48"/>
    <n v="2065354"/>
    <n v="903596.88965360005"/>
    <n v="540322.76566608425"/>
  </r>
  <r>
    <s v=" 31-05-2016"/>
    <x v="14"/>
    <n v="6.75"/>
    <n v="1713241"/>
    <n v="1716826.8668960799"/>
    <n v="724629.78713616624"/>
  </r>
  <r>
    <s v=" 30-06-2016"/>
    <x v="14"/>
    <n v="6.23"/>
    <n v="1605513"/>
    <n v="1714316.7600688238"/>
    <n v="710946.85937979887"/>
  </r>
  <r>
    <s v=" 31-07-2016"/>
    <x v="14"/>
    <n v="6.72"/>
    <n v="1809295"/>
    <n v="1638154.128020647"/>
    <n v="673679.12740090338"/>
  </r>
  <r>
    <s v=" 31-08-2016"/>
    <x v="14"/>
    <n v="6.16"/>
    <n v="1507896"/>
    <n v="1757952.7384061941"/>
    <n v="117104.39033666198"/>
  </r>
  <r>
    <s v=" 30-09-2016"/>
    <x v="14"/>
    <n v="3.69"/>
    <n v="973285"/>
    <n v="1582913.0215218582"/>
    <n v="185881.52919652101"/>
  </r>
  <r>
    <s v=" 31-10-2016"/>
    <x v="14"/>
    <n v="2.62"/>
    <n v="699669"/>
    <n v="1156173.4064565576"/>
    <n v="393049.57071123243"/>
  </r>
  <r>
    <s v=" 30-11-2016"/>
    <x v="14"/>
    <n v="5.44"/>
    <n v="1396673"/>
    <n v="836620.32193696732"/>
    <n v="462807.00447063713"/>
  </r>
  <r>
    <s v=" 31-12-2016"/>
    <x v="14"/>
    <n v="4.6100000000000003"/>
    <n v="1137040"/>
    <n v="1228657.1965810901"/>
    <n v="545802.65052015637"/>
  </r>
  <r>
    <s v=" 31-01-2017"/>
    <x v="14"/>
    <n v="2.84"/>
    <n v="732920"/>
    <n v="1164525.1589743271"/>
    <n v="420495.33728259377"/>
  </r>
  <r>
    <s v=" 28-02-2017"/>
    <x v="14"/>
    <n v="2.59"/>
    <n v="670851"/>
    <n v="862401.54769229807"/>
    <n v="411637.27000366367"/>
  </r>
  <r>
    <s v=" 31-03-2017"/>
    <x v="14"/>
    <n v="9.27"/>
    <n v="2375811"/>
    <n v="728316.16430768929"/>
    <n v="277709.88236158231"/>
  </r>
  <r>
    <s v=" 30-04-2017"/>
    <x v="14"/>
    <n v="4.25"/>
    <n v="1071710"/>
    <n v="1881562.5492923066"/>
    <n v="989480.31127579079"/>
  </r>
  <r>
    <s v=" 31-05-2017"/>
    <x v="14"/>
    <n v="4.55"/>
    <n v="1182964"/>
    <n v="1314665.7647876921"/>
    <n v="1065644.092798545"/>
  </r>
  <r>
    <s v=" 30-06-2017"/>
    <x v="14"/>
    <n v="4.49"/>
    <n v="1157391"/>
    <n v="1222474.5294363075"/>
    <n v="1062614.0315398742"/>
  </r>
  <r>
    <s v=" 31-07-2017"/>
    <x v="14"/>
    <n v="3.27"/>
    <n v="908512"/>
    <n v="1176916.0588308922"/>
    <n v="475199.03628105391"/>
  </r>
  <r>
    <s v=" 31-08-2017"/>
    <x v="14"/>
    <n v="3.22"/>
    <n v="838926"/>
    <n v="989033.21764926752"/>
    <n v="176655.93626121213"/>
  </r>
  <r>
    <s v=" 30-09-2017"/>
    <x v="14"/>
    <n v="4.01"/>
    <n v="1069502"/>
    <n v="883958.16529478016"/>
    <n v="181483.49915000383"/>
  </r>
  <r>
    <s v=" 31-10-2017"/>
    <x v="14"/>
    <n v="3.61"/>
    <n v="963460"/>
    <n v="1013838.849588434"/>
    <n v="207363.95555031541"/>
  </r>
  <r>
    <s v=" 30-11-2017"/>
    <x v="14"/>
    <n v="2.87"/>
    <n v="777351"/>
    <n v="978573.65487653017"/>
    <n v="140826.98590040259"/>
  </r>
  <r>
    <s v=" 31-12-2017"/>
    <x v="14"/>
    <n v="2.2999999999999998"/>
    <n v="618360"/>
    <n v="837717.79646295891"/>
    <n v="160680.94672210017"/>
  </r>
  <r>
    <s v=" 31-01-2018"/>
    <x v="14"/>
    <n v="3.08"/>
    <n v="830408"/>
    <n v="684167.3389388877"/>
    <n v="174304.7409859125"/>
  </r>
  <r>
    <s v=" 28-02-2018"/>
    <x v="14"/>
    <n v="3.5"/>
    <n v="936791"/>
    <n v="786535.80168166629"/>
    <n v="191480.83511780424"/>
  </r>
  <r>
    <s v=" 31-03-2018"/>
    <x v="14"/>
    <n v="2.4700000000000002"/>
    <n v="651784"/>
    <n v="891714.44050449983"/>
    <n v="175195.88887714405"/>
  </r>
  <r>
    <s v=" 30-04-2018"/>
    <x v="14"/>
    <n v="4.2300000000000004"/>
    <n v="1136437"/>
    <n v="723763.13215134991"/>
    <n v="183965.18860005031"/>
  </r>
  <r>
    <s v=" 31-05-2018"/>
    <x v="14"/>
    <n v="3.4"/>
    <n v="868469"/>
    <n v="1012634.8396454048"/>
    <n v="288930.76570205664"/>
  </r>
  <r>
    <s v=" 30-06-2018"/>
    <x v="14"/>
    <n v="4.18"/>
    <n v="1063192"/>
    <n v="911718.7518936214"/>
    <n v="287894.73007016123"/>
  </r>
  <r>
    <s v=" 31-07-2018"/>
    <x v="14"/>
    <n v="3.23"/>
    <n v="803016"/>
    <n v="1017750.0255680863"/>
    <n v="267100.26545458304"/>
  </r>
  <r>
    <s v=" 31-08-2018"/>
    <x v="14"/>
    <n v="3.32"/>
    <n v="815427"/>
    <n v="867436.20767042576"/>
    <n v="173049.73846579166"/>
  </r>
  <r>
    <s v=" 30-09-2018"/>
    <x v="14"/>
    <n v="3.28"/>
    <n v="861018"/>
    <n v="831029.76230112766"/>
    <n v="154660.70855378616"/>
  </r>
  <r>
    <s v=" 31-10-2018"/>
    <x v="14"/>
    <n v="3.49"/>
    <n v="885647"/>
    <n v="852021.52869033825"/>
    <n v="128730.92586148453"/>
  </r>
  <r>
    <s v=" 30-11-2018"/>
    <x v="14"/>
    <n v="3.62"/>
    <n v="933731"/>
    <n v="875559.35860710137"/>
    <n v="39727.926380932709"/>
  </r>
  <r>
    <s v=" 31-12-2018"/>
    <x v="14"/>
    <n v="1.94"/>
    <n v="494547"/>
    <n v="916279.50758213038"/>
    <n v="42481.001963328468"/>
  </r>
  <r>
    <s v=" 31-01-2019"/>
    <x v="14"/>
    <n v="3.96"/>
    <n v="1043748"/>
    <n v="621066.75227463909"/>
    <n v="246558.25554667096"/>
  </r>
  <r>
    <s v=" 28-02-2019"/>
    <x v="14"/>
    <n v="3.01"/>
    <n v="771040"/>
    <n v="916943.62568239169"/>
    <n v="346362.85645380797"/>
  </r>
  <r>
    <s v=" 31-03-2019"/>
    <x v="14"/>
    <n v="2.2799999999999998"/>
    <n v="592548"/>
    <n v="814811.08770471741"/>
    <n v="354873.50474849815"/>
  </r>
  <r>
    <s v=" 30-04-2019"/>
    <x v="14"/>
    <n v="3.08"/>
    <n v="777620"/>
    <n v="659226.92631141515"/>
    <n v="288298.5636002894"/>
  </r>
  <r>
    <s v=" 31-05-2019"/>
    <x v="14"/>
    <n v="3.67"/>
    <n v="877015"/>
    <n v="742102.07789342455"/>
    <n v="168033.39751443567"/>
  </r>
  <r>
    <s v=" 30-06-2019"/>
    <x v="14"/>
    <n v="4.34"/>
    <n v="1000652"/>
    <n v="836541.12336802739"/>
    <n v="164943.72434742755"/>
  </r>
  <r>
    <s v=" 31-07-2019"/>
    <x v="14"/>
    <n v="3.66"/>
    <n v="909281"/>
    <n v="951418.73701040808"/>
    <n v="140416.9936031962"/>
  </r>
  <r>
    <s v=" 31-08-2019"/>
    <x v="14"/>
    <n v="3.76"/>
    <n v="1009010"/>
    <n v="921922.32110312232"/>
    <n v="125045.94523695114"/>
  </r>
  <r>
    <s v=" 30-09-2019"/>
    <x v="14"/>
    <n v="4.32"/>
    <n v="1059565"/>
    <n v="982883.69633093663"/>
    <n v="109988.23046871656"/>
  </r>
  <r>
    <s v=" 31-10-2019"/>
    <x v="14"/>
    <n v="3.81"/>
    <n v="926982"/>
    <n v="1036560.6088992809"/>
    <n v="71273.826491896965"/>
  </r>
  <r>
    <s v=" 30-11-2019"/>
    <x v="14"/>
    <n v="3.68"/>
    <n v="915635"/>
    <n v="959855.58266978408"/>
    <n v="92144.37526030252"/>
  </r>
  <r>
    <s v=" 31-12-2019"/>
    <x v="14"/>
    <n v="3.03"/>
    <n v="798636"/>
    <n v="928901.1748009352"/>
    <n v="81328.457078573032"/>
  </r>
  <r>
    <s v=" 31-01-2020"/>
    <x v="14"/>
    <n v="3.8"/>
    <n v="983493"/>
    <n v="837715.55244028056"/>
    <n v="101541.36632570815"/>
  </r>
  <r>
    <s v=" 29-02-2020"/>
    <x v="14"/>
    <n v="4.24"/>
    <n v="1072446"/>
    <n v="939759.76573208417"/>
    <n v="115723.14651010856"/>
  </r>
  <r>
    <s v=" 31-03-2020"/>
    <x v="14"/>
    <n v="5.38"/>
    <n v="1244447"/>
    <n v="1032640.1297196252"/>
    <n v="136413.24073948394"/>
  </r>
  <r>
    <s v=" 30-04-2020"/>
    <x v="14"/>
    <n v="25.28"/>
    <n v="3795742"/>
    <n v="1180904.9389158874"/>
    <n v="167051.73976864622"/>
  </r>
  <r>
    <s v=" 31-05-2020"/>
    <x v="14"/>
    <n v="15.69"/>
    <n v="2906925"/>
    <n v="3011290.8816747661"/>
    <n v="1516557.5759024303"/>
  </r>
  <r>
    <s v=" 30-06-2020"/>
    <x v="14"/>
    <n v="9.1"/>
    <n v="2165658"/>
    <n v="2938234.7645024294"/>
    <n v="1515819.6070745268"/>
  </r>
  <r>
    <s v=" 31-07-2020"/>
    <x v="14"/>
    <n v="3.16"/>
    <n v="779515"/>
    <n v="2397431.0293507287"/>
    <n v="1575345.4595025384"/>
  </r>
  <r>
    <s v=" 31-08-2020"/>
    <x v="14"/>
    <n v="4.91"/>
    <n v="1184020"/>
    <n v="1264889.8088052184"/>
    <n v="1036889.4785747131"/>
  </r>
  <r>
    <s v=" 30-09-2020"/>
    <x v="14"/>
    <n v="3.15"/>
    <n v="797707"/>
    <n v="1208280.9426415656"/>
    <n v="1036189.6642756838"/>
  </r>
  <r>
    <s v=" 31-10-2020"/>
    <x v="14"/>
    <n v="3.06"/>
    <n v="797101"/>
    <n v="920879.18279246963"/>
    <n v="964842.50293030741"/>
  </r>
  <r>
    <s v=" 30-11-2020"/>
    <x v="14"/>
    <n v="2.59"/>
    <n v="636261"/>
    <n v="834234.45483774086"/>
    <n v="251947.03602664734"/>
  </r>
  <r>
    <s v=" 31-12-2020"/>
    <x v="14"/>
    <n v="3.27"/>
    <n v="828678"/>
    <n v="695653.03645132226"/>
    <n v="272693.65579470102"/>
  </r>
  <r>
    <s v=" 31-01-2021"/>
    <x v="14"/>
    <n v="3.23"/>
    <n v="816146"/>
    <n v="788770.51093539665"/>
    <n v="155145.27416040757"/>
  </r>
  <r>
    <s v=" 28-02-2021"/>
    <x v="14"/>
    <n v="3.17"/>
    <n v="829620"/>
    <n v="807933.3532806189"/>
    <n v="138610.421865318"/>
  </r>
  <r>
    <s v=" 31-03-2021"/>
    <x v="14"/>
    <n v="2.78"/>
    <n v="754382"/>
    <n v="823114.00598418573"/>
    <n v="79404.804587179533"/>
  </r>
  <r>
    <s v=" 30-04-2021"/>
    <x v="14"/>
    <n v="5.53"/>
    <n v="1290404"/>
    <n v="775001.60179525567"/>
    <n v="44511.484263680395"/>
  </r>
  <r>
    <s v=" 31-05-2021"/>
    <x v="14"/>
    <n v="4.43"/>
    <n v="1077685"/>
    <n v="1135783.2805385767"/>
    <n v="300462.9934882404"/>
  </r>
  <r>
    <s v=" 30-06-2021"/>
    <x v="14"/>
    <n v="3.22"/>
    <n v="831611"/>
    <n v="1095114.484161573"/>
    <n v="302070.1524057787"/>
  </r>
  <r>
    <s v=" 31-07-2021"/>
    <x v="14"/>
    <n v="3.19"/>
    <n v="855218"/>
    <n v="910662.0452484719"/>
    <n v="335881.49122472218"/>
  </r>
  <r>
    <s v=" 31-08-2021"/>
    <x v="14"/>
    <n v="3.38"/>
    <n v="945490"/>
    <n v="871851.2135745415"/>
    <n v="159042.48753120669"/>
  </r>
  <r>
    <s v=" 30-09-2021"/>
    <x v="14"/>
    <n v="3.45"/>
    <n v="942938"/>
    <n v="923398.36407236243"/>
    <n v="161173.61155497018"/>
  </r>
  <r>
    <s v=" 31-10-2021"/>
    <x v="14"/>
    <n v="3.46"/>
    <n v="912979"/>
    <n v="937076.10922170873"/>
    <n v="54401.318586695779"/>
  </r>
  <r>
    <s v=" 30-11-2021"/>
    <x v="14"/>
    <n v="3.62"/>
    <n v="1055545"/>
    <n v="920208.13276651246"/>
    <n v="46134.365033894472"/>
  </r>
  <r>
    <s v=" 31-12-2021"/>
    <x v="14"/>
    <n v="2.17"/>
    <n v="661093"/>
    <n v="1014943.9398299537"/>
    <n v="80163.449022610919"/>
  </r>
  <r>
    <s v=" 31-01-2022"/>
    <x v="14"/>
    <n v="3.06"/>
    <n v="842098"/>
    <n v="767248.281948986"/>
    <n v="219170.5773470815"/>
  </r>
  <r>
    <s v=" 28-02-2022"/>
    <x v="14"/>
    <n v="3.16"/>
    <n v="855073"/>
    <n v="819643.08458469575"/>
    <n v="222956.67407475712"/>
  </r>
  <r>
    <s v=" 31-03-2022"/>
    <x v="14"/>
    <n v="2.59"/>
    <n v="730911"/>
    <n v="844444.0253754087"/>
    <n v="209815.98828274378"/>
  </r>
  <r>
    <s v=" 30-04-2022"/>
    <x v="14"/>
    <n v="1.77"/>
    <n v="525897"/>
    <n v="764970.90761262248"/>
    <n v="81132.621983073899"/>
  </r>
  <r>
    <s v=" 31-01-2018"/>
    <x v="15"/>
    <n v="8.5399999999999991"/>
    <n v="78957"/>
    <n v="597619.1722837867"/>
    <n v="154165.88474583425"/>
  </r>
  <r>
    <s v=" 28-02-2018"/>
    <x v="15"/>
    <n v="7.06"/>
    <n v="65752"/>
    <n v="234555.65168513599"/>
    <n v="336182.75293367758"/>
  </r>
  <r>
    <s v=" 31-03-2018"/>
    <x v="15"/>
    <n v="5.56"/>
    <n v="45588"/>
    <n v="116393.09550554078"/>
    <n v="343832.05933592148"/>
  </r>
  <r>
    <s v=" 30-04-2018"/>
    <x v="15"/>
    <n v="2.1800000000000002"/>
    <n v="20973"/>
    <n v="66829.528651662229"/>
    <n v="317552.34913838585"/>
  </r>
  <r>
    <s v=" 31-05-2018"/>
    <x v="15"/>
    <n v="8.31"/>
    <n v="77656"/>
    <n v="34729.958595498669"/>
    <n v="108950.83844218636"/>
  </r>
  <r>
    <s v=" 30-06-2018"/>
    <x v="15"/>
    <n v="6.09"/>
    <n v="54380"/>
    <n v="64778.187578649595"/>
    <n v="54646.829124815747"/>
  </r>
  <r>
    <s v=" 31-07-2018"/>
    <x v="15"/>
    <n v="2.96"/>
    <n v="27223"/>
    <n v="57499.456273594878"/>
    <n v="36758.620556102047"/>
  </r>
  <r>
    <s v=" 31-08-2018"/>
    <x v="15"/>
    <n v="3.62"/>
    <n v="36899"/>
    <n v="36305.936882078458"/>
    <n v="30916.18314124308"/>
  </r>
  <r>
    <s v=" 30-09-2018"/>
    <x v="15"/>
    <n v="3.33"/>
    <n v="34731"/>
    <n v="36721.081064623533"/>
    <n v="18485.470269642625"/>
  </r>
  <r>
    <s v=" 31-10-2018"/>
    <x v="15"/>
    <n v="4.22"/>
    <n v="41433"/>
    <n v="35328.024319387056"/>
    <n v="17521.186708216184"/>
  </r>
  <r>
    <s v=" 30-11-2018"/>
    <x v="15"/>
    <n v="2.63"/>
    <n v="27415"/>
    <n v="39601.507295816118"/>
    <n v="3723.0307800002333"/>
  </r>
  <r>
    <s v=" 31-12-2018"/>
    <x v="15"/>
    <n v="2.4700000000000002"/>
    <n v="26148"/>
    <n v="31070.952188744835"/>
    <n v="7952.8215281460134"/>
  </r>
  <r>
    <s v=" 31-01-2019"/>
    <x v="15"/>
    <n v="1.68"/>
    <n v="18879"/>
    <n v="27624.885656623446"/>
    <n v="8366.9418225243753"/>
  </r>
  <r>
    <s v=" 28-02-2019"/>
    <x v="15"/>
    <n v="6.25"/>
    <n v="62813"/>
    <n v="21502.765696987033"/>
    <n v="9114.7670338189619"/>
  </r>
  <r>
    <s v=" 31-03-2019"/>
    <x v="15"/>
    <n v="0.52"/>
    <n v="6017"/>
    <n v="50419.929709096104"/>
    <n v="24544.255487732284"/>
  </r>
  <r>
    <s v=" 30-04-2019"/>
    <x v="15"/>
    <n v="1.61"/>
    <n v="16406"/>
    <n v="19337.878912728833"/>
    <n v="35377.234397464759"/>
  </r>
  <r>
    <s v=" 31-05-2019"/>
    <x v="15"/>
    <n v="3.16"/>
    <n v="35361"/>
    <n v="17285.563673818648"/>
    <n v="35055.915044776026"/>
  </r>
  <r>
    <s v=" 30-06-2019"/>
    <x v="15"/>
    <n v="4.2300000000000004"/>
    <n v="43349"/>
    <n v="29938.369102145592"/>
    <n v="27730.473484908678"/>
  </r>
  <r>
    <s v=" 31-07-2019"/>
    <x v="15"/>
    <n v="1.03"/>
    <n v="11933"/>
    <n v="39325.810730643672"/>
    <n v="13104.227478428831"/>
  </r>
  <r>
    <s v=" 31-08-2019"/>
    <x v="15"/>
    <n v="0.52"/>
    <n v="5542"/>
    <n v="20150.843219193102"/>
    <n v="20468.939877980905"/>
  </r>
  <r>
    <s v=" 30-09-2019"/>
    <x v="15"/>
    <n v="0.24"/>
    <n v="2789"/>
    <n v="9924.6529657579304"/>
    <n v="19524.594754704627"/>
  </r>
  <r>
    <s v=" 31-10-2019"/>
    <x v="15"/>
    <n v="3.7"/>
    <n v="39983"/>
    <n v="4929.6958897273789"/>
    <n v="18391.138474598403"/>
  </r>
  <r>
    <s v=" 30-11-2019"/>
    <x v="15"/>
    <n v="1.5"/>
    <n v="18086"/>
    <n v="29467.00876691821"/>
    <n v="22308.96660163016"/>
  </r>
  <r>
    <s v=" 31-12-2019"/>
    <x v="15"/>
    <n v="1.8"/>
    <n v="19854"/>
    <n v="21500.302630075461"/>
    <n v="21673.171071224246"/>
  </r>
  <r>
    <s v=" 31-01-2020"/>
    <x v="15"/>
    <n v="0.97"/>
    <n v="11925"/>
    <n v="20347.890789022636"/>
    <n v="21299.231613290012"/>
  </r>
  <r>
    <s v=" 29-02-2020"/>
    <x v="15"/>
    <n v="2.76"/>
    <n v="30715"/>
    <n v="14451.867236706792"/>
    <n v="8229.6772343809644"/>
  </r>
  <r>
    <s v=" 31-03-2020"/>
    <x v="15"/>
    <n v="1.28"/>
    <n v="15265"/>
    <n v="25836.060171012039"/>
    <n v="10616.730332672998"/>
  </r>
  <r>
    <s v=" 30-04-2020"/>
    <x v="15"/>
    <n v="8.3800000000000008"/>
    <n v="67301"/>
    <n v="18436.318051303613"/>
    <n v="12209.038860061295"/>
  </r>
  <r>
    <s v=" 31-05-2020"/>
    <x v="15"/>
    <n v="3.73"/>
    <n v="37007"/>
    <n v="52641.595415391079"/>
    <n v="30353.439905898158"/>
  </r>
  <r>
    <s v=" 30-06-2020"/>
    <x v="15"/>
    <n v="1.35"/>
    <n v="15528"/>
    <n v="41697.378624617319"/>
    <n v="30243.153654391379"/>
  </r>
  <r>
    <s v=" 31-07-2020"/>
    <x v="15"/>
    <n v="1.59"/>
    <n v="18867"/>
    <n v="23378.813587385193"/>
    <n v="33251.737264634263"/>
  </r>
  <r>
    <s v=" 31-08-2020"/>
    <x v="15"/>
    <n v="3.42"/>
    <n v="37850"/>
    <n v="20220.544076215556"/>
    <n v="17791.696689269211"/>
  </r>
  <r>
    <s v=" 30-09-2020"/>
    <x v="15"/>
    <n v="3.36"/>
    <n v="41312"/>
    <n v="32561.163222864667"/>
    <n v="18402.812788760941"/>
  </r>
  <r>
    <s v=" 31-10-2020"/>
    <x v="15"/>
    <n v="4.2"/>
    <n v="48765"/>
    <n v="38686.748966859399"/>
    <n v="11658.063337107589"/>
  </r>
  <r>
    <s v=" 30-11-2020"/>
    <x v="15"/>
    <n v="0"/>
    <n v="0"/>
    <n v="45741.52469005782"/>
    <n v="12766.440437800486"/>
  </r>
  <r>
    <s v=" 31-12-2020"/>
    <x v="15"/>
    <n v="5.33"/>
    <n v="58231"/>
    <n v="13722.457407017346"/>
    <n v="27510.212462273186"/>
  </r>
  <r>
    <s v=" 31-01-2021"/>
    <x v="15"/>
    <n v="2.56"/>
    <n v="29517"/>
    <n v="44878.437222105204"/>
    <n v="37304.461701917637"/>
  </r>
  <r>
    <s v=" 28-02-2021"/>
    <x v="15"/>
    <n v="3.9"/>
    <n v="42966"/>
    <n v="34125.431166631563"/>
    <n v="37900.181170416581"/>
  </r>
  <r>
    <s v=" 31-03-2021"/>
    <x v="15"/>
    <n v="0.69"/>
    <n v="8505"/>
    <n v="40313.829349989464"/>
    <n v="27659.475619140936"/>
  </r>
  <r>
    <s v=" 30-04-2021"/>
    <x v="15"/>
    <n v="1.32"/>
    <n v="14842"/>
    <n v="18047.648804996839"/>
    <n v="21023.249316276459"/>
  </r>
  <r>
    <s v=" 31-05-2021"/>
    <x v="15"/>
    <n v="5.98"/>
    <n v="63838"/>
    <n v="15803.694641499053"/>
    <n v="19150.574109542638"/>
  </r>
  <r>
    <s v=" 30-06-2021"/>
    <x v="15"/>
    <n v="2.78"/>
    <n v="35220"/>
    <n v="49427.708392449713"/>
    <n v="33313.522280256511"/>
  </r>
  <r>
    <s v=" 31-07-2021"/>
    <x v="15"/>
    <n v="0"/>
    <n v="0"/>
    <n v="39482.312517734914"/>
    <n v="28979.473501656172"/>
  </r>
  <r>
    <s v=" 31-08-2021"/>
    <x v="15"/>
    <n v="0"/>
    <n v="0"/>
    <n v="11844.693755320473"/>
    <n v="36823.934566106531"/>
  </r>
  <r>
    <s v=" 30-09-2021"/>
    <x v="15"/>
    <n v="1.1000000000000001"/>
    <n v="14015"/>
    <n v="3553.4081265961418"/>
    <n v="25172.794505645052"/>
  </r>
  <r>
    <s v=" 31-10-2021"/>
    <x v="15"/>
    <n v="1.72"/>
    <n v="18679"/>
    <n v="10876.522437978841"/>
    <n v="24553.307152880545"/>
  </r>
  <r>
    <s v=" 30-11-2021"/>
    <x v="15"/>
    <n v="0.41"/>
    <n v="4918"/>
    <n v="16338.256731393652"/>
    <n v="10175.466095611888"/>
  </r>
  <r>
    <s v=" 31-12-2021"/>
    <x v="15"/>
    <n v="2.0299999999999998"/>
    <n v="22659"/>
    <n v="8344.077019418095"/>
    <n v="10012.422691211408"/>
  </r>
  <r>
    <s v=" 31-01-2022"/>
    <x v="15"/>
    <n v="0.91"/>
    <n v="10958"/>
    <n v="18364.523105825429"/>
    <n v="11492.286396488988"/>
  </r>
  <r>
    <s v=" 28-02-2022"/>
    <x v="15"/>
    <n v="0.83"/>
    <n v="10973"/>
    <n v="13179.956931747627"/>
    <n v="11404.617022183895"/>
  </r>
  <r>
    <s v=" 31-03-2022"/>
    <x v="15"/>
    <n v="1.89"/>
    <n v="22463"/>
    <n v="11635.087079524288"/>
    <n v="9392.2709954463226"/>
  </r>
  <r>
    <s v=" 30-04-2022"/>
    <x v="15"/>
    <n v="0.89"/>
    <n v="10394"/>
    <n v="19214.626123857284"/>
    <n v="7680.5152090451093"/>
  </r>
  <r>
    <s v=" 31-01-2016"/>
    <x v="16"/>
    <n v="6.07"/>
    <n v="771333"/>
    <n v="13040.187837157184"/>
    <n v="8163.2877839113198"/>
  </r>
  <r>
    <s v=" 29-02-2016"/>
    <x v="16"/>
    <n v="9.08"/>
    <n v="1052388"/>
    <n v="543845.1563511471"/>
    <n v="437874.80559373845"/>
  </r>
  <r>
    <s v=" 31-03-2016"/>
    <x v="16"/>
    <n v="12.17"/>
    <n v="1559354"/>
    <n v="899825.1469053441"/>
    <n v="527162.72511420702"/>
  </r>
  <r>
    <s v=" 30-04-2016"/>
    <x v="16"/>
    <n v="7.12"/>
    <n v="811062"/>
    <n v="1361495.3440716034"/>
    <n v="650282.53369045828"/>
  </r>
  <r>
    <s v=" 31-05-2016"/>
    <x v="16"/>
    <n v="6.79"/>
    <n v="841981"/>
    <n v="976192.00322148087"/>
    <n v="576359.55159855494"/>
  </r>
  <r>
    <s v=" 30-06-2016"/>
    <x v="16"/>
    <n v="9.57"/>
    <n v="1117791"/>
    <n v="882244.30096644419"/>
    <n v="501985.31443191197"/>
  </r>
  <r>
    <s v=" 31-07-2016"/>
    <x v="16"/>
    <n v="8.7200000000000006"/>
    <n v="1069016"/>
    <n v="1047126.9902899333"/>
    <n v="354246.48061162583"/>
  </r>
  <r>
    <s v=" 31-08-2016"/>
    <x v="16"/>
    <n v="10.87"/>
    <n v="1239998"/>
    <n v="1062449.29708698"/>
    <n v="157028.6274934269"/>
  </r>
  <r>
    <s v=" 30-09-2016"/>
    <x v="16"/>
    <n v="4.7300000000000004"/>
    <n v="563481"/>
    <n v="1186733.3891260941"/>
    <n v="170767.7936827158"/>
  </r>
  <r>
    <s v=" 31-10-2016"/>
    <x v="16"/>
    <n v="2.79"/>
    <n v="320522"/>
    <n v="750456.71673782822"/>
    <n v="374364.44418221107"/>
  </r>
  <r>
    <s v=" 30-11-2016"/>
    <x v="16"/>
    <n v="4.95"/>
    <n v="618760"/>
    <n v="449502.41502134845"/>
    <n v="449002.948436465"/>
  </r>
  <r>
    <s v=" 31-12-2016"/>
    <x v="16"/>
    <n v="6.95"/>
    <n v="805848"/>
    <n v="567982.72450640448"/>
    <n v="447934.34462378756"/>
  </r>
  <r>
    <s v=" 31-01-2017"/>
    <x v="16"/>
    <n v="4.71"/>
    <n v="536182"/>
    <n v="734488.41735192132"/>
    <n v="300039.9306841708"/>
  </r>
  <r>
    <s v=" 28-02-2017"/>
    <x v="16"/>
    <n v="2.7"/>
    <n v="306774"/>
    <n v="595673.92520557635"/>
    <n v="203759.21616899027"/>
  </r>
  <r>
    <s v=" 31-03-2017"/>
    <x v="16"/>
    <n v="1.51"/>
    <n v="183126"/>
    <n v="393443.97756167292"/>
    <n v="244518.90944763768"/>
  </r>
  <r>
    <s v=" 30-04-2017"/>
    <x v="16"/>
    <n v="2.36"/>
    <n v="262671"/>
    <n v="246221.39326850185"/>
    <n v="235953.56438105524"/>
  </r>
  <r>
    <s v=" 31-05-2017"/>
    <x v="16"/>
    <n v="7.5"/>
    <n v="816469"/>
    <n v="257736.11798055054"/>
    <n v="206532.81259164037"/>
  </r>
  <r>
    <s v=" 30-06-2017"/>
    <x v="16"/>
    <n v="2.76"/>
    <n v="332592"/>
    <n v="648849.13539416506"/>
    <n v="344812.35220382951"/>
  </r>
  <r>
    <s v=" 31-07-2017"/>
    <x v="16"/>
    <n v="3.35"/>
    <n v="400982"/>
    <n v="427469.14061824954"/>
    <n v="370797.15869960689"/>
  </r>
  <r>
    <s v=" 31-08-2017"/>
    <x v="16"/>
    <n v="2.81"/>
    <n v="323704"/>
    <n v="408928.1421854748"/>
    <n v="370990.82547309005"/>
  </r>
  <r>
    <s v=" 30-09-2017"/>
    <x v="16"/>
    <n v="4.47"/>
    <n v="515705"/>
    <n v="349271.24265564245"/>
    <n v="189721.98846127826"/>
  </r>
  <r>
    <s v=" 31-10-2017"/>
    <x v="16"/>
    <n v="10.02"/>
    <n v="1183624"/>
    <n v="465774.87279669271"/>
    <n v="109033.50954812231"/>
  </r>
  <r>
    <s v=" 30-11-2017"/>
    <x v="16"/>
    <n v="1.79"/>
    <n v="221944"/>
    <n v="968269.26183900773"/>
    <n v="428279.78371681314"/>
  </r>
  <r>
    <s v=" 31-12-2017"/>
    <x v="16"/>
    <n v="3.04"/>
    <n v="337005"/>
    <n v="445841.57855170232"/>
    <n v="605532.53737774049"/>
  </r>
  <r>
    <s v=" 31-01-2018"/>
    <x v="16"/>
    <n v="5.72"/>
    <n v="656166"/>
    <n v="369655.97356551065"/>
    <n v="601152.82768928073"/>
  </r>
  <r>
    <s v=" 28-02-2018"/>
    <x v="16"/>
    <n v="7.08"/>
    <n v="842058"/>
    <n v="570212.99206965312"/>
    <n v="465809.25729222264"/>
  </r>
  <r>
    <s v=" 31-03-2018"/>
    <x v="16"/>
    <n v="8.1"/>
    <n v="928181"/>
    <n v="760504.49762089597"/>
    <n v="236525.61835523794"/>
  </r>
  <r>
    <s v=" 30-04-2018"/>
    <x v="16"/>
    <n v="8.56"/>
    <n v="953317"/>
    <n v="877878.04928626877"/>
    <n v="247725.0579669807"/>
  </r>
  <r>
    <s v=" 31-05-2018"/>
    <x v="16"/>
    <n v="8.89"/>
    <n v="964287"/>
    <n v="930685.3147858805"/>
    <n v="189478.36558257233"/>
  </r>
  <r>
    <s v=" 30-06-2018"/>
    <x v="16"/>
    <n v="6.33"/>
    <n v="746950"/>
    <n v="954206.49443576403"/>
    <n v="107912.80119322764"/>
  </r>
  <r>
    <s v=" 31-07-2018"/>
    <x v="16"/>
    <n v="5.69"/>
    <n v="667852"/>
    <n v="809126.94833072915"/>
    <n v="128809.11331607382"/>
  </r>
  <r>
    <s v=" 31-08-2018"/>
    <x v="16"/>
    <n v="6.91"/>
    <n v="786237"/>
    <n v="710234.48449921864"/>
    <n v="146108.33738574589"/>
  </r>
  <r>
    <s v=" 30-09-2018"/>
    <x v="16"/>
    <n v="6"/>
    <n v="674215"/>
    <n v="763436.24534976552"/>
    <n v="151316.71847937425"/>
  </r>
  <r>
    <s v=" 31-10-2018"/>
    <x v="16"/>
    <n v="5.6"/>
    <n v="594634"/>
    <n v="700981.37360492954"/>
    <n v="105980.22458625596"/>
  </r>
  <r>
    <s v=" 30-11-2018"/>
    <x v="16"/>
    <n v="3.8"/>
    <n v="441315"/>
    <n v="626538.21208147891"/>
    <n v="91372.090663900264"/>
  </r>
  <r>
    <s v=" 31-12-2018"/>
    <x v="16"/>
    <n v="5.21"/>
    <n v="589051"/>
    <n v="496881.96362444363"/>
    <n v="133638.60817918603"/>
  </r>
  <r>
    <s v=" 31-01-2019"/>
    <x v="16"/>
    <n v="4.24"/>
    <n v="483059"/>
    <n v="561400.28908733302"/>
    <n v="134303.80167471757"/>
  </r>
  <r>
    <s v=" 28-02-2019"/>
    <x v="16"/>
    <n v="7.25"/>
    <n v="785485"/>
    <n v="506561.38672619988"/>
    <n v="127723.82593711614"/>
  </r>
  <r>
    <s v=" 31-03-2019"/>
    <x v="16"/>
    <n v="2.94"/>
    <n v="354930"/>
    <n v="701807.91601785994"/>
    <n v="175528.60249731012"/>
  </r>
  <r>
    <s v=" 30-04-2019"/>
    <x v="16"/>
    <n v="7.31"/>
    <n v="805168"/>
    <n v="458993.37480535795"/>
    <n v="260934.23707802378"/>
  </r>
  <r>
    <s v=" 31-05-2019"/>
    <x v="16"/>
    <n v="4.17"/>
    <n v="465195"/>
    <n v="701315.61244160729"/>
    <n v="325555.70019647782"/>
  </r>
  <r>
    <s v=" 30-06-2019"/>
    <x v="16"/>
    <n v="4.71"/>
    <n v="516459"/>
    <n v="536031.18373248214"/>
    <n v="314066.92671538662"/>
  </r>
  <r>
    <s v=" 31-07-2019"/>
    <x v="16"/>
    <n v="3.31"/>
    <n v="397527"/>
    <n v="522330.6551197446"/>
    <n v="242193.36979949765"/>
  </r>
  <r>
    <s v=" 31-08-2019"/>
    <x v="16"/>
    <n v="3.68"/>
    <n v="431578"/>
    <n v="434968.09653592331"/>
    <n v="154609.1484217605"/>
  </r>
  <r>
    <s v=" 30-09-2019"/>
    <x v="16"/>
    <n v="4.3099999999999996"/>
    <n v="481329"/>
    <n v="432595.02896077698"/>
    <n v="72962.354361293896"/>
  </r>
  <r>
    <s v=" 31-10-2019"/>
    <x v="16"/>
    <n v="4.28"/>
    <n v="497401"/>
    <n v="466708.80868823308"/>
    <n v="77378.819278970768"/>
  </r>
  <r>
    <s v=" 30-11-2019"/>
    <x v="16"/>
    <n v="4.72"/>
    <n v="575492"/>
    <n v="488193.34260646987"/>
    <n v="33309.174388311338"/>
  </r>
  <r>
    <s v=" 31-12-2019"/>
    <x v="16"/>
    <n v="4.67"/>
    <n v="529815"/>
    <n v="549302.40278194088"/>
    <n v="60382.299071507376"/>
  </r>
  <r>
    <s v=" 31-01-2020"/>
    <x v="16"/>
    <n v="1.81"/>
    <n v="202397"/>
    <n v="535661.22083458223"/>
    <n v="54598.000749162507"/>
  </r>
  <r>
    <s v=" 29-02-2020"/>
    <x v="16"/>
    <n v="3.31"/>
    <n v="391992"/>
    <n v="302376.26625037467"/>
    <n v="199220.0252136481"/>
  </r>
  <r>
    <s v=" 31-03-2020"/>
    <x v="16"/>
    <n v="15.09"/>
    <n v="1480956"/>
    <n v="365107.27987511235"/>
    <n v="199562.67143527497"/>
  </r>
  <r>
    <s v=" 30-04-2020"/>
    <x v="16"/>
    <n v="24.48"/>
    <n v="1361688"/>
    <n v="1146201.3839625337"/>
    <n v="674342.73848153185"/>
  </r>
  <r>
    <s v=" 31-05-2020"/>
    <x v="16"/>
    <n v="12.08"/>
    <n v="1163957"/>
    <n v="1297042.0151887601"/>
    <n v="658175.21163469134"/>
  </r>
  <r>
    <s v=" 30-06-2020"/>
    <x v="16"/>
    <n v="4.22"/>
    <n v="449328"/>
    <n v="1203882.5045566279"/>
    <n v="660622.04755907168"/>
  </r>
  <r>
    <s v=" 31-07-2020"/>
    <x v="16"/>
    <n v="2.27"/>
    <n v="255177"/>
    <n v="675694.35136698838"/>
    <n v="459528.23754577158"/>
  </r>
  <r>
    <s v=" 31-08-2020"/>
    <x v="16"/>
    <n v="1.48"/>
    <n v="174390"/>
    <n v="381332.2054100965"/>
    <n v="504611.7201754229"/>
  </r>
  <r>
    <s v=" 30-09-2020"/>
    <x v="16"/>
    <n v="2.0299999999999998"/>
    <n v="226595"/>
    <n v="236472.66162302892"/>
    <n v="512839.29241280514"/>
  </r>
  <r>
    <s v=" 31-10-2020"/>
    <x v="16"/>
    <n v="2.57"/>
    <n v="301797"/>
    <n v="229558.29848690866"/>
    <n v="270651.98279946198"/>
  </r>
  <r>
    <s v=" 30-11-2020"/>
    <x v="16"/>
    <n v="1.9"/>
    <n v="221625"/>
    <n v="280125.38954607258"/>
    <n v="126676.85210201998"/>
  </r>
  <r>
    <s v=" 31-12-2020"/>
    <x v="16"/>
    <n v="0"/>
    <n v="0"/>
    <n v="239175.11686382175"/>
    <n v="53970.034193302738"/>
  </r>
  <r>
    <s v=" 31-01-2021"/>
    <x v="16"/>
    <n v="2.81"/>
    <n v="319238"/>
    <n v="71752.535059146525"/>
    <n v="148150.21892228458"/>
  </r>
  <r>
    <s v=" 28-02-2021"/>
    <x v="16"/>
    <n v="2.33"/>
    <n v="273615"/>
    <n v="244992.36051774395"/>
    <n v="201557.34292491508"/>
  </r>
  <r>
    <s v=" 31-03-2021"/>
    <x v="16"/>
    <n v="1.57"/>
    <n v="181970"/>
    <n v="265028.20815532317"/>
    <n v="199393.28589059395"/>
  </r>
  <r>
    <s v=" 30-04-2021"/>
    <x v="16"/>
    <n v="2.09"/>
    <n v="260053"/>
    <n v="206887.46244659694"/>
    <n v="151621.21310455937"/>
  </r>
  <r>
    <s v=" 31-05-2021"/>
    <x v="16"/>
    <n v="6.67"/>
    <n v="710050"/>
    <n v="244103.33873397906"/>
    <n v="59286.018071285871"/>
  </r>
  <r>
    <s v=" 30-06-2021"/>
    <x v="16"/>
    <n v="3.23"/>
    <n v="362471"/>
    <n v="570266.00162019371"/>
    <n v="274973.6541745211"/>
  </r>
  <r>
    <s v=" 31-07-2021"/>
    <x v="16"/>
    <n v="1.03"/>
    <n v="126119"/>
    <n v="424809.50048605807"/>
    <n v="296148.40211546567"/>
  </r>
  <r>
    <s v=" 31-08-2021"/>
    <x v="16"/>
    <n v="2.35"/>
    <n v="278631"/>
    <n v="215726.1501458174"/>
    <n v="341321.48527153512"/>
  </r>
  <r>
    <s v=" 30-09-2021"/>
    <x v="16"/>
    <n v="2.89"/>
    <n v="322006"/>
    <n v="259759.54504374519"/>
    <n v="213191.46161304976"/>
  </r>
  <r>
    <s v=" 31-10-2021"/>
    <x v="16"/>
    <n v="1.01"/>
    <n v="120288"/>
    <n v="303332.06351312355"/>
    <n v="179858.88576919609"/>
  </r>
  <r>
    <s v=" 30-11-2021"/>
    <x v="16"/>
    <n v="0.46"/>
    <n v="58841"/>
    <n v="175201.21905393706"/>
    <n v="117383.65939260133"/>
  </r>
  <r>
    <s v=" 31-12-2021"/>
    <x v="16"/>
    <n v="1.59"/>
    <n v="194780"/>
    <n v="93749.065716181125"/>
    <n v="130281.04354343303"/>
  </r>
  <r>
    <s v=" 31-01-2022"/>
    <x v="16"/>
    <n v="1.48"/>
    <n v="173708"/>
    <n v="164470.71971485435"/>
    <n v="138144.94736560577"/>
  </r>
  <r>
    <s v=" 28-02-2022"/>
    <x v="16"/>
    <n v="0.92"/>
    <n v="117204"/>
    <n v="170936.8159144563"/>
    <n v="89129.638930432659"/>
  </r>
  <r>
    <s v=" 31-03-2022"/>
    <x v="16"/>
    <n v="11.35"/>
    <n v="1248283"/>
    <n v="133323.84477433687"/>
    <n v="66281.703195337701"/>
  </r>
  <r>
    <s v=" 30-04-2022"/>
    <x v="16"/>
    <n v="1.18"/>
    <n v="146998"/>
    <n v="913795.25343230099"/>
    <n v="644491.13277445175"/>
  </r>
  <r>
    <s v=" 31-01-2016"/>
    <x v="17"/>
    <n v="3.59"/>
    <n v="6364"/>
    <n v="377037.17602969025"/>
    <n v="781877.90206206788"/>
  </r>
  <r>
    <s v=" 29-02-2016"/>
    <x v="17"/>
    <n v="6.19"/>
    <n v="11060"/>
    <n v="117565.95280890708"/>
    <n v="810043.32170585846"/>
  </r>
  <r>
    <s v=" 31-03-2016"/>
    <x v="17"/>
    <n v="7.77"/>
    <n v="12904"/>
    <n v="43011.785842672121"/>
    <n v="495553.61273461668"/>
  </r>
  <r>
    <s v=" 30-04-2016"/>
    <x v="17"/>
    <n v="3.05"/>
    <n v="5727"/>
    <n v="21936.335752801635"/>
    <n v="223344.72621190996"/>
  </r>
  <r>
    <s v=" 31-05-2016"/>
    <x v="17"/>
    <n v="3.09"/>
    <n v="5305"/>
    <n v="10589.80072584049"/>
    <n v="64582.606837105406"/>
  </r>
  <r>
    <s v=" 30-06-2016"/>
    <x v="17"/>
    <n v="3.68"/>
    <n v="6297"/>
    <n v="6890.4402177521461"/>
    <n v="19976.239657879436"/>
  </r>
  <r>
    <s v=" 31-07-2016"/>
    <x v="17"/>
    <n v="6.29"/>
    <n v="10438"/>
    <n v="6475.032065325644"/>
    <n v="9849.2614875590752"/>
  </r>
  <r>
    <s v=" 31-08-2016"/>
    <x v="17"/>
    <n v="3.33"/>
    <n v="6345"/>
    <n v="9249.1096195976934"/>
    <n v="3829.1167325788952"/>
  </r>
  <r>
    <s v=" 30-09-2016"/>
    <x v="17"/>
    <n v="2.2200000000000002"/>
    <n v="4227"/>
    <n v="7216.232885879308"/>
    <n v="2857.2211923442155"/>
  </r>
  <r>
    <s v=" 31-10-2016"/>
    <x v="17"/>
    <n v="2.71"/>
    <n v="5244"/>
    <n v="5123.769865763792"/>
    <n v="3320.365480883057"/>
  </r>
  <r>
    <s v=" 30-11-2016"/>
    <x v="17"/>
    <n v="2.73"/>
    <n v="4689"/>
    <n v="5207.9309597291376"/>
    <n v="2407.1990094880434"/>
  </r>
  <r>
    <s v=" 31-12-2016"/>
    <x v="17"/>
    <n v="2.38"/>
    <n v="4864"/>
    <n v="4844.6792879187415"/>
    <n v="1753.0219500590208"/>
  </r>
  <r>
    <s v=" 31-01-2017"/>
    <x v="17"/>
    <n v="0.64"/>
    <n v="1178"/>
    <n v="4858.2037863756223"/>
    <n v="307.74335414388577"/>
  </r>
  <r>
    <s v=" 28-02-2017"/>
    <x v="17"/>
    <n v="1"/>
    <n v="1933"/>
    <n v="2282.0611359126865"/>
    <n v="2145.8147279556542"/>
  </r>
  <r>
    <s v=" 31-03-2017"/>
    <x v="17"/>
    <n v="2.2200000000000002"/>
    <n v="3693"/>
    <n v="2037.7183407738057"/>
    <n v="2134.3318139231496"/>
  </r>
  <r>
    <s v=" 30-04-2017"/>
    <x v="17"/>
    <n v="6.58"/>
    <n v="12404"/>
    <n v="3196.4155022321415"/>
    <n v="2338.4967363122223"/>
  </r>
  <r>
    <s v=" 31-05-2017"/>
    <x v="17"/>
    <n v="1.33"/>
    <n v="2454"/>
    <n v="9641.7246506696411"/>
    <n v="5404.9795969861671"/>
  </r>
  <r>
    <s v=" 30-06-2017"/>
    <x v="17"/>
    <n v="0.57999999999999996"/>
    <n v="1062"/>
    <n v="4610.317395200892"/>
    <n v="6811.3374924643012"/>
  </r>
  <r>
    <s v=" 31-07-2017"/>
    <x v="17"/>
    <n v="3.76"/>
    <n v="5959"/>
    <n v="2126.4952185602674"/>
    <n v="7048.2516573134226"/>
  </r>
  <r>
    <s v=" 31-08-2017"/>
    <x v="17"/>
    <n v="5.92"/>
    <n v="10699"/>
    <n v="4809.2485655680803"/>
    <n v="5129.7184747536803"/>
  </r>
  <r>
    <s v=" 30-09-2017"/>
    <x v="17"/>
    <n v="4.5199999999999996"/>
    <n v="7558"/>
    <n v="8932.0745696704234"/>
    <n v="4544.8806803639527"/>
  </r>
  <r>
    <s v=" 31-10-2017"/>
    <x v="17"/>
    <n v="1.67"/>
    <n v="3178"/>
    <n v="7970.2223709011269"/>
    <n v="4133.8176778923635"/>
  </r>
  <r>
    <s v=" 30-11-2017"/>
    <x v="17"/>
    <n v="3.08"/>
    <n v="4664"/>
    <n v="4615.6667112703381"/>
    <n v="4455.0588523824254"/>
  </r>
  <r>
    <s v=" 31-12-2017"/>
    <x v="17"/>
    <n v="4.55"/>
    <n v="8411"/>
    <n v="4649.5000133811009"/>
    <n v="2878.4146262586746"/>
  </r>
  <r>
    <s v=" 31-01-2018"/>
    <x v="17"/>
    <n v="2.35"/>
    <n v="4083"/>
    <n v="7282.5500040143297"/>
    <n v="3517.4144627504743"/>
  </r>
  <r>
    <s v=" 28-02-2018"/>
    <x v="17"/>
    <n v="0"/>
    <n v="0"/>
    <n v="5042.8650012042981"/>
    <n v="2851.2183643910021"/>
  </r>
  <r>
    <s v=" 31-03-2018"/>
    <x v="17"/>
    <n v="1.98"/>
    <n v="3030"/>
    <n v="1512.8595003612893"/>
    <n v="4074.984245282154"/>
  </r>
  <r>
    <s v=" 30-04-2018"/>
    <x v="17"/>
    <n v="1.68"/>
    <n v="3244"/>
    <n v="2574.8578501083866"/>
    <n v="3557.5892091978676"/>
  </r>
  <r>
    <s v=" 31-05-2018"/>
    <x v="17"/>
    <n v="2.0699999999999998"/>
    <n v="3779"/>
    <n v="3043.2573550325155"/>
    <n v="3064.8520319245863"/>
  </r>
  <r>
    <s v=" 30-06-2018"/>
    <x v="17"/>
    <n v="0"/>
    <n v="0"/>
    <n v="3558.2772065097543"/>
    <n v="1047.3432662423079"/>
  </r>
  <r>
    <s v=" 31-07-2018"/>
    <x v="17"/>
    <n v="1.63"/>
    <n v="2370"/>
    <n v="1067.4831619529261"/>
    <n v="2133.1045555521637"/>
  </r>
  <r>
    <s v=" 31-08-2018"/>
    <x v="17"/>
    <n v="0"/>
    <n v="0"/>
    <n v="1979.2449485858779"/>
    <n v="2228.5424258460025"/>
  </r>
  <r>
    <s v=" 30-09-2018"/>
    <x v="17"/>
    <n v="3.29"/>
    <n v="5539"/>
    <n v="593.77348457576329"/>
    <n v="2468.1502762369582"/>
  </r>
  <r>
    <s v=" 31-10-2018"/>
    <x v="17"/>
    <n v="0.56000000000000005"/>
    <n v="1033"/>
    <n v="4055.4320453727287"/>
    <n v="3165.9240867269596"/>
  </r>
  <r>
    <s v=" 30-11-2018"/>
    <x v="17"/>
    <n v="0"/>
    <n v="0"/>
    <n v="1939.7296136118184"/>
    <n v="3535.900230693434"/>
  </r>
  <r>
    <s v=" 31-12-2018"/>
    <x v="17"/>
    <n v="0"/>
    <n v="0"/>
    <n v="581.91888408354555"/>
    <n v="3528.5932858895089"/>
  </r>
  <r>
    <s v=" 31-01-2019"/>
    <x v="17"/>
    <n v="0.59"/>
    <n v="1054"/>
    <n v="174.57566522506366"/>
    <n v="2100.4980385987565"/>
  </r>
  <r>
    <s v=" 28-02-2019"/>
    <x v="17"/>
    <n v="0"/>
    <n v="0"/>
    <n v="790.17269956751909"/>
    <n v="1274.6983593737032"/>
  </r>
  <r>
    <s v=" 31-03-2019"/>
    <x v="17"/>
    <n v="0.9"/>
    <n v="1239"/>
    <n v="237.05180987025571"/>
    <n v="760.78679523004325"/>
  </r>
  <r>
    <s v=" 30-04-2019"/>
    <x v="17"/>
    <n v="0"/>
    <n v="0"/>
    <n v="938.41554296107665"/>
    <n v="894.73650337970651"/>
  </r>
  <r>
    <s v=" 31-05-2019"/>
    <x v="17"/>
    <n v="0"/>
    <n v="0"/>
    <n v="281.52466288832301"/>
    <n v="914.49381301297376"/>
  </r>
  <r>
    <s v=" 30-06-2019"/>
    <x v="17"/>
    <n v="0"/>
    <n v="0"/>
    <n v="84.457398866496902"/>
    <n v="809.06943311221983"/>
  </r>
  <r>
    <s v=" 31-07-2019"/>
    <x v="17"/>
    <n v="0"/>
    <n v="0"/>
    <n v="25.337219659949071"/>
    <n v="567.74786637162879"/>
  </r>
  <r>
    <s v=" 31-08-2019"/>
    <x v="17"/>
    <n v="4.8499999999999996"/>
    <n v="8921"/>
    <n v="7.6011658979847212"/>
    <n v="170.32435991148867"/>
  </r>
  <r>
    <s v=" 30-09-2019"/>
    <x v="17"/>
    <n v="0"/>
    <n v="0"/>
    <n v="6246.9803497693956"/>
    <n v="5146.40501718415"/>
  </r>
  <r>
    <s v=" 31-10-2019"/>
    <x v="17"/>
    <n v="1.18"/>
    <n v="2127"/>
    <n v="1874.0941049308185"/>
    <n v="6284.2152583775651"/>
  </r>
  <r>
    <s v=" 30-11-2019"/>
    <x v="17"/>
    <n v="0"/>
    <n v="0"/>
    <n v="2051.1282314792452"/>
    <n v="6285.8943584806575"/>
  </r>
  <r>
    <s v=" 31-12-2019"/>
    <x v="17"/>
    <n v="1.99"/>
    <n v="3598"/>
    <n v="615.33846944377353"/>
    <n v="3798.9407253486193"/>
  </r>
  <r>
    <s v=" 31-01-2020"/>
    <x v="17"/>
    <n v="0.57999999999999996"/>
    <n v="1022"/>
    <n v="2703.2015408331317"/>
    <n v="2095.0225312704024"/>
  </r>
  <r>
    <s v=" 29-02-2020"/>
    <x v="17"/>
    <n v="1.74"/>
    <n v="3195"/>
    <n v="1526.3604622499395"/>
    <n v="2304.331822801777"/>
  </r>
  <r>
    <s v=" 31-03-2020"/>
    <x v="17"/>
    <n v="2.31"/>
    <n v="3284"/>
    <n v="2694.4081386749817"/>
    <n v="2199.0199585044274"/>
  </r>
  <r>
    <s v=" 30-04-2020"/>
    <x v="17"/>
    <n v="74.510000000000005"/>
    <n v="36823"/>
    <n v="3107.1224416024943"/>
    <n v="1409.3042125795187"/>
  </r>
  <r>
    <s v=" 31-08-2020"/>
    <x v="17"/>
    <n v="3.28"/>
    <n v="5342"/>
    <n v="26708.236732480746"/>
    <n v="19492.668502138065"/>
  </r>
  <r>
    <s v=" 30-09-2020"/>
    <x v="17"/>
    <n v="9.49"/>
    <n v="16566"/>
    <n v="11751.871019744223"/>
    <n v="23047.950669594629"/>
  </r>
  <r>
    <s v=" 31-10-2020"/>
    <x v="17"/>
    <n v="7.84"/>
    <n v="12062"/>
    <n v="15121.761305923266"/>
    <n v="23212.441416043828"/>
  </r>
  <r>
    <s v=" 30-11-2020"/>
    <x v="17"/>
    <n v="2.48"/>
    <n v="3434"/>
    <n v="12979.928391776979"/>
    <n v="12767.850891936529"/>
  </r>
  <r>
    <s v=" 31-12-2020"/>
    <x v="17"/>
    <n v="0"/>
    <n v="0"/>
    <n v="6297.7785175330937"/>
    <n v="6420.3511313296458"/>
  </r>
  <r>
    <s v=" 31-01-2021"/>
    <x v="17"/>
    <n v="8.75"/>
    <n v="13821"/>
    <n v="1889.3335552599281"/>
    <n v="6834.9323909375144"/>
  </r>
  <r>
    <s v=" 28-02-2021"/>
    <x v="17"/>
    <n v="7.86"/>
    <n v="11467"/>
    <n v="10241.500066577977"/>
    <n v="9542.0372958359258"/>
  </r>
  <r>
    <s v=" 31-03-2021"/>
    <x v="17"/>
    <n v="1.64"/>
    <n v="2338"/>
    <n v="11099.350019973394"/>
    <n v="7821.5200673367599"/>
  </r>
  <r>
    <s v=" 30-04-2021"/>
    <x v="17"/>
    <n v="1.71"/>
    <n v="2686"/>
    <n v="4966.4050059920173"/>
    <n v="8575.6976083162153"/>
  </r>
  <r>
    <s v=" 31-05-2021"/>
    <x v="17"/>
    <n v="12.62"/>
    <n v="19528"/>
    <n v="3370.1215017976047"/>
    <n v="5274.5726920341967"/>
  </r>
  <r>
    <s v=" 30-06-2021"/>
    <x v="17"/>
    <n v="54.35"/>
    <n v="36870"/>
    <n v="14680.636450539279"/>
    <n v="10693.277307519158"/>
  </r>
  <r>
    <s v=" 31-07-2021"/>
    <x v="17"/>
    <n v="14.29"/>
    <n v="19382"/>
    <n v="30213.190935161783"/>
    <n v="15902.254968862759"/>
  </r>
  <r>
    <s v=" 31-08-2021"/>
    <x v="17"/>
    <n v="11.81"/>
    <n v="19208"/>
    <n v="22631.357280548535"/>
    <n v="17036.81884788294"/>
  </r>
  <r>
    <s v=" 30-09-2021"/>
    <x v="17"/>
    <n v="11.54"/>
    <n v="17627"/>
    <n v="20235.007184164559"/>
    <n v="14392.149791632375"/>
  </r>
  <r>
    <s v=" 31-10-2021"/>
    <x v="17"/>
    <n v="13.33"/>
    <n v="20044"/>
    <n v="18409.402155249365"/>
    <n v="6728.9368555235478"/>
  </r>
  <r>
    <s v=" 30-11-2021"/>
    <x v="17"/>
    <n v="4"/>
    <n v="6100"/>
    <n v="19553.620646574807"/>
    <n v="2657.8805250927558"/>
  </r>
  <r>
    <s v=" 31-12-2021"/>
    <x v="17"/>
    <n v="8"/>
    <n v="13483"/>
    <n v="10136.086193972442"/>
    <n v="7968.134873537665"/>
  </r>
  <r>
    <s v=" 31-01-2022"/>
    <x v="17"/>
    <n v="6.94"/>
    <n v="11004"/>
    <n v="12478.925858191731"/>
    <n v="8059.6453735257528"/>
  </r>
  <r>
    <s v=" 28-02-2022"/>
    <x v="17"/>
    <n v="7.46"/>
    <n v="11934"/>
    <n v="11446.477757457518"/>
    <n v="8049.3715451183807"/>
  </r>
  <r>
    <s v=" 31-03-2022"/>
    <x v="17"/>
    <n v="0.95"/>
    <n v="1428"/>
    <n v="11787.743327237255"/>
    <n v="2130.3298844008596"/>
  </r>
  <r>
    <s v=" 30-04-2022"/>
    <x v="17"/>
    <n v="6.36"/>
    <n v="11166"/>
    <n v="4535.922998171176"/>
    <n v="6048.0676261202934"/>
  </r>
  <r>
    <s v=" 31-01-2016"/>
    <x v="18"/>
    <n v="6.76"/>
    <n v="422983"/>
    <n v="9176.9768994513524"/>
    <n v="7106.8014557274628"/>
  </r>
  <r>
    <s v=" 29-02-2016"/>
    <x v="18"/>
    <n v="14.51"/>
    <n v="837763"/>
    <n v="298841.19306983537"/>
    <n v="239016.53147648473"/>
  </r>
  <r>
    <s v=" 31-03-2016"/>
    <x v="18"/>
    <n v="8.35"/>
    <n v="507915"/>
    <n v="676086.4579209506"/>
    <n v="392307.74342779058"/>
  </r>
  <r>
    <s v=" 30-04-2016"/>
    <x v="18"/>
    <n v="7.32"/>
    <n v="436674"/>
    <n v="558366.4373762852"/>
    <n v="404126.12635101244"/>
  </r>
  <r>
    <s v=" 31-05-2016"/>
    <x v="18"/>
    <n v="2.5099999999999998"/>
    <n v="166305"/>
    <n v="473181.73121288558"/>
    <n v="333430.35382655886"/>
  </r>
  <r>
    <s v=" 30-06-2016"/>
    <x v="18"/>
    <n v="11.31"/>
    <n v="691901"/>
    <n v="258368.01936386566"/>
    <n v="213903.41802921615"/>
  </r>
  <r>
    <s v=" 31-07-2016"/>
    <x v="18"/>
    <n v="5.33"/>
    <n v="345852"/>
    <n v="561841.10580915969"/>
    <n v="314607.28046976152"/>
  </r>
  <r>
    <s v=" 31-08-2016"/>
    <x v="18"/>
    <n v="4.2300000000000004"/>
    <n v="257693"/>
    <n v="410648.73174274788"/>
    <n v="331046.55628647201"/>
  </r>
  <r>
    <s v=" 30-09-2016"/>
    <x v="18"/>
    <n v="4.24"/>
    <n v="274905"/>
    <n v="303579.71952282434"/>
    <n v="293256.19913905236"/>
  </r>
  <r>
    <s v=" 31-10-2016"/>
    <x v="18"/>
    <n v="13.35"/>
    <n v="794303"/>
    <n v="283507.41585684731"/>
    <n v="153697.7436842763"/>
  </r>
  <r>
    <s v=" 30-11-2016"/>
    <x v="18"/>
    <n v="4.0999999999999996"/>
    <n v="263807"/>
    <n v="641064.32475705422"/>
    <n v="308290.89303925098"/>
  </r>
  <r>
    <s v=" 31-12-2016"/>
    <x v="18"/>
    <n v="4.7300000000000004"/>
    <n v="265586"/>
    <n v="376984.19742711622"/>
    <n v="366995.66636982997"/>
  </r>
  <r>
    <s v=" 31-01-2017"/>
    <x v="18"/>
    <n v="4.92"/>
    <n v="312891"/>
    <n v="299005.45922813483"/>
    <n v="372220.71241536463"/>
  </r>
  <r>
    <s v=" 28-02-2017"/>
    <x v="18"/>
    <n v="10.46"/>
    <n v="624555"/>
    <n v="308725.33776844043"/>
    <n v="227248.36318837543"/>
  </r>
  <r>
    <s v=" 31-03-2017"/>
    <x v="18"/>
    <n v="2.4300000000000002"/>
    <n v="156726"/>
    <n v="529806.10133053211"/>
    <n v="193520.6639938303"/>
  </r>
  <r>
    <s v=" 30-04-2017"/>
    <x v="18"/>
    <n v="0.93"/>
    <n v="57347"/>
    <n v="268650.03039915964"/>
    <n v="282329.56262532872"/>
  </r>
  <r>
    <s v=" 31-05-2017"/>
    <x v="18"/>
    <n v="3.54"/>
    <n v="223085"/>
    <n v="120737.90911974788"/>
    <n v="307455.20443904737"/>
  </r>
  <r>
    <s v=" 30-06-2017"/>
    <x v="18"/>
    <n v="10.44"/>
    <n v="622078"/>
    <n v="192380.87273592438"/>
    <n v="254501.25060355393"/>
  </r>
  <r>
    <s v=" 31-07-2017"/>
    <x v="18"/>
    <n v="4.43"/>
    <n v="286625"/>
    <n v="493168.8618207773"/>
    <n v="282703.3302754662"/>
  </r>
  <r>
    <s v=" 31-08-2017"/>
    <x v="18"/>
    <n v="1.38"/>
    <n v="88290"/>
    <n v="348588.1585462332"/>
    <n v="281528.51545713219"/>
  </r>
  <r>
    <s v=" 30-09-2017"/>
    <x v="18"/>
    <n v="3.81"/>
    <n v="233431"/>
    <n v="166379.44756386994"/>
    <n v="313610.75628736516"/>
  </r>
  <r>
    <s v=" 31-10-2017"/>
    <x v="18"/>
    <n v="9.44"/>
    <n v="550070"/>
    <n v="213315.53426916097"/>
    <n v="195713.57377768104"/>
  </r>
  <r>
    <s v=" 30-11-2017"/>
    <x v="18"/>
    <n v="9.69"/>
    <n v="590861"/>
    <n v="449043.66028074827"/>
    <n v="248766.69941688867"/>
  </r>
  <r>
    <s v=" 31-12-2017"/>
    <x v="18"/>
    <n v="7.44"/>
    <n v="452603"/>
    <n v="548315.79808422446"/>
    <n v="214485.15000562285"/>
  </r>
  <r>
    <s v=" 31-01-2018"/>
    <x v="18"/>
    <n v="3.83"/>
    <n v="236807"/>
    <n v="481316.8394252673"/>
    <n v="218080.00653569019"/>
  </r>
  <r>
    <s v=" 28-02-2018"/>
    <x v="18"/>
    <n v="10.73"/>
    <n v="627500"/>
    <n v="310159.95182758017"/>
    <n v="172296.41042684473"/>
  </r>
  <r>
    <s v=" 31-03-2018"/>
    <x v="18"/>
    <n v="9.25"/>
    <n v="560386"/>
    <n v="532297.98554827401"/>
    <n v="237802.9348479922"/>
  </r>
  <r>
    <s v=" 30-04-2018"/>
    <x v="18"/>
    <n v="7.9"/>
    <n v="478852"/>
    <n v="551959.5956644821"/>
    <n v="231861.09656838662"/>
  </r>
  <r>
    <s v=" 31-05-2018"/>
    <x v="18"/>
    <n v="5.0999999999999996"/>
    <n v="317504"/>
    <n v="500784.27869934461"/>
    <n v="188713.50708923434"/>
  </r>
  <r>
    <s v=" 30-06-2018"/>
    <x v="18"/>
    <n v="8.4600000000000009"/>
    <n v="501542"/>
    <n v="372488.08360980335"/>
    <n v="115072.90103783659"/>
  </r>
  <r>
    <s v=" 31-07-2018"/>
    <x v="18"/>
    <n v="8.3800000000000008"/>
    <n v="524010"/>
    <n v="462825.82508294098"/>
    <n v="136126.52746568626"/>
  </r>
  <r>
    <s v=" 31-08-2018"/>
    <x v="18"/>
    <n v="4.3"/>
    <n v="263964"/>
    <n v="505654.74752488232"/>
    <n v="134151.75133164006"/>
  </r>
  <r>
    <s v=" 30-09-2018"/>
    <x v="18"/>
    <n v="8.18"/>
    <n v="513223"/>
    <n v="336471.22425746464"/>
    <n v="162083.14125273851"/>
  </r>
  <r>
    <s v=" 31-10-2018"/>
    <x v="18"/>
    <n v="12.5"/>
    <n v="746555"/>
    <n v="460197.46727723937"/>
    <n v="176445.5637749286"/>
  </r>
  <r>
    <s v=" 30-11-2018"/>
    <x v="18"/>
    <n v="8.0500000000000007"/>
    <n v="500563"/>
    <n v="660647.74018317182"/>
    <n v="239204.40646327485"/>
  </r>
  <r>
    <s v=" 31-12-2018"/>
    <x v="18"/>
    <n v="3.67"/>
    <n v="224324"/>
    <n v="548588.42205495154"/>
    <n v="215150.29693582427"/>
  </r>
  <r>
    <s v=" 31-01-2019"/>
    <x v="18"/>
    <n v="9.2100000000000009"/>
    <n v="577530"/>
    <n v="321603.32661648549"/>
    <n v="266317.58985417662"/>
  </r>
  <r>
    <s v=" 28-02-2019"/>
    <x v="18"/>
    <n v="12.99"/>
    <n v="771858"/>
    <n v="500751.99798494566"/>
    <n v="255781.80909992894"/>
  </r>
  <r>
    <s v=" 31-03-2019"/>
    <x v="18"/>
    <n v="9.68"/>
    <n v="597050"/>
    <n v="690526.19939548371"/>
    <n v="285274.33690418687"/>
  </r>
  <r>
    <s v=" 30-04-2019"/>
    <x v="18"/>
    <n v="6.16"/>
    <n v="375128"/>
    <n v="625092.85981864505"/>
    <n v="221911.93923954232"/>
  </r>
  <r>
    <s v=" 31-05-2019"/>
    <x v="18"/>
    <n v="9.17"/>
    <n v="558320"/>
    <n v="450117.45794559352"/>
    <n v="219635.07258341488"/>
  </r>
  <r>
    <s v=" 30-06-2019"/>
    <x v="18"/>
    <n v="12.21"/>
    <n v="735681"/>
    <n v="525859.23738367809"/>
    <n v="166260.86040177415"/>
  </r>
  <r>
    <s v=" 31-07-2019"/>
    <x v="18"/>
    <n v="9.64"/>
    <n v="608104"/>
    <n v="672734.4712151034"/>
    <n v="198507.25706181006"/>
  </r>
  <r>
    <s v=" 31-08-2019"/>
    <x v="18"/>
    <n v="6.69"/>
    <n v="413671"/>
    <n v="627493.14136453101"/>
    <n v="141315.3211603305"/>
  </r>
  <r>
    <s v=" 30-09-2019"/>
    <x v="18"/>
    <n v="8.85"/>
    <n v="553502"/>
    <n v="477817.64240935922"/>
    <n v="176938.95182107296"/>
  </r>
  <r>
    <s v=" 31-10-2019"/>
    <x v="18"/>
    <n v="12.56"/>
    <n v="756353"/>
    <n v="530796.69272280775"/>
    <n v="136167.94523811122"/>
  </r>
  <r>
    <s v=" 30-11-2019"/>
    <x v="18"/>
    <n v="7.07"/>
    <n v="452128"/>
    <n v="688686.10781684227"/>
    <n v="184683.22236931778"/>
  </r>
  <r>
    <s v=" 31-12-2019"/>
    <x v="18"/>
    <n v="6.13"/>
    <n v="377867"/>
    <n v="523095.43234505266"/>
    <n v="193703.81867713737"/>
  </r>
  <r>
    <s v=" 31-01-2020"/>
    <x v="18"/>
    <n v="9.69"/>
    <n v="599760"/>
    <n v="421435.52970351576"/>
    <n v="206499.94647925819"/>
  </r>
  <r>
    <s v=" 29-02-2020"/>
    <x v="18"/>
    <n v="10.41"/>
    <n v="625622"/>
    <n v="546262.65891105472"/>
    <n v="190482.41619793326"/>
  </r>
  <r>
    <s v=" 31-03-2020"/>
    <x v="18"/>
    <n v="10.51"/>
    <n v="669875"/>
    <n v="601814.19767331635"/>
    <n v="140462.11741485648"/>
  </r>
  <r>
    <s v=" 30-04-2020"/>
    <x v="18"/>
    <n v="3.69"/>
    <n v="174227"/>
    <n v="649456.75930199481"/>
    <n v="119345.15007314591"/>
  </r>
  <r>
    <s v=" 31-05-2020"/>
    <x v="18"/>
    <n v="34"/>
    <n v="1414197"/>
    <n v="316795.92779059842"/>
    <n v="280935.04703498958"/>
  </r>
  <r>
    <s v=" 30-06-2020"/>
    <x v="18"/>
    <n v="20"/>
    <n v="1072809"/>
    <n v="1084976.6783371794"/>
    <n v="691559.76127059513"/>
  </r>
  <r>
    <s v=" 31-07-2020"/>
    <x v="18"/>
    <n v="9.11"/>
    <n v="563937"/>
    <n v="1076459.3035011538"/>
    <n v="690478.21346481622"/>
  </r>
  <r>
    <s v=" 31-08-2020"/>
    <x v="18"/>
    <n v="9.7799999999999994"/>
    <n v="577272"/>
    <n v="717693.69105034613"/>
    <n v="699313.06229008047"/>
  </r>
  <r>
    <s v=" 30-09-2020"/>
    <x v="18"/>
    <n v="11.89"/>
    <n v="712004"/>
    <n v="619398.50731510378"/>
    <n v="306890.54253902141"/>
  </r>
  <r>
    <s v=" 31-10-2020"/>
    <x v="18"/>
    <n v="10.95"/>
    <n v="640161"/>
    <n v="684222.35219453112"/>
    <n v="311433.85610162339"/>
  </r>
  <r>
    <s v=" 30-11-2020"/>
    <x v="18"/>
    <n v="7.62"/>
    <n v="467960"/>
    <n v="653379.40565835929"/>
    <n v="100391.61875718135"/>
  </r>
  <r>
    <s v=" 31-12-2020"/>
    <x v="18"/>
    <n v="1.82"/>
    <n v="108574"/>
    <n v="523585.82169750775"/>
    <n v="122334.97187002862"/>
  </r>
  <r>
    <s v=" 31-01-2021"/>
    <x v="18"/>
    <n v="10.16"/>
    <n v="607258"/>
    <n v="233077.54650925231"/>
    <n v="263664.28837987251"/>
  </r>
  <r>
    <s v=" 28-02-2021"/>
    <x v="18"/>
    <n v="8.36"/>
    <n v="494890"/>
    <n v="495003.86395277566"/>
    <n v="339914.78339819465"/>
  </r>
  <r>
    <s v=" 31-03-2021"/>
    <x v="18"/>
    <n v="6.98"/>
    <n v="428318"/>
    <n v="494924.15918583272"/>
    <n v="322617.33621956594"/>
  </r>
  <r>
    <s v=" 30-04-2021"/>
    <x v="18"/>
    <n v="2.82"/>
    <n v="171470"/>
    <n v="448299.84775574983"/>
    <n v="219429.11169747575"/>
  </r>
  <r>
    <s v=" 31-05-2021"/>
    <x v="18"/>
    <n v="9.3699999999999992"/>
    <n v="557308"/>
    <n v="254518.95432672492"/>
    <n v="164388.92705507862"/>
  </r>
  <r>
    <s v=" 30-06-2021"/>
    <x v="18"/>
    <n v="9.69"/>
    <n v="572681"/>
    <n v="466471.28629801748"/>
    <n v="239966.90829479857"/>
  </r>
  <r>
    <s v=" 31-07-2021"/>
    <x v="18"/>
    <n v="6.55"/>
    <n v="406771"/>
    <n v="540818.08588940522"/>
    <n v="244674.25560859576"/>
  </r>
  <r>
    <s v=" 31-08-2021"/>
    <x v="18"/>
    <n v="3.33"/>
    <n v="206668"/>
    <n v="446985.12576682155"/>
    <n v="200773.77874931056"/>
  </r>
  <r>
    <s v=" 30-09-2021"/>
    <x v="18"/>
    <n v="11.19"/>
    <n v="647480"/>
    <n v="278763.13773004641"/>
    <n v="170295.2783226094"/>
  </r>
  <r>
    <s v=" 31-10-2021"/>
    <x v="18"/>
    <n v="14.15"/>
    <n v="796079"/>
    <n v="536864.94131901395"/>
    <n v="265626.97321272915"/>
  </r>
  <r>
    <s v=" 30-11-2021"/>
    <x v="18"/>
    <n v="6.45"/>
    <n v="405820"/>
    <n v="718314.78239570407"/>
    <n v="294899.06390542956"/>
  </r>
  <r>
    <s v=" 31-12-2021"/>
    <x v="18"/>
    <n v="4.2"/>
    <n v="265686"/>
    <n v="499568.43471871119"/>
    <n v="316647.56526492146"/>
  </r>
  <r>
    <s v=" 31-01-2022"/>
    <x v="18"/>
    <n v="11.03"/>
    <n v="636059"/>
    <n v="335850.73041561333"/>
    <n v="270521.66303419543"/>
  </r>
  <r>
    <s v=" 28-02-2022"/>
    <x v="18"/>
    <n v="10.79"/>
    <n v="633525"/>
    <n v="545996.51912468392"/>
    <n v="284299.71709526458"/>
  </r>
  <r>
    <s v=" 31-03-2022"/>
    <x v="18"/>
    <n v="6.74"/>
    <n v="423551"/>
    <n v="607266.45573740522"/>
    <n v="225453.05007262196"/>
  </r>
  <r>
    <s v=" 30-04-2022"/>
    <x v="18"/>
    <n v="5.05"/>
    <n v="319693"/>
    <n v="478665.6367212215"/>
    <n v="209394.05337623993"/>
  </r>
  <r>
    <s v=" 31-01-2016"/>
    <x v="19"/>
    <n v="5.23"/>
    <n v="743180"/>
    <n v="367384.79101636645"/>
    <n v="149091.58579794783"/>
  </r>
  <r>
    <s v=" 29-02-2016"/>
    <x v="19"/>
    <n v="3.6"/>
    <n v="528414"/>
    <n v="630441.43730490992"/>
    <n v="258357.44424985629"/>
  </r>
  <r>
    <s v=" 31-03-2016"/>
    <x v="19"/>
    <n v="8.0299999999999994"/>
    <n v="1059935"/>
    <n v="559022.23119147297"/>
    <n v="242833.23240731668"/>
  </r>
  <r>
    <s v=" 30-04-2016"/>
    <x v="19"/>
    <n v="11.31"/>
    <n v="1510005"/>
    <n v="909661.16935744183"/>
    <n v="366308.26681611803"/>
  </r>
  <r>
    <s v=" 31-05-2016"/>
    <x v="19"/>
    <n v="7.57"/>
    <n v="1021386"/>
    <n v="1329901.8508072325"/>
    <n v="455242.0290017947"/>
  </r>
  <r>
    <s v=" 30-06-2016"/>
    <x v="19"/>
    <n v="7.5"/>
    <n v="1095029"/>
    <n v="1113940.7552421698"/>
    <n v="485286.28909312078"/>
  </r>
  <r>
    <s v=" 31-07-2016"/>
    <x v="19"/>
    <n v="7.48"/>
    <n v="915322"/>
    <n v="1100702.5265726508"/>
    <n v="389851.42455223924"/>
  </r>
  <r>
    <s v=" 31-08-2016"/>
    <x v="19"/>
    <n v="5.91"/>
    <n v="837727"/>
    <n v="970936.15797179518"/>
    <n v="208091.02520932484"/>
  </r>
  <r>
    <s v=" 30-09-2016"/>
    <x v="19"/>
    <n v="3.83"/>
    <n v="558571"/>
    <n v="877689.74739153846"/>
    <n v="132247.58836647734"/>
  </r>
  <r>
    <s v=" 31-10-2016"/>
    <x v="19"/>
    <n v="4.6500000000000004"/>
    <n v="687468"/>
    <n v="654306.62421746156"/>
    <n v="226529.90555822314"/>
  </r>
  <r>
    <s v=" 30-11-2016"/>
    <x v="19"/>
    <n v="5.27"/>
    <n v="655334"/>
    <n v="677519.5872652384"/>
    <n v="200566.80644953024"/>
  </r>
  <r>
    <s v=" 31-12-2016"/>
    <x v="19"/>
    <n v="8.76"/>
    <n v="1201859"/>
    <n v="661989.67617957154"/>
    <n v="185677.72444286256"/>
  </r>
  <r>
    <s v=" 31-01-2017"/>
    <x v="19"/>
    <n v="5.0999999999999996"/>
    <n v="705112"/>
    <n v="1039898.2028538714"/>
    <n v="312543.73770104611"/>
  </r>
  <r>
    <s v=" 28-02-2017"/>
    <x v="19"/>
    <n v="4.17"/>
    <n v="637933"/>
    <n v="805547.86085616145"/>
    <n v="366984.50862215954"/>
  </r>
  <r>
    <s v=" 31-03-2017"/>
    <x v="19"/>
    <n v="2.41"/>
    <n v="371118"/>
    <n v="688217.45825684839"/>
    <n v="379313.16437453567"/>
  </r>
  <r>
    <s v=" 30-04-2017"/>
    <x v="19"/>
    <n v="5.76"/>
    <n v="856537"/>
    <n v="466247.83747705445"/>
    <n v="283271.72445547202"/>
  </r>
  <r>
    <s v=" 31-05-2017"/>
    <x v="19"/>
    <n v="2.5499999999999998"/>
    <n v="353164"/>
    <n v="739450.25124311622"/>
    <n v="306035.09514949389"/>
  </r>
  <r>
    <s v=" 30-06-2017"/>
    <x v="19"/>
    <n v="5.13"/>
    <n v="787907"/>
    <n v="469049.87537293485"/>
    <n v="366103.24805493001"/>
  </r>
  <r>
    <s v=" 31-07-2017"/>
    <x v="19"/>
    <n v="0.8"/>
    <n v="110276"/>
    <n v="692249.86261188029"/>
    <n v="366611.76749969984"/>
  </r>
  <r>
    <s v=" 31-08-2017"/>
    <x v="19"/>
    <n v="6.82"/>
    <n v="951349"/>
    <n v="284868.15878356405"/>
    <n v="443313.47471373325"/>
  </r>
  <r>
    <s v=" 30-09-2017"/>
    <x v="19"/>
    <n v="1.06"/>
    <n v="161484"/>
    <n v="751404.74763506919"/>
    <n v="543004.03755325172"/>
  </r>
  <r>
    <s v=" 31-10-2017"/>
    <x v="19"/>
    <n v="3"/>
    <n v="420193"/>
    <n v="338460.22429052077"/>
    <n v="613975.23754688969"/>
  </r>
  <r>
    <s v=" 30-11-2017"/>
    <x v="19"/>
    <n v="7.49"/>
    <n v="1138908"/>
    <n v="395673.16728715622"/>
    <n v="516037.28767860145"/>
  </r>
  <r>
    <s v=" 31-12-2017"/>
    <x v="19"/>
    <n v="3.76"/>
    <n v="546414"/>
    <n v="915937.55018614687"/>
    <n v="549874.15277594316"/>
  </r>
  <r>
    <s v=" 31-01-2018"/>
    <x v="19"/>
    <n v="5.23"/>
    <n v="760286"/>
    <n v="657271.06505584402"/>
    <n v="481534.32460730453"/>
  </r>
  <r>
    <s v=" 28-02-2018"/>
    <x v="19"/>
    <n v="4.43"/>
    <n v="618526"/>
    <n v="729381.51951675315"/>
    <n v="482893.27582859388"/>
  </r>
  <r>
    <s v=" 31-03-2018"/>
    <x v="19"/>
    <n v="13.31"/>
    <n v="1933867"/>
    <n v="651782.65585502586"/>
    <n v="230541.88135134414"/>
  </r>
  <r>
    <s v=" 30-04-2018"/>
    <x v="19"/>
    <n v="6.68"/>
    <n v="937655"/>
    <n v="1549241.6967565077"/>
    <n v="745350.31775457249"/>
  </r>
  <r>
    <s v=" 31-05-2018"/>
    <x v="19"/>
    <n v="3.48"/>
    <n v="518113"/>
    <n v="1121131.0090269523"/>
    <n v="822611.18789671105"/>
  </r>
  <r>
    <s v=" 30-06-2018"/>
    <x v="19"/>
    <n v="9.27"/>
    <n v="1308684"/>
    <n v="699018.40270808572"/>
    <n v="890956.27883041394"/>
  </r>
  <r>
    <s v=" 31-07-2018"/>
    <x v="19"/>
    <n v="10.17"/>
    <n v="1462698"/>
    <n v="1125784.3208124256"/>
    <n v="608101.18329701037"/>
  </r>
  <r>
    <s v=" 31-08-2018"/>
    <x v="19"/>
    <n v="9.34"/>
    <n v="1334383"/>
    <n v="1361623.8962437278"/>
    <n v="531925.33528552169"/>
  </r>
  <r>
    <s v=" 30-09-2018"/>
    <x v="19"/>
    <n v="6.2"/>
    <n v="907026"/>
    <n v="1342555.2688731183"/>
    <n v="402469.47469059727"/>
  </r>
  <r>
    <s v=" 31-10-2018"/>
    <x v="19"/>
    <n v="13.22"/>
    <n v="1889860"/>
    <n v="1037684.7806619355"/>
    <n v="318296.84137977363"/>
  </r>
  <r>
    <s v=" 30-11-2018"/>
    <x v="19"/>
    <n v="11.99"/>
    <n v="1749723"/>
    <n v="1634207.4341985807"/>
    <n v="552759.86797378631"/>
  </r>
  <r>
    <s v=" 31-12-2018"/>
    <x v="19"/>
    <n v="14.58"/>
    <n v="2121009"/>
    <n v="1715068.3302595741"/>
    <n v="556546.55224322237"/>
  </r>
  <r>
    <s v=" 31-01-2019"/>
    <x v="19"/>
    <n v="5.82"/>
    <n v="862126"/>
    <n v="1999226.799077872"/>
    <n v="549039.8521496735"/>
  </r>
  <r>
    <s v=" 28-02-2019"/>
    <x v="19"/>
    <n v="9.58"/>
    <n v="1462418"/>
    <n v="1203256.2397233616"/>
    <n v="700268.97226595785"/>
  </r>
  <r>
    <s v=" 31-03-2019"/>
    <x v="19"/>
    <n v="8.92"/>
    <n v="1313752"/>
    <n v="1384669.4719170085"/>
    <n v="712963.50364810077"/>
  </r>
  <r>
    <s v=" 30-04-2019"/>
    <x v="19"/>
    <n v="12.1"/>
    <n v="1818489"/>
    <n v="1335027.2415751023"/>
    <n v="674584.39874150674"/>
  </r>
  <r>
    <s v=" 31-05-2019"/>
    <x v="19"/>
    <n v="4.03"/>
    <n v="613608"/>
    <n v="1673450.4724725306"/>
    <n v="319337.53181238583"/>
  </r>
  <r>
    <s v=" 30-06-2019"/>
    <x v="19"/>
    <n v="13.7"/>
    <n v="2001648"/>
    <n v="931560.74174175912"/>
    <n v="673802.79660522845"/>
  </r>
  <r>
    <s v=" 31-07-2019"/>
    <x v="19"/>
    <n v="9.6999999999999993"/>
    <n v="1441408"/>
    <n v="1680621.8225225275"/>
    <n v="913252.07885567204"/>
  </r>
  <r>
    <s v=" 31-08-2019"/>
    <x v="19"/>
    <n v="12.5"/>
    <n v="1881506"/>
    <n v="1513172.1467567582"/>
    <n v="880449.89628961182"/>
  </r>
  <r>
    <s v=" 30-09-2019"/>
    <x v="19"/>
    <n v="5.65"/>
    <n v="863925"/>
    <n v="1771005.8440270275"/>
    <n v="667827.27822331735"/>
  </r>
  <r>
    <s v=" 31-10-2019"/>
    <x v="19"/>
    <n v="14.66"/>
    <n v="2225175"/>
    <n v="1136049.2532081082"/>
    <n v="581861.59234295506"/>
  </r>
  <r>
    <s v=" 30-11-2019"/>
    <x v="19"/>
    <n v="10.47"/>
    <n v="1599665"/>
    <n v="1898437.2759624324"/>
    <n v="845509.78259091219"/>
  </r>
  <r>
    <s v=" 31-12-2019"/>
    <x v="19"/>
    <n v="13.96"/>
    <n v="2161750"/>
    <n v="1689296.6827887297"/>
    <n v="836312.42623187823"/>
  </r>
  <r>
    <s v=" 31-01-2020"/>
    <x v="19"/>
    <n v="8"/>
    <n v="1238748"/>
    <n v="2020014.0048366189"/>
    <n v="706793.67620088882"/>
  </r>
  <r>
    <s v=" 29-02-2020"/>
    <x v="19"/>
    <n v="14.48"/>
    <n v="2177875"/>
    <n v="1473127.8014509855"/>
    <n v="554633.08596496982"/>
  </r>
  <r>
    <s v=" 31-03-2020"/>
    <x v="19"/>
    <n v="9.4700000000000006"/>
    <n v="1426160"/>
    <n v="1966450.8404352956"/>
    <n v="665897.21957671246"/>
  </r>
  <r>
    <s v=" 30-04-2020"/>
    <x v="19"/>
    <n v="12.25"/>
    <n v="1598774"/>
    <n v="1588247.2521305885"/>
    <n v="682876.11771446362"/>
  </r>
  <r>
    <s v=" 31-05-2020"/>
    <x v="19"/>
    <n v="10.45"/>
    <n v="1628824"/>
    <n v="1595615.9756391763"/>
    <n v="512735.67541884852"/>
  </r>
  <r>
    <s v=" 30-06-2020"/>
    <x v="19"/>
    <n v="12.97"/>
    <n v="1995026"/>
    <n v="1618861.5926917526"/>
    <n v="312584.80319263408"/>
  </r>
  <r>
    <s v=" 31-07-2020"/>
    <x v="19"/>
    <n v="14.4"/>
    <n v="2120321"/>
    <n v="1882176.6778075257"/>
    <n v="218107.95998634887"/>
  </r>
  <r>
    <s v=" 31-08-2020"/>
    <x v="19"/>
    <n v="14.68"/>
    <n v="2207377"/>
    <n v="2048877.7033422575"/>
    <n v="257756.44343709893"/>
  </r>
  <r>
    <s v=" 30-09-2020"/>
    <x v="19"/>
    <n v="11.56"/>
    <n v="1735672"/>
    <n v="2159827.2110026772"/>
    <n v="272845.74797192466"/>
  </r>
  <r>
    <s v=" 31-10-2020"/>
    <x v="19"/>
    <n v="23.93"/>
    <n v="3528942"/>
    <n v="1862918.5633008031"/>
    <n v="295376.81485081482"/>
  </r>
  <r>
    <s v=" 30-11-2020"/>
    <x v="19"/>
    <n v="16.86"/>
    <n v="2533926"/>
    <n v="3029134.9689902407"/>
    <n v="996772.08389426174"/>
  </r>
  <r>
    <s v=" 31-12-2020"/>
    <x v="19"/>
    <n v="27.74"/>
    <n v="4118644"/>
    <n v="2682488.6906970721"/>
    <n v="1032920.399905063"/>
  </r>
  <r>
    <s v=" 31-01-2021"/>
    <x v="19"/>
    <n v="14.03"/>
    <n v="2242300"/>
    <n v="3687797.4072091216"/>
    <n v="1301717.8505137444"/>
  </r>
  <r>
    <s v=" 28-02-2021"/>
    <x v="19"/>
    <n v="25.61"/>
    <n v="3834532"/>
    <n v="2675949.2221627366"/>
    <n v="1210679.8021023367"/>
  </r>
  <r>
    <s v=" 31-03-2021"/>
    <x v="19"/>
    <n v="17.63"/>
    <n v="2683614"/>
    <n v="3486957.166648821"/>
    <n v="1353306.9225405338"/>
  </r>
  <r>
    <s v=" 30-04-2021"/>
    <x v="19"/>
    <n v="27.33"/>
    <n v="4075424"/>
    <n v="2924616.949994646"/>
    <n v="1165781.1473786947"/>
  </r>
  <r>
    <s v=" 31-05-2021"/>
    <x v="19"/>
    <n v="22.04"/>
    <n v="3214821"/>
    <n v="3730181.8849983937"/>
    <n v="1050718.9860351959"/>
  </r>
  <r>
    <s v=" 30-06-2021"/>
    <x v="19"/>
    <n v="25.97"/>
    <n v="3939183"/>
    <n v="3369429.2654995178"/>
    <n v="863194.44536552881"/>
  </r>
  <r>
    <s v=" 31-07-2021"/>
    <x v="19"/>
    <n v="18.55"/>
    <n v="2870648"/>
    <n v="3768256.8796498552"/>
    <n v="798868.58036967902"/>
  </r>
  <r>
    <s v=" 31-08-2021"/>
    <x v="19"/>
    <n v="25"/>
    <n v="3834444"/>
    <n v="3139930.6638949565"/>
    <n v="682133.38397262688"/>
  </r>
  <r>
    <s v=" 30-09-2021"/>
    <x v="19"/>
    <n v="13.77"/>
    <n v="2187912"/>
    <n v="3626089.9991684868"/>
    <n v="733182.51316464425"/>
  </r>
  <r>
    <s v=" 31-10-2021"/>
    <x v="19"/>
    <n v="29.84"/>
    <n v="4539544"/>
    <n v="2619365.3997505456"/>
    <n v="1057734.4392846278"/>
  </r>
  <r>
    <s v=" 30-11-2021"/>
    <x v="19"/>
    <n v="17.38"/>
    <n v="2610084"/>
    <n v="3963490.4199251635"/>
    <n v="1441965.1623364533"/>
  </r>
  <r>
    <s v=" 31-12-2021"/>
    <x v="19"/>
    <n v="25.59"/>
    <n v="3811169"/>
    <n v="3016105.9259775486"/>
    <n v="1590298.7928523447"/>
  </r>
  <r>
    <s v=" 31-01-2022"/>
    <x v="19"/>
    <n v="15.85"/>
    <n v="2450337"/>
    <n v="3572650.0777932643"/>
    <n v="1431889.204981148"/>
  </r>
  <r>
    <s v=" 28-02-2022"/>
    <x v="19"/>
    <n v="33.14"/>
    <n v="4738823"/>
    <n v="2787030.9233379792"/>
    <n v="1114064.7607978135"/>
  </r>
  <r>
    <s v=" 31-03-2022"/>
    <x v="19"/>
    <n v="22.76"/>
    <n v="3287222"/>
    <n v="4153285.3770013936"/>
    <n v="1378550.4762588446"/>
  </r>
  <r>
    <s v=" 30-04-2022"/>
    <x v="19"/>
    <n v="27.56"/>
    <n v="4125246"/>
    <n v="3547041.0131004183"/>
    <n v="1392736.4823839304"/>
  </r>
  <r>
    <s v=" 31-10-2019"/>
    <x v="20"/>
    <n v="5.48"/>
    <n v="8039"/>
    <n v="3951784.5039301254"/>
    <n v="1277220.8227735781"/>
  </r>
  <r>
    <s v=" 30-11-2019"/>
    <x v="20"/>
    <n v="13.11"/>
    <n v="21294"/>
    <n v="1191162.6511790375"/>
    <n v="2354960.3945450746"/>
  </r>
  <r>
    <s v=" 31-12-2019"/>
    <x v="20"/>
    <n v="1"/>
    <n v="1616"/>
    <n v="372254.59535371122"/>
    <n v="2398335.6915199952"/>
  </r>
  <r>
    <s v=" 30-04-2020"/>
    <x v="20"/>
    <n v="0"/>
    <n v="0"/>
    <n v="112807.57860611335"/>
    <n v="2384609.9771343679"/>
  </r>
  <r>
    <s v=" 30-06-2020"/>
    <x v="20"/>
    <n v="5.81"/>
    <n v="8210"/>
    <n v="33842.273581834008"/>
    <n v="711498.6950487463"/>
  </r>
  <r>
    <s v=" 31-08-2020"/>
    <x v="20"/>
    <n v="12.68"/>
    <n v="20352"/>
    <n v="15899.682074550203"/>
    <n v="224169.23042329765"/>
  </r>
  <r>
    <s v=" 31-10-2020"/>
    <x v="20"/>
    <n v="1.37"/>
    <n v="2110"/>
    <n v="19016.30462236506"/>
    <n v="66839.07633228162"/>
  </r>
  <r>
    <s v=" 30-06-2021"/>
    <x v="20"/>
    <n v="0"/>
    <n v="0"/>
    <n v="7181.891386709518"/>
    <n v="17913.307156668656"/>
  </r>
  <r>
    <s v=" 31-01-2016"/>
    <x v="21"/>
    <n v="8.17"/>
    <n v="1452822"/>
    <n v="2154.5674160128551"/>
    <n v="10912.161942590727"/>
  </r>
  <r>
    <s v=" 29-02-2016"/>
    <x v="21"/>
    <n v="2.6"/>
    <n v="472377"/>
    <n v="1017621.7702248037"/>
    <n v="837610.37136600527"/>
  </r>
  <r>
    <s v=" 31-03-2016"/>
    <x v="21"/>
    <n v="9.11"/>
    <n v="1612493"/>
    <n v="635950.43106744112"/>
    <n v="894758.7084387996"/>
  </r>
  <r>
    <s v=" 30-04-2016"/>
    <x v="21"/>
    <n v="11.58"/>
    <n v="2044245"/>
    <n v="1319530.2293202323"/>
    <n v="1057570.0525819741"/>
  </r>
  <r>
    <s v=" 31-05-2016"/>
    <x v="21"/>
    <n v="9.81"/>
    <n v="1815618"/>
    <n v="1826830.5687960696"/>
    <n v="769445.41656882735"/>
  </r>
  <r>
    <s v=" 30-06-2016"/>
    <x v="21"/>
    <n v="4.08"/>
    <n v="700071"/>
    <n v="1818981.7706388207"/>
    <n v="702133.08555141138"/>
  </r>
  <r>
    <s v=" 31-07-2016"/>
    <x v="21"/>
    <n v="3.27"/>
    <n v="582228"/>
    <n v="1035744.2311916462"/>
    <n v="769696.59242933604"/>
  </r>
  <r>
    <s v=" 31-08-2016"/>
    <x v="21"/>
    <n v="6.17"/>
    <n v="1149265"/>
    <n v="718282.86935749382"/>
    <n v="697080.58030255511"/>
  </r>
  <r>
    <s v=" 30-09-2016"/>
    <x v="21"/>
    <n v="19.3"/>
    <n v="3442375"/>
    <n v="1019970.3608072482"/>
    <n v="740131.49316838477"/>
  </r>
  <r>
    <s v=" 31-10-2016"/>
    <x v="21"/>
    <n v="12.03"/>
    <n v="2063756"/>
    <n v="2715653.6082421746"/>
    <n v="1444468.3918164028"/>
  </r>
  <r>
    <s v=" 30-11-2016"/>
    <x v="21"/>
    <n v="4.5"/>
    <n v="794021"/>
    <n v="2259325.2824726524"/>
    <n v="1469553.2568944877"/>
  </r>
  <r>
    <s v=" 31-12-2016"/>
    <x v="21"/>
    <n v="5.47"/>
    <n v="992488"/>
    <n v="1233612.2847417956"/>
    <n v="1677312.4701783236"/>
  </r>
  <r>
    <s v=" 31-01-2017"/>
    <x v="21"/>
    <n v="12.84"/>
    <n v="2323986"/>
    <n v="1064825.2854225386"/>
    <n v="936345.38722930744"/>
  </r>
  <r>
    <s v=" 28-02-2017"/>
    <x v="21"/>
    <n v="6.8"/>
    <n v="1181645"/>
    <n v="1946237.7856267616"/>
    <n v="1124091.2279200119"/>
  </r>
  <r>
    <s v=" 31-03-2017"/>
    <x v="21"/>
    <n v="2.52"/>
    <n v="449800"/>
    <n v="1411022.8356880285"/>
    <n v="861825.34070811141"/>
  </r>
  <r>
    <s v=" 30-04-2017"/>
    <x v="21"/>
    <n v="6.21"/>
    <n v="1103982"/>
    <n v="738166.8507064085"/>
    <n v="1015551.9308592494"/>
  </r>
  <r>
    <s v=" 31-05-2017"/>
    <x v="21"/>
    <n v="3.59"/>
    <n v="654427"/>
    <n v="994237.45521192241"/>
    <n v="739903.64037788019"/>
  </r>
  <r>
    <s v=" 30-06-2017"/>
    <x v="21"/>
    <n v="0.7"/>
    <n v="121697"/>
    <n v="756370.13656357676"/>
    <n v="625364.21621648106"/>
  </r>
  <r>
    <s v=" 31-07-2017"/>
    <x v="21"/>
    <n v="2.83"/>
    <n v="492483"/>
    <n v="312098.94096907298"/>
    <n v="466226.64702891558"/>
  </r>
  <r>
    <s v=" 31-08-2017"/>
    <x v="21"/>
    <n v="3.21"/>
    <n v="535470"/>
    <n v="438367.78229072189"/>
    <n v="428493.30780431704"/>
  </r>
  <r>
    <s v=" 30-09-2017"/>
    <x v="21"/>
    <n v="2.89"/>
    <n v="525931"/>
    <n v="506339.33468721656"/>
    <n v="385044.25707182527"/>
  </r>
  <r>
    <s v=" 31-10-2017"/>
    <x v="21"/>
    <n v="3.68"/>
    <n v="626157"/>
    <n v="520053.50040616491"/>
    <n v="118815.09834789674"/>
  </r>
  <r>
    <s v=" 30-11-2017"/>
    <x v="21"/>
    <n v="2.2999999999999998"/>
    <n v="399598"/>
    <n v="594325.95012184943"/>
    <n v="83806.576233306681"/>
  </r>
  <r>
    <s v=" 31-12-2017"/>
    <x v="21"/>
    <n v="2.12"/>
    <n v="364721"/>
    <n v="458016.38503655477"/>
    <n v="128531.13829528439"/>
  </r>
  <r>
    <s v=" 31-01-2018"/>
    <x v="21"/>
    <n v="2.2000000000000002"/>
    <n v="391210"/>
    <n v="392709.6155109664"/>
    <n v="138901.5911281982"/>
  </r>
  <r>
    <s v=" 28-02-2018"/>
    <x v="21"/>
    <n v="2.2400000000000002"/>
    <n v="367783"/>
    <n v="391659.88465328992"/>
    <n v="124666.55829913814"/>
  </r>
  <r>
    <s v=" 31-03-2018"/>
    <x v="21"/>
    <n v="2.56"/>
    <n v="431950"/>
    <n v="374946.06539598695"/>
    <n v="55606.904057398751"/>
  </r>
  <r>
    <s v=" 30-04-2018"/>
    <x v="21"/>
    <n v="1.39"/>
    <n v="239386"/>
    <n v="414848.81961879611"/>
    <n v="35692.216834887309"/>
  </r>
  <r>
    <s v=" 31-05-2018"/>
    <x v="21"/>
    <n v="1.82"/>
    <n v="319156"/>
    <n v="292024.84588563885"/>
    <n v="107403.84110087078"/>
  </r>
  <r>
    <s v=" 30-06-2018"/>
    <x v="21"/>
    <n v="1.34"/>
    <n v="219548"/>
    <n v="311016.65376569162"/>
    <n v="107661.11825614977"/>
  </r>
  <r>
    <s v=" 31-07-2018"/>
    <x v="21"/>
    <n v="2.2000000000000002"/>
    <n v="368021"/>
    <n v="246988.59612970747"/>
    <n v="115310.90612464976"/>
  </r>
  <r>
    <s v=" 31-08-2018"/>
    <x v="21"/>
    <n v="1.17"/>
    <n v="191604"/>
    <n v="331711.2788389122"/>
    <n v="88978.381141913327"/>
  </r>
  <r>
    <s v=" 30-09-2018"/>
    <x v="21"/>
    <n v="1.8"/>
    <n v="292937"/>
    <n v="233636.18365167367"/>
    <n v="119227.24379935747"/>
  </r>
  <r>
    <s v=" 31-10-2018"/>
    <x v="21"/>
    <n v="0.64"/>
    <n v="103096"/>
    <n v="275146.75509550207"/>
    <n v="112243.00897285946"/>
  </r>
  <r>
    <s v=" 30-11-2018"/>
    <x v="21"/>
    <n v="2.59"/>
    <n v="436431"/>
    <n v="154711.22652865062"/>
    <n v="132599.77216188953"/>
  </r>
  <r>
    <s v=" 31-12-2018"/>
    <x v="21"/>
    <n v="1.29"/>
    <n v="199188"/>
    <n v="351915.06795859511"/>
    <n v="193635.46499652276"/>
  </r>
  <r>
    <s v=" 31-01-2019"/>
    <x v="21"/>
    <n v="2.67"/>
    <n v="414132"/>
    <n v="245006.1203875785"/>
    <n v="209994.4843568597"/>
  </r>
  <r>
    <s v=" 28-02-2019"/>
    <x v="21"/>
    <n v="1.68"/>
    <n v="262768"/>
    <n v="363394.2361162735"/>
    <n v="209200.98088254195"/>
  </r>
  <r>
    <s v=" 31-03-2019"/>
    <x v="21"/>
    <n v="1.21"/>
    <n v="198512"/>
    <n v="292955.87083488202"/>
    <n v="143822.5293394984"/>
  </r>
  <r>
    <s v=" 30-04-2019"/>
    <x v="21"/>
    <n v="0.56999999999999995"/>
    <n v="87524"/>
    <n v="226845.16125046462"/>
    <n v="126027.57276072459"/>
  </r>
  <r>
    <s v=" 31-05-2019"/>
    <x v="21"/>
    <n v="0.97"/>
    <n v="153693"/>
    <n v="129320.34837513938"/>
    <n v="113219.06509856878"/>
  </r>
  <r>
    <s v=" 30-06-2019"/>
    <x v="21"/>
    <n v="0.92"/>
    <n v="150653"/>
    <n v="146381.20451254179"/>
    <n v="98190.387950621487"/>
  </r>
  <r>
    <s v=" 31-07-2019"/>
    <x v="21"/>
    <n v="6.01"/>
    <n v="989002"/>
    <n v="149371.46135376254"/>
    <n v="81695.900256360183"/>
  </r>
  <r>
    <s v=" 31-08-2019"/>
    <x v="21"/>
    <n v="2.91"/>
    <n v="479100"/>
    <n v="737112.83840612869"/>
    <n v="484971.37915939064"/>
  </r>
  <r>
    <s v=" 30-09-2019"/>
    <x v="21"/>
    <n v="1.74"/>
    <n v="262089"/>
    <n v="556503.85152183857"/>
    <n v="507138.48024855583"/>
  </r>
  <r>
    <s v=" 31-10-2019"/>
    <x v="21"/>
    <n v="1.46"/>
    <n v="227696"/>
    <n v="350413.45545655151"/>
    <n v="534861.40603785834"/>
  </r>
  <r>
    <s v=" 30-11-2019"/>
    <x v="21"/>
    <n v="2.46"/>
    <n v="399096"/>
    <n v="264511.23663696542"/>
    <n v="236861.63573750819"/>
  </r>
  <r>
    <s v=" 31-12-2019"/>
    <x v="21"/>
    <n v="3.73"/>
    <n v="572814"/>
    <n v="358720.57099108957"/>
    <n v="199877.24332686549"/>
  </r>
  <r>
    <s v=" 31-01-2020"/>
    <x v="21"/>
    <n v="1.18"/>
    <n v="176465"/>
    <n v="508585.97129732685"/>
    <n v="162284.34792878013"/>
  </r>
  <r>
    <s v=" 29-02-2020"/>
    <x v="21"/>
    <n v="1.17"/>
    <n v="185193"/>
    <n v="276101.29138919804"/>
    <n v="241007.18830895011"/>
  </r>
  <r>
    <s v=" 31-03-2020"/>
    <x v="21"/>
    <n v="6.36"/>
    <n v="1007970"/>
    <n v="212465.4874167594"/>
    <n v="234097.31122162033"/>
  </r>
  <r>
    <s v=" 30-04-2020"/>
    <x v="21"/>
    <n v="53.19"/>
    <n v="2705350"/>
    <n v="769318.64622502786"/>
    <n v="500465.14582572167"/>
  </r>
  <r>
    <s v=" 31-05-2020"/>
    <x v="21"/>
    <n v="39.08"/>
    <n v="2246840"/>
    <n v="2124540.5938675082"/>
    <n v="1209587.9670068584"/>
  </r>
  <r>
    <s v=" 30-06-2020"/>
    <x v="21"/>
    <n v="1.31"/>
    <n v="145249"/>
    <n v="2210150.1781602525"/>
    <n v="1210509.8068004807"/>
  </r>
  <r>
    <s v=" 31-07-2020"/>
    <x v="21"/>
    <n v="4.53"/>
    <n v="642167"/>
    <n v="764719.35344807571"/>
    <n v="1635745.6427276738"/>
  </r>
  <r>
    <s v=" 31-08-2020"/>
    <x v="21"/>
    <n v="1.8"/>
    <n v="259972"/>
    <n v="678932.70603442262"/>
    <n v="1196354.6157172103"/>
  </r>
  <r>
    <s v=" 30-09-2020"/>
    <x v="21"/>
    <n v="6.44"/>
    <n v="807050"/>
    <n v="385660.21181032679"/>
    <n v="1218518.7767810724"/>
  </r>
  <r>
    <s v=" 31-10-2020"/>
    <x v="21"/>
    <n v="1.04"/>
    <n v="135603"/>
    <n v="680633.06354309805"/>
    <n v="350293.45132667536"/>
  </r>
  <r>
    <s v=" 30-11-2020"/>
    <x v="21"/>
    <n v="1.6"/>
    <n v="224453"/>
    <n v="299112.01906292938"/>
    <n v="465530.23423375096"/>
  </r>
  <r>
    <s v=" 31-12-2020"/>
    <x v="21"/>
    <n v="0.97"/>
    <n v="130778"/>
    <n v="246850.70571887877"/>
    <n v="400083.7799277255"/>
  </r>
  <r>
    <s v=" 31-01-2021"/>
    <x v="21"/>
    <n v="3.19"/>
    <n v="403934"/>
    <n v="165599.81171566361"/>
    <n v="324604.68897113088"/>
  </r>
  <r>
    <s v=" 28-02-2021"/>
    <x v="21"/>
    <n v="2.7"/>
    <n v="352183"/>
    <n v="332433.74351469905"/>
    <n v="159007.36612443859"/>
  </r>
  <r>
    <s v=" 31-03-2021"/>
    <x v="21"/>
    <n v="2.72"/>
    <n v="386046"/>
    <n v="346258.22305440967"/>
    <n v="153477.56779605409"/>
  </r>
  <r>
    <s v=" 30-04-2021"/>
    <x v="21"/>
    <n v="1.46"/>
    <n v="196463"/>
    <n v="374109.66691632289"/>
    <n v="139971.76576146556"/>
  </r>
  <r>
    <s v=" 31-05-2021"/>
    <x v="21"/>
    <n v="29.82"/>
    <n v="2267046"/>
    <n v="249757.00007489685"/>
    <n v="105722.02323778652"/>
  </r>
  <r>
    <s v=" 30-06-2021"/>
    <x v="21"/>
    <n v="3.59"/>
    <n v="384393"/>
    <n v="1661859.3000224689"/>
    <n v="1169415.283333167"/>
  </r>
  <r>
    <s v=" 31-07-2021"/>
    <x v="21"/>
    <n v="4.2300000000000004"/>
    <n v="595975"/>
    <n v="767632.89000674058"/>
    <n v="1382381.2058881584"/>
  </r>
  <r>
    <s v=" 31-08-2021"/>
    <x v="21"/>
    <n v="5.05"/>
    <n v="657374"/>
    <n v="647472.36700202222"/>
    <n v="1382128.9722879801"/>
  </r>
  <r>
    <s v=" 30-09-2021"/>
    <x v="21"/>
    <n v="6.81"/>
    <n v="803020"/>
    <n v="654403.5101006066"/>
    <n v="744196.34981427877"/>
  </r>
  <r>
    <s v=" 31-10-2021"/>
    <x v="21"/>
    <n v="2.93"/>
    <n v="363955"/>
    <n v="758435.05303018191"/>
    <n v="131213.99138761763"/>
  </r>
  <r>
    <s v=" 30-11-2021"/>
    <x v="21"/>
    <n v="3.81"/>
    <n v="527695"/>
    <n v="482299.01590905455"/>
    <n v="243447.06176411215"/>
  </r>
  <r>
    <s v=" 31-12-2021"/>
    <x v="21"/>
    <n v="7.78"/>
    <n v="974858"/>
    <n v="514076.20477271639"/>
    <n v="244787.09707301226"/>
  </r>
  <r>
    <s v=" 31-01-2022"/>
    <x v="21"/>
    <n v="5.8"/>
    <n v="713572"/>
    <n v="836623.46143181482"/>
    <n v="351186.16640520777"/>
  </r>
  <r>
    <s v=" 28-02-2022"/>
    <x v="21"/>
    <n v="0.82"/>
    <n v="99321"/>
    <n v="750487.43842954445"/>
    <n v="276599.78328803822"/>
  </r>
  <r>
    <s v=" 31-03-2022"/>
    <x v="21"/>
    <n v="3.89"/>
    <n v="527420"/>
    <n v="294670.93152886332"/>
    <n v="466004.02555857867"/>
  </r>
  <r>
    <s v=" 30-04-2022"/>
    <x v="21"/>
    <n v="3.54"/>
    <n v="426739"/>
    <n v="457595.279458659"/>
    <n v="405516.75738975534"/>
  </r>
  <r>
    <s v=" 31-01-2016"/>
    <x v="22"/>
    <n v="5.71"/>
    <n v="733167"/>
    <n v="435995.88383759768"/>
    <n v="399642.32733501028"/>
  </r>
  <r>
    <s v=" 29-02-2016"/>
    <x v="22"/>
    <n v="2.38"/>
    <n v="276030"/>
    <n v="644015.6651512793"/>
    <n v="218658.72277548618"/>
  </r>
  <r>
    <s v=" 31-03-2016"/>
    <x v="22"/>
    <n v="3.17"/>
    <n v="343294"/>
    <n v="386425.6995453838"/>
    <n v="273664.16890053911"/>
  </r>
  <r>
    <s v=" 30-04-2016"/>
    <x v="22"/>
    <n v="5.03"/>
    <n v="602972"/>
    <n v="356233.50986361515"/>
    <n v="274216.74246461241"/>
  </r>
  <r>
    <s v=" 31-05-2016"/>
    <x v="22"/>
    <n v="3.83"/>
    <n v="438962"/>
    <n v="528950.45295908453"/>
    <n v="257004.32926138656"/>
  </r>
  <r>
    <s v=" 30-06-2016"/>
    <x v="22"/>
    <n v="7.61"/>
    <n v="669564"/>
    <n v="465958.5358877253"/>
    <n v="153664.2960985901"/>
  </r>
  <r>
    <s v=" 31-07-2016"/>
    <x v="22"/>
    <n v="2.74"/>
    <n v="249920"/>
    <n v="608482.36076631758"/>
    <n v="191861.92013800537"/>
  </r>
  <r>
    <s v=" 31-08-2016"/>
    <x v="22"/>
    <n v="2.76"/>
    <n v="328733"/>
    <n v="357488.70822989527"/>
    <n v="243666.48876463572"/>
  </r>
  <r>
    <s v=" 30-09-2016"/>
    <x v="22"/>
    <n v="1.86"/>
    <n v="199824"/>
    <n v="337359.71246896859"/>
    <n v="238641.32244192506"/>
  </r>
  <r>
    <s v=" 31-10-2016"/>
    <x v="22"/>
    <n v="6.48"/>
    <n v="668064"/>
    <n v="241084.71374069055"/>
    <n v="222343.52514256292"/>
  </r>
  <r>
    <s v=" 30-11-2016"/>
    <x v="22"/>
    <n v="4.38"/>
    <n v="483587"/>
    <n v="539970.21412220714"/>
    <n v="259521.53016314399"/>
  </r>
  <r>
    <s v=" 31-12-2016"/>
    <x v="22"/>
    <n v="2.5"/>
    <n v="315881"/>
    <n v="500501.96423666214"/>
    <n v="261027.7443322879"/>
  </r>
  <r>
    <s v=" 31-01-2017"/>
    <x v="22"/>
    <n v="1.94"/>
    <n v="192663"/>
    <n v="371267.28927099862"/>
    <n v="270539.75565212523"/>
  </r>
  <r>
    <s v=" 28-02-2017"/>
    <x v="22"/>
    <n v="15.8"/>
    <n v="1459115"/>
    <n v="246244.28678129957"/>
    <n v="151837.03919709896"/>
  </r>
  <r>
    <s v=" 31-03-2017"/>
    <x v="22"/>
    <n v="4.99"/>
    <n v="616985"/>
    <n v="1095253.7860343899"/>
    <n v="715783.89652308519"/>
  </r>
  <r>
    <s v=" 30-04-2017"/>
    <x v="22"/>
    <n v="2.12"/>
    <n v="244760"/>
    <n v="760465.63581031701"/>
    <n v="759757.83221244172"/>
  </r>
  <r>
    <s v=" 31-05-2017"/>
    <x v="22"/>
    <n v="1.77"/>
    <n v="169693"/>
    <n v="399471.69074309513"/>
    <n v="809474.87123545539"/>
  </r>
  <r>
    <s v=" 30-06-2017"/>
    <x v="22"/>
    <n v="14.7"/>
    <n v="1354832"/>
    <n v="238626.60722292852"/>
    <n v="427196.90277472098"/>
  </r>
  <r>
    <s v=" 31-07-2017"/>
    <x v="22"/>
    <n v="4.24"/>
    <n v="408072"/>
    <n v="1019970.3821668784"/>
    <n v="722187.6552971421"/>
  </r>
  <r>
    <s v=" 31-08-2017"/>
    <x v="22"/>
    <n v="1.1000000000000001"/>
    <n v="123095"/>
    <n v="591641.51465006347"/>
    <n v="746800.36504246364"/>
  </r>
  <r>
    <s v=" 30-09-2017"/>
    <x v="22"/>
    <n v="1.86"/>
    <n v="170340"/>
    <n v="263658.95439501904"/>
    <n v="783128.33034222061"/>
  </r>
  <r>
    <s v=" 31-10-2017"/>
    <x v="22"/>
    <n v="4.76"/>
    <n v="410311"/>
    <n v="198335.6863185057"/>
    <n v="448205.27058426588"/>
  </r>
  <r>
    <s v=" 30-11-2017"/>
    <x v="22"/>
    <n v="1.79"/>
    <n v="213780"/>
    <n v="346718.40589555167"/>
    <n v="301760.27861558675"/>
  </r>
  <r>
    <s v=" 31-12-2017"/>
    <x v="22"/>
    <n v="1.19"/>
    <n v="144734"/>
    <n v="253661.52176866549"/>
    <n v="154180.1766568344"/>
  </r>
  <r>
    <s v=" 31-01-2018"/>
    <x v="22"/>
    <n v="4.62"/>
    <n v="437155"/>
    <n v="177412.25653059964"/>
    <n v="157555.66039877405"/>
  </r>
  <r>
    <s v=" 28-02-2018"/>
    <x v="22"/>
    <n v="2.54"/>
    <n v="244087"/>
    <n v="359232.17695917987"/>
    <n v="179818.53588708467"/>
  </r>
  <r>
    <s v=" 31-03-2018"/>
    <x v="22"/>
    <n v="3.6"/>
    <n v="380508"/>
    <n v="278630.55308775394"/>
    <n v="175679.54686553078"/>
  </r>
  <r>
    <s v=" 30-04-2018"/>
    <x v="22"/>
    <n v="0.65"/>
    <n v="60618"/>
    <n v="349944.76592632616"/>
    <n v="174263.89829922613"/>
  </r>
  <r>
    <s v=" 31-05-2018"/>
    <x v="22"/>
    <n v="0.94"/>
    <n v="85198"/>
    <n v="147416.02977789784"/>
    <n v="189162.54337447949"/>
  </r>
  <r>
    <s v=" 30-06-2018"/>
    <x v="22"/>
    <n v="1.32"/>
    <n v="125998"/>
    <n v="103863.40893336936"/>
    <n v="180702.40258519718"/>
  </r>
  <r>
    <s v=" 31-07-2018"/>
    <x v="22"/>
    <n v="0.27"/>
    <n v="30207"/>
    <n v="119357.6226800108"/>
    <n v="171338.84637613804"/>
  </r>
  <r>
    <s v=" 31-08-2018"/>
    <x v="22"/>
    <n v="0.21"/>
    <n v="21934"/>
    <n v="56952.186804003242"/>
    <n v="64054.291751513432"/>
  </r>
  <r>
    <s v=" 30-09-2018"/>
    <x v="22"/>
    <n v="0.62"/>
    <n v="67170"/>
    <n v="32439.456041200971"/>
    <n v="56756.929247921464"/>
  </r>
  <r>
    <s v=" 31-10-2018"/>
    <x v="22"/>
    <n v="1.22"/>
    <n v="108613"/>
    <n v="56750.836812360292"/>
    <n v="58822.664608544088"/>
  </r>
  <r>
    <s v=" 30-11-2018"/>
    <x v="22"/>
    <n v="0.41"/>
    <n v="46830"/>
    <n v="93054.351043708069"/>
    <n v="41320.568168147242"/>
  </r>
  <r>
    <s v=" 31-12-2018"/>
    <x v="22"/>
    <n v="0.21"/>
    <n v="20321"/>
    <n v="60697.305313112418"/>
    <n v="44842.633299080459"/>
  </r>
  <r>
    <s v=" 31-01-2019"/>
    <x v="22"/>
    <n v="3.01"/>
    <n v="323547"/>
    <n v="32433.891593933724"/>
    <n v="46391.883739331664"/>
  </r>
  <r>
    <s v=" 28-02-2019"/>
    <x v="22"/>
    <n v="2.14"/>
    <n v="213270"/>
    <n v="236213.06747818011"/>
    <n v="171769.0101521922"/>
  </r>
  <r>
    <s v=" 31-03-2019"/>
    <x v="22"/>
    <n v="2.33"/>
    <n v="262007"/>
    <n v="220152.92024345405"/>
    <n v="170199.36570767831"/>
  </r>
  <r>
    <s v=" 30-04-2019"/>
    <x v="22"/>
    <n v="1.86"/>
    <n v="179344"/>
    <n v="249450.77607303619"/>
    <n v="170318.31984396913"/>
  </r>
  <r>
    <s v=" 31-05-2019"/>
    <x v="22"/>
    <n v="2.23"/>
    <n v="246490"/>
    <n v="200376.03282191086"/>
    <n v="48966.343505617799"/>
  </r>
  <r>
    <s v=" 30-06-2019"/>
    <x v="22"/>
    <n v="5.92"/>
    <n v="635146"/>
    <n v="232655.80984657325"/>
    <n v="54139.39419844553"/>
  </r>
  <r>
    <s v=" 31-07-2019"/>
    <x v="22"/>
    <n v="2.4500000000000002"/>
    <n v="282698"/>
    <n v="514398.94295397191"/>
    <n v="237374.39569169932"/>
  </r>
  <r>
    <s v=" 31-08-2019"/>
    <x v="22"/>
    <n v="1.4"/>
    <n v="150415"/>
    <n v="352208.2828861915"/>
    <n v="269450.16738066386"/>
  </r>
  <r>
    <s v=" 30-09-2019"/>
    <x v="22"/>
    <n v="4.13"/>
    <n v="471452"/>
    <n v="210952.98486585746"/>
    <n v="292349.2256152379"/>
  </r>
  <r>
    <s v=" 31-10-2019"/>
    <x v="22"/>
    <n v="7.29"/>
    <n v="829263"/>
    <n v="393302.29545975721"/>
    <n v="232569.41105084054"/>
  </r>
  <r>
    <s v=" 30-11-2019"/>
    <x v="22"/>
    <n v="6.47"/>
    <n v="728899"/>
    <n v="698474.78863792715"/>
    <n v="315511.22632275679"/>
  </r>
  <r>
    <s v=" 31-12-2019"/>
    <x v="22"/>
    <n v="1.35"/>
    <n v="149419"/>
    <n v="719771.73659137811"/>
    <n v="293738.60569452291"/>
  </r>
  <r>
    <s v=" 31-01-2020"/>
    <x v="22"/>
    <n v="5.0199999999999996"/>
    <n v="605709"/>
    <n v="320524.82097741344"/>
    <n v="414845.1971026875"/>
  </r>
  <r>
    <s v=" 29-02-2020"/>
    <x v="22"/>
    <n v="9.02"/>
    <n v="1019664"/>
    <n v="520153.74629322405"/>
    <n v="368581.91886339401"/>
  </r>
  <r>
    <s v=" 31-03-2020"/>
    <x v="22"/>
    <n v="5.63"/>
    <n v="677198"/>
    <n v="869810.92388796713"/>
    <n v="467668.95473196579"/>
  </r>
  <r>
    <s v=" 30-04-2020"/>
    <x v="22"/>
    <n v="4.51"/>
    <n v="396600"/>
    <n v="734981.87716639007"/>
    <n v="350209.57914353046"/>
  </r>
  <r>
    <s v=" 31-05-2020"/>
    <x v="22"/>
    <n v="11.64"/>
    <n v="1239502"/>
    <n v="498114.56314991706"/>
    <n v="365655.81576191267"/>
  </r>
  <r>
    <s v=" 30-06-2020"/>
    <x v="22"/>
    <n v="12.03"/>
    <n v="1264916"/>
    <n v="1017085.768944975"/>
    <n v="483479.52895734808"/>
  </r>
  <r>
    <s v=" 31-07-2020"/>
    <x v="22"/>
    <n v="6.67"/>
    <n v="713270"/>
    <n v="1190566.9306834925"/>
    <n v="491791.77495445934"/>
  </r>
  <r>
    <s v=" 31-08-2020"/>
    <x v="22"/>
    <n v="7.02"/>
    <n v="955309"/>
    <n v="856459.07920504769"/>
    <n v="528799.74627572251"/>
  </r>
  <r>
    <s v=" 30-09-2020"/>
    <x v="22"/>
    <n v="4.1100000000000003"/>
    <n v="471393"/>
    <n v="925654.02376151423"/>
    <n v="315702.12242230173"/>
  </r>
  <r>
    <s v=" 31-10-2020"/>
    <x v="22"/>
    <n v="2.5299999999999998"/>
    <n v="310235"/>
    <n v="607671.30712845421"/>
    <n v="384680.27615580097"/>
  </r>
  <r>
    <s v=" 30-11-2020"/>
    <x v="22"/>
    <n v="1.65"/>
    <n v="196824"/>
    <n v="399465.89213853626"/>
    <n v="318639.1592110839"/>
  </r>
  <r>
    <s v=" 31-12-2020"/>
    <x v="22"/>
    <n v="6.37"/>
    <n v="545068"/>
    <n v="257616.56764156086"/>
    <n v="334606.8194944415"/>
  </r>
  <r>
    <s v=" 31-01-2021"/>
    <x v="22"/>
    <n v="4.82"/>
    <n v="540842"/>
    <n v="458832.57029246824"/>
    <n v="265932.58494877769"/>
  </r>
  <r>
    <s v=" 28-02-2021"/>
    <x v="22"/>
    <n v="5.85"/>
    <n v="646265"/>
    <n v="516239.17108774045"/>
    <n v="208500.68662985187"/>
  </r>
  <r>
    <s v=" 31-03-2021"/>
    <x v="22"/>
    <n v="3.86"/>
    <n v="431550"/>
    <n v="607257.25132632209"/>
    <n v="188202.54046301029"/>
  </r>
  <r>
    <s v=" 30-04-2021"/>
    <x v="22"/>
    <n v="4"/>
    <n v="369903"/>
    <n v="484262.17539789662"/>
    <n v="134790.33213838213"/>
  </r>
  <r>
    <s v=" 31-05-2021"/>
    <x v="22"/>
    <n v="8.5399999999999991"/>
    <n v="989748"/>
    <n v="404210.75261936896"/>
    <n v="142428.66676651203"/>
  </r>
  <r>
    <s v=" 30-06-2021"/>
    <x v="22"/>
    <n v="4.3499999999999996"/>
    <n v="440035"/>
    <n v="814086.82578581059"/>
    <n v="359075.16726372886"/>
  </r>
  <r>
    <s v=" 31-07-2021"/>
    <x v="22"/>
    <n v="4.03"/>
    <n v="449338"/>
    <n v="552250.54773574322"/>
    <n v="406549.15957010316"/>
  </r>
  <r>
    <s v=" 31-08-2021"/>
    <x v="22"/>
    <n v="2.7"/>
    <n v="305962"/>
    <n v="480211.7643207229"/>
    <n v="405528.30929757387"/>
  </r>
  <r>
    <s v=" 30-09-2021"/>
    <x v="22"/>
    <n v="3.39"/>
    <n v="391769"/>
    <n v="358236.92929621687"/>
    <n v="245539.36630812552"/>
  </r>
  <r>
    <s v=" 31-10-2021"/>
    <x v="22"/>
    <n v="3.7"/>
    <n v="439636"/>
    <n v="381709.37878886505"/>
    <n v="118431.93912253655"/>
  </r>
  <r>
    <s v=" 30-11-2021"/>
    <x v="22"/>
    <n v="4.53"/>
    <n v="497338"/>
    <n v="422258.01363665948"/>
    <n v="107769.6209149395"/>
  </r>
  <r>
    <s v=" 31-12-2021"/>
    <x v="22"/>
    <n v="0.36"/>
    <n v="43935"/>
    <n v="474814.0040909978"/>
    <n v="58071.500649174479"/>
  </r>
  <r>
    <s v=" 31-01-2022"/>
    <x v="22"/>
    <n v="0"/>
    <n v="0"/>
    <n v="173198.70122729935"/>
    <n v="254721.55645181649"/>
  </r>
  <r>
    <s v=" 28-02-2022"/>
    <x v="22"/>
    <n v="16.23"/>
    <n v="1593958"/>
    <n v="51959.610368189802"/>
    <n v="271594.98683738179"/>
  </r>
  <r>
    <s v=" 31-03-2022"/>
    <x v="22"/>
    <n v="6.19"/>
    <n v="692609"/>
    <n v="1131358.4831104567"/>
    <n v="929769.42301131284"/>
  </r>
  <r>
    <s v=" 30-04-2022"/>
    <x v="22"/>
    <n v="9.8699999999999992"/>
    <n v="1162307"/>
    <n v="824233.84493313706"/>
    <n v="930995.51246029325"/>
  </r>
  <r>
    <s v=" 30-09-2017"/>
    <x v="23"/>
    <n v="20"/>
    <n v="171851"/>
    <n v="1060885.0534799411"/>
    <n v="945965.75003778585"/>
  </r>
  <r>
    <s v=" 31-10-2017"/>
    <x v="23"/>
    <n v="8.57"/>
    <n v="91431"/>
    <n v="438561.21604398231"/>
    <n v="604752.32267806155"/>
  </r>
  <r>
    <s v=" 31-01-2018"/>
    <x v="23"/>
    <n v="33.33"/>
    <n v="321231"/>
    <n v="195570.06481319468"/>
    <n v="584572.32039459969"/>
  </r>
  <r>
    <s v=" 28-02-2018"/>
    <x v="23"/>
    <n v="31.63"/>
    <n v="323226"/>
    <n v="283532.71944395837"/>
    <n v="555779.2144877133"/>
  </r>
  <r>
    <s v=" 31-03-2018"/>
    <x v="23"/>
    <n v="15.29"/>
    <n v="143160"/>
    <n v="311318.0158331875"/>
    <n v="214371.6508341413"/>
  </r>
  <r>
    <s v=" 30-04-2018"/>
    <x v="23"/>
    <n v="13.26"/>
    <n v="133201"/>
    <n v="193607.40474995624"/>
    <n v="123346.86246824123"/>
  </r>
  <r>
    <s v=" 31-05-2018"/>
    <x v="23"/>
    <n v="22.92"/>
    <n v="237543"/>
    <n v="151322.92142498685"/>
    <n v="105674.98686234554"/>
  </r>
  <r>
    <s v=" 30-06-2018"/>
    <x v="23"/>
    <n v="20"/>
    <n v="215257"/>
    <n v="211676.97642749603"/>
    <n v="114542.50153436715"/>
  </r>
  <r>
    <s v=" 31-07-2018"/>
    <x v="23"/>
    <n v="17.489999999999998"/>
    <n v="166407"/>
    <n v="214182.9929282488"/>
    <n v="60815.711383042741"/>
  </r>
  <r>
    <s v=" 31-08-2018"/>
    <x v="23"/>
    <n v="23.88"/>
    <n v="249159"/>
    <n v="180739.79787847464"/>
    <n v="56948.11679222063"/>
  </r>
  <r>
    <s v=" 30-09-2018"/>
    <x v="23"/>
    <n v="39.19"/>
    <n v="378974"/>
    <n v="228633.23936354238"/>
    <n v="48223.608630372124"/>
  </r>
  <r>
    <s v=" 31-10-2018"/>
    <x v="23"/>
    <n v="33.090000000000003"/>
    <n v="359634"/>
    <n v="333871.77180906269"/>
    <n v="99274.160834151378"/>
  </r>
  <r>
    <s v=" 30-11-2018"/>
    <x v="23"/>
    <n v="33.33"/>
    <n v="337503"/>
    <n v="351905.33154271881"/>
    <n v="96518.087992280343"/>
  </r>
  <r>
    <s v=" 31-12-2018"/>
    <x v="23"/>
    <n v="23.11"/>
    <n v="246366"/>
    <n v="341823.6994628156"/>
    <n v="88456.135766033709"/>
  </r>
  <r>
    <s v=" 31-01-2019"/>
    <x v="23"/>
    <n v="33.06"/>
    <n v="329401"/>
    <n v="275003.30983884464"/>
    <n v="57686.774746503623"/>
  </r>
  <r>
    <s v=" 28-02-2019"/>
    <x v="23"/>
    <n v="25.7"/>
    <n v="292238"/>
    <n v="313081.69295165339"/>
    <n v="63975.798120509797"/>
  </r>
  <r>
    <s v=" 31-03-2019"/>
    <x v="23"/>
    <n v="22.95"/>
    <n v="235597"/>
    <n v="298491.10788549599"/>
    <n v="64564.542945967609"/>
  </r>
  <r>
    <s v=" 30-04-2019"/>
    <x v="23"/>
    <n v="22.22"/>
    <n v="239366"/>
    <n v="254465.23236564879"/>
    <n v="49494.905587828842"/>
  </r>
  <r>
    <s v=" 31-05-2019"/>
    <x v="23"/>
    <n v="29.25"/>
    <n v="298218"/>
    <n v="243895.76970969461"/>
    <n v="39234.827898212534"/>
  </r>
  <r>
    <s v=" 30-06-2019"/>
    <x v="23"/>
    <n v="26.64"/>
    <n v="294908"/>
    <n v="281921.33091290836"/>
    <n v="48766.656397095881"/>
  </r>
  <r>
    <s v=" 31-07-2019"/>
    <x v="23"/>
    <n v="22.47"/>
    <n v="236519"/>
    <n v="291011.99927387247"/>
    <n v="33404.316565989146"/>
  </r>
  <r>
    <s v=" 31-08-2019"/>
    <x v="23"/>
    <n v="25.49"/>
    <n v="248655"/>
    <n v="252866.89978216172"/>
    <n v="45051.989403180487"/>
  </r>
  <r>
    <s v=" 30-09-2019"/>
    <x v="23"/>
    <n v="30.23"/>
    <n v="312702"/>
    <n v="249918.56993464852"/>
    <n v="32433.936155488238"/>
  </r>
  <r>
    <s v=" 31-10-2019"/>
    <x v="23"/>
    <n v="27.54"/>
    <n v="306731"/>
    <n v="293866.97098039452"/>
    <n v="48058.943532597274"/>
  </r>
  <r>
    <s v=" 30-11-2019"/>
    <x v="23"/>
    <n v="25.25"/>
    <n v="273870"/>
    <n v="302871.79129411833"/>
    <n v="37080.913478334136"/>
  </r>
  <r>
    <s v=" 31-12-2019"/>
    <x v="23"/>
    <n v="26.53"/>
    <n v="277737"/>
    <n v="282570.53738823551"/>
    <n v="40613.405962628196"/>
  </r>
  <r>
    <s v=" 31-01-2020"/>
    <x v="23"/>
    <n v="31.91"/>
    <n v="337600"/>
    <n v="279187.06121647067"/>
    <n v="18528.808421557318"/>
  </r>
  <r>
    <s v=" 29-02-2020"/>
    <x v="23"/>
    <n v="26.22"/>
    <n v="306603"/>
    <n v="320076.11836494115"/>
    <n v="37755.963764149958"/>
  </r>
  <r>
    <s v=" 31-03-2020"/>
    <x v="23"/>
    <n v="31.61"/>
    <n v="335365"/>
    <n v="310644.93550948234"/>
    <n v="34722.516323405725"/>
  </r>
  <r>
    <s v=" 30-04-2020"/>
    <x v="23"/>
    <n v="43.64"/>
    <n v="294606"/>
    <n v="327948.98065284465"/>
    <n v="37437.405199521207"/>
  </r>
  <r>
    <s v=" 31-05-2020"/>
    <x v="23"/>
    <n v="20.88"/>
    <n v="186243"/>
    <n v="304608.89419585338"/>
    <n v="25194.978770296271"/>
  </r>
  <r>
    <s v=" 30-06-2020"/>
    <x v="23"/>
    <n v="18.95"/>
    <n v="210389"/>
    <n v="221752.768258756"/>
    <n v="72418.507892239999"/>
  </r>
  <r>
    <s v=" 31-07-2020"/>
    <x v="23"/>
    <n v="15.79"/>
    <n v="156155"/>
    <n v="213798.13047762678"/>
    <n v="71300.711769796151"/>
  </r>
  <r>
    <s v=" 31-08-2020"/>
    <x v="23"/>
    <n v="27.44"/>
    <n v="266196"/>
    <n v="173447.93914328804"/>
    <n v="76294.059683751198"/>
  </r>
  <r>
    <s v=" 30-09-2020"/>
    <x v="23"/>
    <n v="19.309999999999999"/>
    <n v="183171"/>
    <n v="238371.5817429864"/>
    <n v="63387.876109394296"/>
  </r>
  <r>
    <s v=" 31-10-2020"/>
    <x v="23"/>
    <n v="12.44"/>
    <n v="146276"/>
    <n v="199731.17452289592"/>
    <n v="70644.739149977686"/>
  </r>
  <r>
    <s v=" 30-11-2020"/>
    <x v="23"/>
    <n v="13.16"/>
    <n v="136477"/>
    <n v="162312.55235686878"/>
    <n v="69538.389159556391"/>
  </r>
  <r>
    <s v=" 31-12-2020"/>
    <x v="23"/>
    <n v="16.420000000000002"/>
    <n v="163094"/>
    <n v="144227.66570706063"/>
    <n v="46804.685212849836"/>
  </r>
  <r>
    <s v=" 31-01-2021"/>
    <x v="23"/>
    <n v="20.27"/>
    <n v="198003"/>
    <n v="157434.09971211819"/>
    <n v="35966.975679136129"/>
  </r>
  <r>
    <s v=" 28-02-2021"/>
    <x v="23"/>
    <n v="11.82"/>
    <n v="143519"/>
    <n v="185832.32991363545"/>
    <n v="29828.677508987581"/>
  </r>
  <r>
    <s v=" 31-03-2021"/>
    <x v="23"/>
    <n v="13.79"/>
    <n v="146832"/>
    <n v="156212.99897409062"/>
    <n v="35553.678331040021"/>
  </r>
  <r>
    <s v=" 30-04-2021"/>
    <x v="23"/>
    <n v="15.13"/>
    <n v="156187"/>
    <n v="149646.29969222719"/>
    <n v="34274.658766597728"/>
  </r>
  <r>
    <s v=" 31-05-2021"/>
    <x v="23"/>
    <n v="21.93"/>
    <n v="205292"/>
    <n v="154224.78990766814"/>
    <n v="25306.137533861522"/>
  </r>
  <r>
    <s v=" 30-06-2021"/>
    <x v="23"/>
    <n v="9.4700000000000006"/>
    <n v="115975"/>
    <n v="189971.83697230043"/>
    <n v="30213.925315337354"/>
  </r>
  <r>
    <s v=" 31-07-2021"/>
    <x v="23"/>
    <n v="13.21"/>
    <n v="152383"/>
    <n v="138174.05109169014"/>
    <n v="52045.405141522562"/>
  </r>
  <r>
    <s v=" 31-08-2021"/>
    <x v="23"/>
    <n v="12.77"/>
    <n v="138462"/>
    <n v="148120.31532750704"/>
    <n v="52552.469201736945"/>
  </r>
  <r>
    <s v=" 30-09-2021"/>
    <x v="23"/>
    <n v="16.04"/>
    <n v="161363"/>
    <n v="141359.49459825212"/>
    <n v="43858.519377462362"/>
  </r>
  <r>
    <s v=" 31-10-2021"/>
    <x v="23"/>
    <n v="10.36"/>
    <n v="128852"/>
    <n v="155361.94837947562"/>
    <n v="15224.076462435787"/>
  </r>
  <r>
    <s v=" 30-11-2021"/>
    <x v="23"/>
    <n v="12.69"/>
    <n v="139414"/>
    <n v="136804.98451384268"/>
    <n v="19968.313619380217"/>
  </r>
  <r>
    <s v=" 31-12-2021"/>
    <x v="23"/>
    <n v="12.77"/>
    <n v="139371"/>
    <n v="138631.2953541528"/>
    <n v="19232.997281124506"/>
  </r>
  <r>
    <s v=" 31-01-2022"/>
    <x v="23"/>
    <n v="19.2"/>
    <n v="184914"/>
    <n v="139149.08860624584"/>
    <n v="15385.398790764344"/>
  </r>
  <r>
    <s v=" 28-02-2022"/>
    <x v="23"/>
    <n v="10.14"/>
    <n v="116955"/>
    <n v="171184.52658187374"/>
    <n v="26468.731487349785"/>
  </r>
  <r>
    <s v=" 31-03-2022"/>
    <x v="23"/>
    <n v="13.1"/>
    <n v="144443"/>
    <n v="133223.85797456212"/>
    <n v="40970.785653257073"/>
  </r>
  <r>
    <s v=" 30-04-2022"/>
    <x v="23"/>
    <n v="12.14"/>
    <n v="133856"/>
    <n v="141077.25739236863"/>
    <n v="41477.454984442113"/>
  </r>
  <r>
    <s v=" 31-01-2016"/>
    <x v="24"/>
    <n v="13.76"/>
    <n v="5845168"/>
    <n v="136022.3772177106"/>
    <n v="32243.124638739835"/>
  </r>
  <r>
    <s v=" 29-02-2016"/>
    <x v="24"/>
    <n v="13.33"/>
    <n v="5590794"/>
    <n v="4132424.3131653126"/>
    <n v="3296185.7632643767"/>
  </r>
  <r>
    <s v=" 31-03-2016"/>
    <x v="24"/>
    <n v="12.16"/>
    <n v="5288323"/>
    <n v="5153283.0939495936"/>
    <n v="3402020.8715884741"/>
  </r>
  <r>
    <s v=" 30-04-2016"/>
    <x v="24"/>
    <n v="13.15"/>
    <n v="5619087"/>
    <n v="5247811.0281848777"/>
    <n v="3402911.5798993162"/>
  </r>
  <r>
    <s v=" 31-05-2016"/>
    <x v="24"/>
    <n v="15.3"/>
    <n v="6785159"/>
    <n v="5507704.2084554629"/>
    <n v="872338.57474256528"/>
  </r>
  <r>
    <s v=" 30-06-2016"/>
    <x v="24"/>
    <n v="18.02"/>
    <n v="7744188"/>
    <n v="6401922.5625366382"/>
    <n v="772004.39720540948"/>
  </r>
  <r>
    <s v=" 31-07-2016"/>
    <x v="24"/>
    <n v="11.83"/>
    <n v="5103204"/>
    <n v="7341508.3687609909"/>
    <n v="1091087.0873118653"/>
  </r>
  <r>
    <s v=" 31-08-2016"/>
    <x v="24"/>
    <n v="16.899999999999999"/>
    <n v="7283184"/>
    <n v="5774695.3106282968"/>
    <n v="1677654.4833251913"/>
  </r>
  <r>
    <s v=" 30-09-2016"/>
    <x v="24"/>
    <n v="8.89"/>
    <n v="4164723"/>
    <n v="6830637.3931884887"/>
    <n v="1740423.4233643268"/>
  </r>
  <r>
    <s v=" 31-10-2016"/>
    <x v="24"/>
    <n v="8.09"/>
    <n v="3624680"/>
    <n v="4964497.3179565463"/>
    <n v="2190330.5781690008"/>
  </r>
  <r>
    <s v=" 30-11-2016"/>
    <x v="24"/>
    <n v="5.13"/>
    <n v="2166181"/>
    <n v="4026625.1953869639"/>
    <n v="1930263.2051327594"/>
  </r>
  <r>
    <s v=" 31-12-2016"/>
    <x v="24"/>
    <n v="7.23"/>
    <n v="3046032"/>
    <n v="2724314.2586160889"/>
    <n v="2030062.6099913656"/>
  </r>
  <r>
    <s v=" 31-01-2017"/>
    <x v="24"/>
    <n v="2.94"/>
    <n v="1285459"/>
    <n v="2949516.6775848265"/>
    <n v="1336645.7215441053"/>
  </r>
  <r>
    <s v=" 28-02-2017"/>
    <x v="24"/>
    <n v="2.16"/>
    <n v="921881"/>
    <n v="1784676.3032754478"/>
    <n v="1453024.7604679945"/>
  </r>
  <r>
    <s v=" 31-03-2017"/>
    <x v="24"/>
    <n v="1.19"/>
    <n v="495651"/>
    <n v="1180719.5909826341"/>
    <n v="1098029.4462967652"/>
  </r>
  <r>
    <s v=" 30-04-2017"/>
    <x v="24"/>
    <n v="5.51"/>
    <n v="2319776"/>
    <n v="701171.57729479019"/>
    <n v="1152218.5359896084"/>
  </r>
  <r>
    <s v=" 31-05-2017"/>
    <x v="24"/>
    <n v="2.15"/>
    <n v="924415"/>
    <n v="1834194.673188437"/>
    <n v="1130429.8573118059"/>
  </r>
  <r>
    <s v=" 30-06-2017"/>
    <x v="24"/>
    <n v="1.6"/>
    <n v="706768"/>
    <n v="1197348.9019565312"/>
    <n v="1142642.8875343711"/>
  </r>
  <r>
    <s v=" 31-07-2017"/>
    <x v="24"/>
    <n v="1.26"/>
    <n v="540002"/>
    <n v="853942.27058695932"/>
    <n v="1108790.4749939924"/>
  </r>
  <r>
    <s v=" 31-08-2017"/>
    <x v="24"/>
    <n v="7.13"/>
    <n v="3057055"/>
    <n v="634184.08117608773"/>
    <n v="623679.1826485676"/>
  </r>
  <r>
    <s v=" 30-09-2017"/>
    <x v="24"/>
    <n v="2.61"/>
    <n v="1127663"/>
    <n v="2330193.7243528264"/>
    <n v="1438695.1963664074"/>
  </r>
  <r>
    <s v=" 31-10-2017"/>
    <x v="24"/>
    <n v="2.46"/>
    <n v="1082674"/>
    <n v="1488422.2173058479"/>
    <n v="1572147.3770813574"/>
  </r>
  <r>
    <s v=" 30-11-2017"/>
    <x v="24"/>
    <n v="1.46"/>
    <n v="620561"/>
    <n v="1204398.4651917543"/>
    <n v="1579136.3935330852"/>
  </r>
  <r>
    <s v=" 31-12-2017"/>
    <x v="24"/>
    <n v="5.53"/>
    <n v="2322128"/>
    <n v="795712.23955752631"/>
    <n v="806551.9087698654"/>
  </r>
  <r>
    <s v=" 31-01-2018"/>
    <x v="24"/>
    <n v="3.15"/>
    <n v="1365538"/>
    <n v="1864203.2718672578"/>
    <n v="972187.03196034289"/>
  </r>
  <r>
    <s v=" 28-02-2018"/>
    <x v="24"/>
    <n v="2.81"/>
    <n v="1237280"/>
    <n v="1515137.5815601773"/>
    <n v="986488.437650632"/>
  </r>
  <r>
    <s v=" 31-03-2018"/>
    <x v="24"/>
    <n v="2.1800000000000002"/>
    <n v="945367"/>
    <n v="1320637.2744680531"/>
    <n v="940889.11190853454"/>
  </r>
  <r>
    <s v=" 30-04-2018"/>
    <x v="24"/>
    <n v="5.73"/>
    <n v="2474930"/>
    <n v="1057948.0823404158"/>
    <n v="394419.26419156417"/>
  </r>
  <r>
    <s v=" 31-05-2018"/>
    <x v="24"/>
    <n v="4.74"/>
    <n v="2061275"/>
    <n v="2049835.4247021247"/>
    <n v="861369.13680179941"/>
  </r>
  <r>
    <s v=" 30-06-2018"/>
    <x v="24"/>
    <n v="3.05"/>
    <n v="1343433"/>
    <n v="2057843.1274106372"/>
    <n v="846324.68114716595"/>
  </r>
  <r>
    <s v=" 31-07-2018"/>
    <x v="24"/>
    <n v="2.94"/>
    <n v="1270324"/>
    <n v="1557756.0382231912"/>
    <n v="916215.12193809438"/>
  </r>
  <r>
    <s v=" 31-08-2018"/>
    <x v="24"/>
    <n v="8.76"/>
    <n v="3741084"/>
    <n v="1356553.6114669573"/>
    <n v="444645.87805991439"/>
  </r>
  <r>
    <s v=" 30-09-2018"/>
    <x v="24"/>
    <n v="7.3"/>
    <n v="3151750"/>
    <n v="3025724.8834400871"/>
    <n v="1446718.6066614757"/>
  </r>
  <r>
    <s v=" 31-10-2018"/>
    <x v="24"/>
    <n v="5.05"/>
    <n v="2167152"/>
    <n v="3113942.4650320262"/>
    <n v="1388582.572318336"/>
  </r>
  <r>
    <s v=" 30-11-2018"/>
    <x v="24"/>
    <n v="5.37"/>
    <n v="2295348"/>
    <n v="2451189.1395096076"/>
    <n v="1483046.3791935216"/>
  </r>
  <r>
    <s v=" 31-12-2018"/>
    <x v="24"/>
    <n v="10.75"/>
    <n v="4614358"/>
    <n v="2342100.3418528819"/>
    <n v="558742.92700762756"/>
  </r>
  <r>
    <s v=" 31-01-2019"/>
    <x v="24"/>
    <n v="8.14"/>
    <n v="3496681"/>
    <n v="3932680.7025558641"/>
    <n v="1424061.5050443385"/>
  </r>
  <r>
    <s v=" 28-02-2019"/>
    <x v="24"/>
    <n v="8.7200000000000006"/>
    <n v="3658848"/>
    <n v="3627480.910766759"/>
    <n v="1338847.398125303"/>
  </r>
  <r>
    <s v=" 31-03-2019"/>
    <x v="24"/>
    <n v="7.75"/>
    <n v="3359059"/>
    <n v="3649437.873230027"/>
    <n v="1335943.424441319"/>
  </r>
  <r>
    <s v=" 30-04-2019"/>
    <x v="24"/>
    <n v="10.87"/>
    <n v="4816149"/>
    <n v="3446172.6619690079"/>
    <n v="302984.88682556874"/>
  </r>
  <r>
    <s v=" 31-05-2019"/>
    <x v="24"/>
    <n v="10.26"/>
    <n v="4441330"/>
    <n v="4405156.0985907018"/>
    <n v="808731.30088019418"/>
  </r>
  <r>
    <s v=" 30-06-2019"/>
    <x v="24"/>
    <n v="11.13"/>
    <n v="4705380"/>
    <n v="4430477.8295772104"/>
    <n v="808798.20473059837"/>
  </r>
  <r>
    <s v=" 31-07-2019"/>
    <x v="24"/>
    <n v="9.19"/>
    <n v="3923855"/>
    <n v="4622909.3488731626"/>
    <n v="806993.37486151583"/>
  </r>
  <r>
    <s v=" 31-08-2019"/>
    <x v="24"/>
    <n v="11.47"/>
    <n v="4966366"/>
    <n v="4133571.3046619487"/>
    <n v="434187.64650199015"/>
  </r>
  <r>
    <s v=" 30-09-2019"/>
    <x v="24"/>
    <n v="6.37"/>
    <n v="2822553"/>
    <n v="4716527.5913985837"/>
    <n v="647506.80577242828"/>
  </r>
  <r>
    <s v=" 31-10-2019"/>
    <x v="24"/>
    <n v="10.18"/>
    <n v="4360428"/>
    <n v="3390745.3774195751"/>
    <n v="1260867.920670138"/>
  </r>
  <r>
    <s v=" 30-11-2019"/>
    <x v="24"/>
    <n v="6.94"/>
    <n v="3002351"/>
    <n v="4069523.2132258723"/>
    <n v="1319213.2940988075"/>
  </r>
  <r>
    <s v=" 31-12-2019"/>
    <x v="24"/>
    <n v="8.43"/>
    <n v="3763157"/>
    <n v="3322502.6639677612"/>
    <n v="1374321.7325987013"/>
  </r>
  <r>
    <s v=" 31-01-2020"/>
    <x v="24"/>
    <n v="6.06"/>
    <n v="2774117"/>
    <n v="3630960.6991903284"/>
    <n v="870501.22823575442"/>
  </r>
  <r>
    <s v=" 29-02-2020"/>
    <x v="24"/>
    <n v="8.1199999999999992"/>
    <n v="3593703"/>
    <n v="3031170.1097570984"/>
    <n v="830103.18663557025"/>
  </r>
  <r>
    <s v=" 31-03-2020"/>
    <x v="24"/>
    <n v="9.3699999999999992"/>
    <n v="4037224"/>
    <n v="3424943.132927129"/>
    <n v="644153.35164622916"/>
  </r>
  <r>
    <s v=" 30-04-2020"/>
    <x v="24"/>
    <n v="19.920000000000002"/>
    <n v="7962159"/>
    <n v="3853539.7398781385"/>
    <n v="689326.29855308845"/>
  </r>
  <r>
    <s v=" 31-05-2020"/>
    <x v="24"/>
    <n v="16.86"/>
    <n v="6499125"/>
    <n v="6729573.221963441"/>
    <n v="2420198.5688115796"/>
  </r>
  <r>
    <s v=" 30-06-2020"/>
    <x v="24"/>
    <n v="8.51"/>
    <n v="3566448"/>
    <n v="6568259.4665890317"/>
    <n v="2401995.4529400431"/>
  </r>
  <r>
    <s v=" 31-07-2020"/>
    <x v="24"/>
    <n v="4.3899999999999997"/>
    <n v="1901604"/>
    <n v="4466991.439976709"/>
    <n v="2940789.6155395531"/>
  </r>
  <r>
    <s v=" 31-08-2020"/>
    <x v="24"/>
    <n v="5.69"/>
    <n v="2445871"/>
    <n v="2671220.2319930121"/>
    <n v="2283651.4022606979"/>
  </r>
  <r>
    <s v=" 30-09-2020"/>
    <x v="24"/>
    <n v="3.26"/>
    <n v="1401574"/>
    <n v="2513475.7695979038"/>
    <n v="2283481.7767680627"/>
  </r>
  <r>
    <s v=" 31-10-2020"/>
    <x v="24"/>
    <n v="3.22"/>
    <n v="1387024"/>
    <n v="1735144.5308793711"/>
    <n v="1619497.9200135912"/>
  </r>
  <r>
    <s v=" 30-11-2020"/>
    <x v="24"/>
    <n v="4.71"/>
    <n v="2048022"/>
    <n v="1491460.1592638113"/>
    <n v="685151.01148445741"/>
  </r>
  <r>
    <s v=" 31-12-2020"/>
    <x v="24"/>
    <n v="15.29"/>
    <n v="6570930"/>
    <n v="1881053.4477791432"/>
    <n v="745491.90288881061"/>
  </r>
  <r>
    <s v=" 31-01-2021"/>
    <x v="24"/>
    <n v="4.22"/>
    <n v="1776019"/>
    <n v="5163967.0343337432"/>
    <n v="2734098.9412512966"/>
  </r>
  <r>
    <s v=" 28-02-2021"/>
    <x v="24"/>
    <n v="3.65"/>
    <n v="1588629"/>
    <n v="2792403.4103001226"/>
    <n v="3355736.1358813918"/>
  </r>
  <r>
    <s v=" 31-03-2021"/>
    <x v="24"/>
    <n v="3.68"/>
    <n v="1575680"/>
    <n v="1949761.3230900364"/>
    <n v="3411852.2237102762"/>
  </r>
  <r>
    <s v=" 30-04-2021"/>
    <x v="24"/>
    <n v="5.03"/>
    <n v="2209144"/>
    <n v="1687904.3969270107"/>
    <n v="2087039.4941578589"/>
  </r>
  <r>
    <s v=" 31-05-2021"/>
    <x v="24"/>
    <n v="6.04"/>
    <n v="2583459"/>
    <n v="2052772.119078103"/>
    <n v="787549.02302224713"/>
  </r>
  <r>
    <s v=" 30-06-2021"/>
    <x v="24"/>
    <n v="3.77"/>
    <n v="1618284"/>
    <n v="2424252.9357234305"/>
    <n v="480713.40237855213"/>
  </r>
  <r>
    <s v=" 31-07-2021"/>
    <x v="24"/>
    <n v="4.9000000000000004"/>
    <n v="2062515"/>
    <n v="1860074.6807170289"/>
    <n v="633220.6605245542"/>
  </r>
  <r>
    <s v=" 31-08-2021"/>
    <x v="24"/>
    <n v="5.99"/>
    <n v="2619364"/>
    <n v="2001782.9042151086"/>
    <n v="569267.53341616166"/>
  </r>
  <r>
    <s v=" 30-09-2021"/>
    <x v="24"/>
    <n v="4.0999999999999996"/>
    <n v="1716858"/>
    <n v="2434089.6712645325"/>
    <n v="597766.51464525785"/>
  </r>
  <r>
    <s v=" 31-10-2021"/>
    <x v="24"/>
    <n v="4.17"/>
    <n v="1750577"/>
    <n v="1932027.5013793595"/>
    <n v="558811.16757129226"/>
  </r>
  <r>
    <s v=" 30-11-2021"/>
    <x v="24"/>
    <n v="5.04"/>
    <n v="2180634"/>
    <n v="1805012.1504138077"/>
    <n v="556402.72123304184"/>
  </r>
  <r>
    <s v=" 31-12-2021"/>
    <x v="24"/>
    <n v="3.99"/>
    <n v="1764977"/>
    <n v="2067947.4451241421"/>
    <n v="479039.77865527599"/>
  </r>
  <r>
    <s v=" 31-01-2022"/>
    <x v="24"/>
    <n v="1.54"/>
    <n v="652709"/>
    <n v="1855868.1335372427"/>
    <n v="297661.52419378055"/>
  </r>
  <r>
    <s v=" 28-02-2022"/>
    <x v="24"/>
    <n v="2.23"/>
    <n v="937701"/>
    <n v="1013656.7400611727"/>
    <n v="748437.20848163823"/>
  </r>
  <r>
    <s v=" 31-03-2022"/>
    <x v="24"/>
    <n v="4.1900000000000004"/>
    <n v="1781279"/>
    <n v="960487.72201835178"/>
    <n v="717670.36669143348"/>
  </r>
  <r>
    <s v=" 30-04-2022"/>
    <x v="24"/>
    <n v="1.67"/>
    <n v="721212"/>
    <n v="1535041.6166055053"/>
    <n v="842033.1539539831"/>
  </r>
  <r>
    <s v=" 31-01-2016"/>
    <x v="25"/>
    <n v="0"/>
    <n v="0"/>
    <n v="965360.88498165156"/>
    <n v="668776.55494274304"/>
  </r>
  <r>
    <s v=" 29-02-2016"/>
    <x v="25"/>
    <n v="4.76"/>
    <n v="117127"/>
    <n v="289608.26549449546"/>
    <n v="869470.8362231151"/>
  </r>
  <r>
    <s v=" 31-03-2016"/>
    <x v="25"/>
    <n v="1.3"/>
    <n v="24439"/>
    <n v="168871.37964834861"/>
    <n v="735751.33255364746"/>
  </r>
  <r>
    <s v=" 30-04-2016"/>
    <x v="25"/>
    <n v="0"/>
    <n v="0"/>
    <n v="67768.713894504574"/>
    <n v="572285.51658824552"/>
  </r>
  <r>
    <s v=" 31-05-2016"/>
    <x v="25"/>
    <n v="0"/>
    <n v="0"/>
    <n v="20330.614168351371"/>
    <n v="135650.4058482472"/>
  </r>
  <r>
    <s v=" 30-06-2016"/>
    <x v="25"/>
    <n v="2.3199999999999998"/>
    <n v="54692"/>
    <n v="6099.184250505411"/>
    <n v="92855.882503052882"/>
  </r>
  <r>
    <s v=" 31-07-2016"/>
    <x v="25"/>
    <n v="0"/>
    <n v="0"/>
    <n v="40114.155275151614"/>
    <n v="49555.336738646416"/>
  </r>
  <r>
    <s v=" 31-08-2016"/>
    <x v="25"/>
    <n v="0"/>
    <n v="0"/>
    <n v="12034.246582545484"/>
    <n v="38226.260905149458"/>
  </r>
  <r>
    <s v=" 30-09-2016"/>
    <x v="25"/>
    <n v="0"/>
    <n v="0"/>
    <n v="3610.2739747636451"/>
    <n v="37037.054808721907"/>
  </r>
  <r>
    <s v=" 31-10-2016"/>
    <x v="25"/>
    <n v="4.82"/>
    <n v="106364"/>
    <n v="1083.0821924290935"/>
    <n v="24269.340208181307"/>
  </r>
  <r>
    <s v=" 30-11-2016"/>
    <x v="25"/>
    <n v="0"/>
    <n v="0"/>
    <n v="74779.724657728715"/>
    <n v="61215.27266782058"/>
  </r>
  <r>
    <s v=" 31-12-2016"/>
    <x v="25"/>
    <n v="0"/>
    <n v="0"/>
    <n v="22433.917397318615"/>
    <n v="74585.773783081619"/>
  </r>
  <r>
    <s v=" 31-01-2017"/>
    <x v="25"/>
    <n v="0"/>
    <n v="0"/>
    <n v="6730.1752191955848"/>
    <n v="75673.331991483719"/>
  </r>
  <r>
    <s v=" 28-02-2017"/>
    <x v="25"/>
    <n v="3.43"/>
    <n v="76402"/>
    <n v="2019.0525657586754"/>
    <n v="45242.248426872386"/>
  </r>
  <r>
    <s v=" 31-03-2017"/>
    <x v="25"/>
    <n v="0"/>
    <n v="0"/>
    <n v="54087.115769727599"/>
    <n v="45023.692937814783"/>
  </r>
  <r>
    <s v=" 30-04-2017"/>
    <x v="25"/>
    <n v="0"/>
    <n v="0"/>
    <n v="16226.134730918278"/>
    <n v="53240.129663547646"/>
  </r>
  <r>
    <s v=" 31-05-2017"/>
    <x v="25"/>
    <n v="0"/>
    <n v="0"/>
    <n v="4867.8404192754833"/>
    <n v="53918.229476368309"/>
  </r>
  <r>
    <s v=" 30-06-2017"/>
    <x v="25"/>
    <n v="2.17"/>
    <n v="44404"/>
    <n v="1460.3521257826449"/>
    <n v="32723.077539362344"/>
  </r>
  <r>
    <s v=" 31-07-2017"/>
    <x v="25"/>
    <n v="0"/>
    <n v="0"/>
    <n v="31520.905637734792"/>
    <n v="26652.956129969381"/>
  </r>
  <r>
    <s v=" 31-08-2017"/>
    <x v="25"/>
    <n v="0"/>
    <n v="0"/>
    <n v="9456.2716913204367"/>
    <n v="30883.761943321639"/>
  </r>
  <r>
    <s v=" 30-09-2017"/>
    <x v="25"/>
    <n v="0"/>
    <n v="0"/>
    <n v="2836.8815073961309"/>
    <n v="31236.439507236963"/>
  </r>
  <r>
    <s v=" 31-10-2017"/>
    <x v="25"/>
    <n v="1.46"/>
    <n v="28989"/>
    <n v="851.06445221883928"/>
    <n v="19070.364995720942"/>
  </r>
  <r>
    <s v=" 30-11-2017"/>
    <x v="25"/>
    <n v="3.73"/>
    <n v="75951"/>
    <n v="20547.619335665651"/>
    <n v="17216.391297037844"/>
  </r>
  <r>
    <s v=" 31-12-2017"/>
    <x v="25"/>
    <n v="1.1399999999999999"/>
    <n v="22093"/>
    <n v="59329.985800699695"/>
    <n v="35913.441785378127"/>
  </r>
  <r>
    <s v=" 31-01-2018"/>
    <x v="25"/>
    <n v="0.56000000000000005"/>
    <n v="11549"/>
    <n v="33264.095740209901"/>
    <n v="41824.518795596974"/>
  </r>
  <r>
    <s v=" 28-02-2018"/>
    <x v="25"/>
    <n v="1.02"/>
    <n v="20656"/>
    <n v="18063.528722062969"/>
    <n v="40528.480042085343"/>
  </r>
  <r>
    <s v=" 31-03-2018"/>
    <x v="25"/>
    <n v="3"/>
    <n v="62789"/>
    <n v="19878.258616618888"/>
    <n v="24932.304358368223"/>
  </r>
  <r>
    <s v=" 30-04-2018"/>
    <x v="25"/>
    <n v="0.46"/>
    <n v="8823"/>
    <n v="49915.777584985663"/>
    <n v="27806.462177012181"/>
  </r>
  <r>
    <s v=" 31-05-2018"/>
    <x v="25"/>
    <n v="1.02"/>
    <n v="21854"/>
    <n v="21150.833275495697"/>
    <n v="34334.962759299473"/>
  </r>
  <r>
    <s v=" 30-06-2018"/>
    <x v="25"/>
    <n v="1.05"/>
    <n v="20620"/>
    <n v="21643.049982648707"/>
    <n v="34304.725326418062"/>
  </r>
  <r>
    <s v=" 31-07-2018"/>
    <x v="25"/>
    <n v="3.03"/>
    <n v="61986"/>
    <n v="20926.91499479461"/>
    <n v="23735.749720330776"/>
  </r>
  <r>
    <s v=" 31-08-2018"/>
    <x v="25"/>
    <n v="0.46"/>
    <n v="8880"/>
    <n v="49668.274498438383"/>
    <n v="23716.306177917122"/>
  </r>
  <r>
    <s v=" 30-09-2018"/>
    <x v="25"/>
    <n v="1.55"/>
    <n v="32690"/>
    <n v="21116.482349531514"/>
    <n v="33419.44757817738"/>
  </r>
  <r>
    <s v=" 31-10-2018"/>
    <x v="25"/>
    <n v="4.66"/>
    <n v="90430"/>
    <n v="29217.944704859452"/>
    <n v="34075.788613179822"/>
  </r>
  <r>
    <s v=" 30-11-2018"/>
    <x v="25"/>
    <n v="4.58"/>
    <n v="93000"/>
    <n v="72066.38341145782"/>
    <n v="42990.484841884907"/>
  </r>
  <r>
    <s v=" 31-12-2018"/>
    <x v="25"/>
    <n v="4.82"/>
    <n v="94390"/>
    <n v="86719.915023437337"/>
    <n v="37943.283673298218"/>
  </r>
  <r>
    <s v=" 31-01-2019"/>
    <x v="25"/>
    <n v="1.71"/>
    <n v="37011"/>
    <n v="92088.974507031206"/>
    <n v="37611.887396048631"/>
  </r>
  <r>
    <s v=" 28-02-2019"/>
    <x v="25"/>
    <n v="5.29"/>
    <n v="103581"/>
    <n v="53534.392352109353"/>
    <n v="34305.635022160037"/>
  </r>
  <r>
    <s v=" 31-03-2019"/>
    <x v="25"/>
    <n v="5.04"/>
    <n v="99213"/>
    <n v="88567.01770563281"/>
    <n v="43193.658548475141"/>
  </r>
  <r>
    <s v=" 30-04-2019"/>
    <x v="25"/>
    <n v="6.11"/>
    <n v="116239"/>
    <n v="96019.205311689831"/>
    <n v="43403.468186582613"/>
  </r>
  <r>
    <s v=" 31-05-2019"/>
    <x v="25"/>
    <n v="1.63"/>
    <n v="34361"/>
    <n v="110173.06159350694"/>
    <n v="31763.920692673226"/>
  </r>
  <r>
    <s v=" 30-06-2019"/>
    <x v="25"/>
    <n v="4.6500000000000004"/>
    <n v="94002"/>
    <n v="57104.618478052078"/>
    <n v="45715.226199108925"/>
  </r>
  <r>
    <s v=" 31-07-2019"/>
    <x v="25"/>
    <n v="5.74"/>
    <n v="114830"/>
    <n v="82932.785543415608"/>
    <n v="50059.050275553869"/>
  </r>
  <r>
    <s v=" 31-08-2019"/>
    <x v="25"/>
    <n v="6.11"/>
    <n v="116785"/>
    <n v="105260.83566302469"/>
    <n v="52045.86994925153"/>
  </r>
  <r>
    <s v=" 30-09-2019"/>
    <x v="25"/>
    <n v="3.47"/>
    <n v="74877"/>
    <n v="113327.7506989074"/>
    <n v="28934.727790500776"/>
  </r>
  <r>
    <s v=" 31-10-2019"/>
    <x v="25"/>
    <n v="4.83"/>
    <n v="97936"/>
    <n v="86412.225209672208"/>
    <n v="29601.232424030804"/>
  </r>
  <r>
    <s v=" 30-11-2019"/>
    <x v="25"/>
    <n v="5.56"/>
    <n v="111595"/>
    <n v="94478.867562901665"/>
    <n v="24111.297340965404"/>
  </r>
  <r>
    <s v=" 31-12-2019"/>
    <x v="25"/>
    <n v="4.5199999999999996"/>
    <n v="88030"/>
    <n v="106460.1602688705"/>
    <n v="25194.044298418441"/>
  </r>
  <r>
    <s v=" 31-01-2020"/>
    <x v="25"/>
    <n v="4.17"/>
    <n v="82832"/>
    <n v="93559.048080661145"/>
    <n v="15973.208637786138"/>
  </r>
  <r>
    <s v=" 29-02-2020"/>
    <x v="25"/>
    <n v="4.8499999999999996"/>
    <n v="99790"/>
    <n v="86050.114424198342"/>
    <n v="15787.150446543106"/>
  </r>
  <r>
    <s v=" 30-04-2020"/>
    <x v="25"/>
    <n v="3.66"/>
    <n v="72178"/>
    <n v="95668.034327259506"/>
    <n v="14646.101002168816"/>
  </r>
  <r>
    <s v=" 31-05-2020"/>
    <x v="25"/>
    <n v="3.57"/>
    <n v="68383"/>
    <n v="79225.010298177847"/>
    <n v="16888.21807115608"/>
  </r>
  <r>
    <s v=" 30-06-2020"/>
    <x v="25"/>
    <n v="10.71"/>
    <n v="179440"/>
    <n v="71635.603089453347"/>
    <n v="16912.671340721103"/>
  </r>
  <r>
    <s v=" 31-08-2020"/>
    <x v="25"/>
    <n v="11.54"/>
    <n v="220083"/>
    <n v="147098.68092683598"/>
    <n v="64008.121602518295"/>
  </r>
  <r>
    <s v=" 31-10-2020"/>
    <x v="25"/>
    <n v="10.1"/>
    <n v="180090"/>
    <n v="198187.70427805078"/>
    <n v="75423.356265650873"/>
  </r>
  <r>
    <s v=" 31-12-2020"/>
    <x v="25"/>
    <n v="5.56"/>
    <n v="100744"/>
    <n v="185519.31128341521"/>
    <n v="75885.935728029493"/>
  </r>
  <r>
    <s v=" 31-01-2021"/>
    <x v="25"/>
    <n v="2.59"/>
    <n v="46274"/>
    <n v="126176.59338502455"/>
    <n v="65424.488620875331"/>
  </r>
  <r>
    <s v=" 28-02-2021"/>
    <x v="25"/>
    <n v="4.17"/>
    <n v="75323"/>
    <n v="70244.778015507356"/>
    <n v="68065.666168752781"/>
  </r>
  <r>
    <s v=" 31-03-2021"/>
    <x v="25"/>
    <n v="2.27"/>
    <n v="37823"/>
    <n v="73799.533404652204"/>
    <n v="67322.770222702267"/>
  </r>
  <r>
    <s v=" 30-04-2021"/>
    <x v="25"/>
    <n v="5.95"/>
    <n v="120896"/>
    <n v="48615.960021395658"/>
    <n v="50677.160286110513"/>
  </r>
  <r>
    <s v=" 31-05-2021"/>
    <x v="25"/>
    <n v="3.95"/>
    <n v="65932"/>
    <n v="99211.988006418687"/>
    <n v="46706.542987924375"/>
  </r>
  <r>
    <s v=" 30-06-2021"/>
    <x v="25"/>
    <n v="4.82"/>
    <n v="89278"/>
    <n v="75915.9964019256"/>
    <n v="50419.152236797447"/>
  </r>
  <r>
    <s v=" 31-07-2021"/>
    <x v="25"/>
    <n v="2.13"/>
    <n v="35931"/>
    <n v="85269.398920577674"/>
    <n v="46585.06527908906"/>
  </r>
  <r>
    <s v=" 31-08-2021"/>
    <x v="25"/>
    <n v="6.33"/>
    <n v="123375"/>
    <n v="50732.519676173295"/>
    <n v="35215.424413687368"/>
  </r>
  <r>
    <s v=" 30-09-2021"/>
    <x v="25"/>
    <n v="3.75"/>
    <n v="66796"/>
    <n v="101582.25590285199"/>
    <n v="51282.715398070737"/>
  </r>
  <r>
    <s v=" 31-10-2021"/>
    <x v="25"/>
    <n v="3.16"/>
    <n v="60307"/>
    <n v="77231.876770855597"/>
    <n v="54532.226421271043"/>
  </r>
  <r>
    <s v=" 30-11-2021"/>
    <x v="25"/>
    <n v="2.27"/>
    <n v="39976"/>
    <n v="65384.463031256673"/>
    <n v="47516.540983271996"/>
  </r>
  <r>
    <s v=" 31-12-2021"/>
    <x v="25"/>
    <n v="5.09"/>
    <n v="99019"/>
    <n v="47598.538909376999"/>
    <n v="26721.558381814048"/>
  </r>
  <r>
    <s v=" 31-01-2022"/>
    <x v="25"/>
    <n v="3.54"/>
    <n v="64865"/>
    <n v="83592.861672813087"/>
    <n v="34525.86115793811"/>
  </r>
  <r>
    <s v=" 28-02-2022"/>
    <x v="25"/>
    <n v="5.13"/>
    <n v="91838"/>
    <n v="70483.358501843933"/>
    <n v="34834.784412609915"/>
  </r>
  <r>
    <s v=" 31-03-2022"/>
    <x v="25"/>
    <n v="2.08"/>
    <n v="33930"/>
    <n v="85431.607550553177"/>
    <n v="33915.666660719224"/>
  </r>
  <r>
    <s v=" 30-04-2022"/>
    <x v="25"/>
    <n v="5.53"/>
    <n v="105928"/>
    <n v="49380.482265165949"/>
    <n v="33956.68366533058"/>
  </r>
  <r>
    <s v=" 31-01-2016"/>
    <x v="26"/>
    <n v="8.3000000000000007"/>
    <n v="1832264"/>
    <n v="88963.744679549767"/>
    <n v="45847.784591251286"/>
  </r>
  <r>
    <s v=" 29-02-2016"/>
    <x v="26"/>
    <n v="4.66"/>
    <n v="1000549"/>
    <n v="1309273.9234038647"/>
    <n v="1007463.1205065871"/>
  </r>
  <r>
    <s v=" 31-03-2016"/>
    <x v="26"/>
    <n v="8.4"/>
    <n v="1798087"/>
    <n v="1093166.4770211594"/>
    <n v="1022676.9578403926"/>
  </r>
  <r>
    <s v=" 30-04-2016"/>
    <x v="26"/>
    <n v="7.64"/>
    <n v="1611271"/>
    <n v="1586610.8431063476"/>
    <n v="1100199.9518644828"/>
  </r>
  <r>
    <s v=" 31-05-2016"/>
    <x v="26"/>
    <n v="5.64"/>
    <n v="1261101"/>
    <n v="1603872.9529319042"/>
    <n v="444534.26766504889"/>
  </r>
  <r>
    <s v=" 30-06-2016"/>
    <x v="26"/>
    <n v="5.72"/>
    <n v="1191093"/>
    <n v="1363932.5858795713"/>
    <n v="452774.2921042571"/>
  </r>
  <r>
    <s v=" 31-07-2016"/>
    <x v="26"/>
    <n v="8.17"/>
    <n v="1726060"/>
    <n v="1242944.8757638712"/>
    <n v="222091.76594506516"/>
  </r>
  <r>
    <s v=" 31-08-2016"/>
    <x v="26"/>
    <n v="6.41"/>
    <n v="1415391"/>
    <n v="1581125.4627291614"/>
    <n v="356261.30738989107"/>
  </r>
  <r>
    <s v=" 30-09-2016"/>
    <x v="26"/>
    <n v="7.74"/>
    <n v="1833635"/>
    <n v="1465111.3388187485"/>
    <n v="311309.95157497271"/>
  </r>
  <r>
    <s v=" 31-10-2016"/>
    <x v="26"/>
    <n v="4.07"/>
    <n v="897587"/>
    <n v="1723077.9016456245"/>
    <n v="363628.85118952807"/>
  </r>
  <r>
    <s v=" 30-11-2016"/>
    <x v="26"/>
    <n v="7.92"/>
    <n v="1687913"/>
    <n v="1145234.2704936871"/>
    <n v="530632.58779380913"/>
  </r>
  <r>
    <s v=" 31-12-2016"/>
    <x v="26"/>
    <n v="5.48"/>
    <n v="1208291"/>
    <n v="1525109.381148106"/>
    <n v="608754.22544973646"/>
  </r>
  <r>
    <s v=" 31-01-2017"/>
    <x v="26"/>
    <n v="5.75"/>
    <n v="1316016"/>
    <n v="1303336.5143444317"/>
    <n v="598973.93343160837"/>
  </r>
  <r>
    <s v=" 28-02-2017"/>
    <x v="26"/>
    <n v="4.18"/>
    <n v="932430"/>
    <n v="1312212.1543033295"/>
    <n v="362875.02873963933"/>
  </r>
  <r>
    <s v=" 31-03-2017"/>
    <x v="26"/>
    <n v="6.9"/>
    <n v="1497031"/>
    <n v="1046364.6462909989"/>
    <n v="285639.13172455574"/>
  </r>
  <r>
    <s v=" 30-04-2017"/>
    <x v="26"/>
    <n v="4.75"/>
    <n v="1070661"/>
    <n v="1361831.0938872995"/>
    <n v="340340.71969578479"/>
  </r>
  <r>
    <s v=" 31-05-2017"/>
    <x v="26"/>
    <n v="4.67"/>
    <n v="1099990"/>
    <n v="1158012.0281661898"/>
    <n v="379523.67983521277"/>
  </r>
  <r>
    <s v=" 30-06-2017"/>
    <x v="26"/>
    <n v="4.1399999999999997"/>
    <n v="952826"/>
    <n v="1117396.608449857"/>
    <n v="311580.24204166274"/>
  </r>
  <r>
    <s v=" 31-07-2017"/>
    <x v="26"/>
    <n v="6.71"/>
    <n v="1465963"/>
    <n v="1002197.1825349571"/>
    <n v="195984.74812462073"/>
  </r>
  <r>
    <s v=" 31-08-2017"/>
    <x v="26"/>
    <n v="4.55"/>
    <n v="1021737"/>
    <n v="1326833.254760487"/>
    <n v="286082.0245821664"/>
  </r>
  <r>
    <s v=" 30-09-2017"/>
    <x v="26"/>
    <n v="6.24"/>
    <n v="1391842"/>
    <n v="1113265.8764281459"/>
    <n v="334288.27045104431"/>
  </r>
  <r>
    <s v=" 31-10-2017"/>
    <x v="26"/>
    <n v="5.08"/>
    <n v="1189344"/>
    <n v="1308269.1629284436"/>
    <n v="358593.13747951936"/>
  </r>
  <r>
    <s v=" 30-11-2017"/>
    <x v="26"/>
    <n v="5.95"/>
    <n v="1342406"/>
    <n v="1225021.5488785331"/>
    <n v="248214.67568132345"/>
  </r>
  <r>
    <s v=" 31-12-2017"/>
    <x v="26"/>
    <n v="4.4800000000000004"/>
    <n v="1046068"/>
    <n v="1307190.6646635598"/>
    <n v="187551.73541094011"/>
  </r>
  <r>
    <s v=" 31-01-2018"/>
    <x v="26"/>
    <n v="7.87"/>
    <n v="1748639"/>
    <n v="1124404.7993990679"/>
    <n v="178985.42747352627"/>
  </r>
  <r>
    <s v=" 28-02-2018"/>
    <x v="26"/>
    <n v="8.7899999999999991"/>
    <n v="2098157"/>
    <n v="1561368.7398197202"/>
    <n v="396498.21040620544"/>
  </r>
  <r>
    <s v=" 31-03-2018"/>
    <x v="26"/>
    <n v="8.7200000000000006"/>
    <n v="1952363"/>
    <n v="1937120.5219459159"/>
    <n v="498663.21950733254"/>
  </r>
  <r>
    <s v=" 30-04-2018"/>
    <x v="26"/>
    <n v="5.63"/>
    <n v="1289227"/>
    <n v="1947790.2565837745"/>
    <n v="475409.40483071562"/>
  </r>
  <r>
    <s v=" 31-05-2018"/>
    <x v="26"/>
    <n v="7.33"/>
    <n v="1658201"/>
    <n v="1486795.9769751322"/>
    <n v="490604.90972092381"/>
  </r>
  <r>
    <s v=" 30-06-2018"/>
    <x v="26"/>
    <n v="7.56"/>
    <n v="1822650"/>
    <n v="1606779.4930925397"/>
    <n v="392987.52226909663"/>
  </r>
  <r>
    <s v=" 31-07-2018"/>
    <x v="26"/>
    <n v="6.21"/>
    <n v="1472982"/>
    <n v="1757888.847927762"/>
    <n v="412183.34132311627"/>
  </r>
  <r>
    <s v=" 31-08-2018"/>
    <x v="26"/>
    <n v="4.8"/>
    <n v="1105751"/>
    <n v="1558454.0543783284"/>
    <n v="228875.27146663103"/>
  </r>
  <r>
    <s v=" 30-09-2018"/>
    <x v="26"/>
    <n v="6.37"/>
    <n v="1462503"/>
    <n v="1241561.9163134985"/>
    <n v="333022.54337711359"/>
  </r>
  <r>
    <s v=" 31-10-2018"/>
    <x v="26"/>
    <n v="6.27"/>
    <n v="1526361"/>
    <n v="1396220.6748940495"/>
    <n v="334129.18155516154"/>
  </r>
  <r>
    <s v=" 30-11-2018"/>
    <x v="26"/>
    <n v="5.73"/>
    <n v="1379986"/>
    <n v="1487318.9024682147"/>
    <n v="300383.93328245543"/>
  </r>
  <r>
    <s v=" 31-12-2018"/>
    <x v="26"/>
    <n v="5.38"/>
    <n v="1260900"/>
    <n v="1412185.8707404644"/>
    <n v="160490.72520605818"/>
  </r>
  <r>
    <s v=" 31-01-2019"/>
    <x v="26"/>
    <n v="6.7"/>
    <n v="1569022"/>
    <n v="1306285.7612221392"/>
    <n v="130823.38075516712"/>
  </r>
  <r>
    <s v=" 28-02-2019"/>
    <x v="26"/>
    <n v="5.99"/>
    <n v="1477422"/>
    <n v="1490201.1283666417"/>
    <n v="185686.20286663633"/>
  </r>
  <r>
    <s v=" 31-03-2019"/>
    <x v="26"/>
    <n v="5.54"/>
    <n v="1386860"/>
    <n v="1481255.7385099924"/>
    <n v="175196.130070129"/>
  </r>
  <r>
    <s v=" 30-04-2019"/>
    <x v="26"/>
    <n v="6.51"/>
    <n v="1573326"/>
    <n v="1415178.7215529976"/>
    <n v="161352.81501293476"/>
  </r>
  <r>
    <s v=" 31-05-2019"/>
    <x v="26"/>
    <n v="6.02"/>
    <n v="1411864"/>
    <n v="1525881.8164658993"/>
    <n v="106590.21726664488"/>
  </r>
  <r>
    <s v=" 30-06-2019"/>
    <x v="26"/>
    <n v="5.85"/>
    <n v="1494294"/>
    <n v="1446069.3449397697"/>
    <n v="125061.55764354885"/>
  </r>
  <r>
    <s v=" 31-07-2019"/>
    <x v="26"/>
    <n v="5.62"/>
    <n v="1397008"/>
    <n v="1479826.6034819309"/>
    <n v="115954.36100397921"/>
  </r>
  <r>
    <s v=" 31-08-2019"/>
    <x v="26"/>
    <n v="5.58"/>
    <n v="1390806"/>
    <n v="1421853.5810445792"/>
    <n v="85993.412364023563"/>
  </r>
  <r>
    <s v=" 30-09-2019"/>
    <x v="26"/>
    <n v="5.81"/>
    <n v="1430649"/>
    <n v="1400120.2743133737"/>
    <n v="58162.103145992478"/>
  </r>
  <r>
    <s v=" 31-10-2019"/>
    <x v="26"/>
    <n v="6.78"/>
    <n v="1651134"/>
    <n v="1421490.382294012"/>
    <n v="54021.219483539629"/>
  </r>
  <r>
    <s v=" 30-11-2019"/>
    <x v="26"/>
    <n v="5.83"/>
    <n v="1494249"/>
    <n v="1582240.9146882035"/>
    <n v="134947.08411554378"/>
  </r>
  <r>
    <s v=" 31-12-2019"/>
    <x v="26"/>
    <n v="5.79"/>
    <n v="1442071"/>
    <n v="1520646.5744064609"/>
    <n v="143074.30621375187"/>
  </r>
  <r>
    <s v=" 31-01-2020"/>
    <x v="26"/>
    <n v="6.79"/>
    <n v="1671166"/>
    <n v="1465643.6723219382"/>
    <n v="149055.79391276644"/>
  </r>
  <r>
    <s v=" 29-02-2020"/>
    <x v="26"/>
    <n v="3.78"/>
    <n v="986316"/>
    <n v="1609509.3016965813"/>
    <n v="136816.33079669249"/>
  </r>
  <r>
    <s v=" 31-03-2020"/>
    <x v="26"/>
    <n v="7.02"/>
    <n v="1761866"/>
    <n v="1173273.9905089743"/>
    <n v="381568.44704762124"/>
  </r>
  <r>
    <s v=" 30-04-2020"/>
    <x v="26"/>
    <n v="18.32"/>
    <n v="3231533"/>
    <n v="1585288.3971526923"/>
    <n v="508936.7583797875"/>
  </r>
  <r>
    <s v=" 31-05-2020"/>
    <x v="26"/>
    <n v="18.43"/>
    <n v="3523037"/>
    <n v="2737659.6191458073"/>
    <n v="1071592.5434168933"/>
  </r>
  <r>
    <s v=" 30-06-2020"/>
    <x v="26"/>
    <n v="5.96"/>
    <n v="1283316"/>
    <n v="3287423.7857437422"/>
    <n v="1106553.1281714351"/>
  </r>
  <r>
    <s v=" 31-07-2020"/>
    <x v="26"/>
    <n v="4.4000000000000004"/>
    <n v="1136935"/>
    <n v="1884548.3357231226"/>
    <n v="1564543.2709090074"/>
  </r>
  <r>
    <s v=" 31-08-2020"/>
    <x v="26"/>
    <n v="13.13"/>
    <n v="3056161"/>
    <n v="1361219.0007169368"/>
    <n v="1315572.2895362729"/>
  </r>
  <r>
    <s v=" 30-09-2020"/>
    <x v="26"/>
    <n v="8"/>
    <n v="2028407"/>
    <n v="2547678.4002150809"/>
    <n v="1575669.3918843307"/>
  </r>
  <r>
    <s v=" 31-10-2020"/>
    <x v="26"/>
    <n v="10.48"/>
    <n v="2506132"/>
    <n v="2184188.4200645243"/>
    <n v="1110765.0318235704"/>
  </r>
  <r>
    <s v=" 30-11-2020"/>
    <x v="26"/>
    <n v="12.38"/>
    <n v="2867102"/>
    <n v="2409548.9260193571"/>
    <n v="1040211.3305600723"/>
  </r>
  <r>
    <s v=" 31-12-2020"/>
    <x v="26"/>
    <n v="5.52"/>
    <n v="1395293"/>
    <n v="2729836.0778058069"/>
    <n v="440698.41208856064"/>
  </r>
  <r>
    <s v=" 31-01-2021"/>
    <x v="26"/>
    <n v="4.83"/>
    <n v="1249906"/>
    <n v="1795655.923341742"/>
    <n v="835465.48117206327"/>
  </r>
  <r>
    <s v=" 28-02-2021"/>
    <x v="26"/>
    <n v="6.35"/>
    <n v="1668871"/>
    <n v="1413630.9770025224"/>
    <n v="873346.63237763138"/>
  </r>
  <r>
    <s v=" 31-03-2021"/>
    <x v="26"/>
    <n v="7.68"/>
    <n v="1923408"/>
    <n v="1592298.9931007568"/>
    <n v="845378.74641816935"/>
  </r>
  <r>
    <s v=" 30-04-2021"/>
    <x v="26"/>
    <n v="7.49"/>
    <n v="1788353"/>
    <n v="1824075.2979302269"/>
    <n v="396914.60988356732"/>
  </r>
  <r>
    <s v=" 31-05-2021"/>
    <x v="26"/>
    <n v="21.81"/>
    <n v="4141206"/>
    <n v="1799069.6893790679"/>
    <n v="242251.05872418932"/>
  </r>
  <r>
    <s v=" 30-06-2021"/>
    <x v="26"/>
    <n v="25.56"/>
    <n v="5055667"/>
    <n v="3438565.10681372"/>
    <n v="1365834.5134688718"/>
  </r>
  <r>
    <s v=" 31-07-2021"/>
    <x v="26"/>
    <n v="6.59"/>
    <n v="1619414"/>
    <n v="4570536.4320441158"/>
    <n v="1643360.0856218436"/>
  </r>
  <r>
    <s v=" 31-08-2021"/>
    <x v="26"/>
    <n v="6.62"/>
    <n v="1621548"/>
    <n v="2504750.7296132343"/>
    <n v="2367118.1240339247"/>
  </r>
  <r>
    <s v=" 30-09-2021"/>
    <x v="26"/>
    <n v="6.59"/>
    <n v="1661345"/>
    <n v="1886508.8188839701"/>
    <n v="2008663.6688320003"/>
  </r>
  <r>
    <s v=" 31-10-2021"/>
    <x v="26"/>
    <n v="5.6"/>
    <n v="1423788"/>
    <n v="1728894.1456651911"/>
    <n v="1783243.245311256"/>
  </r>
  <r>
    <s v=" 30-11-2021"/>
    <x v="26"/>
    <n v="5.93"/>
    <n v="1482867"/>
    <n v="1515319.8436995572"/>
    <n v="554928.09355607803"/>
  </r>
  <r>
    <s v=" 31-12-2021"/>
    <x v="26"/>
    <n v="6.8"/>
    <n v="1646647"/>
    <n v="1492602.8531098671"/>
    <n v="219728.38727337139"/>
  </r>
  <r>
    <s v=" 31-01-2022"/>
    <x v="26"/>
    <n v="5.82"/>
    <n v="1492273"/>
    <n v="1600433.75593296"/>
    <n v="198219.1938048765"/>
  </r>
  <r>
    <s v=" 28-02-2022"/>
    <x v="26"/>
    <n v="6.54"/>
    <n v="1656607"/>
    <n v="1524721.2267798879"/>
    <n v="110274.71057815276"/>
  </r>
  <r>
    <s v=" 31-03-2022"/>
    <x v="26"/>
    <n v="5.0599999999999996"/>
    <n v="1243766"/>
    <n v="1617041.2680339662"/>
    <n v="132692.88538195385"/>
  </r>
  <r>
    <s v=" 30-04-2022"/>
    <x v="26"/>
    <n v="5.26"/>
    <n v="1291249"/>
    <n v="1355748.5804101899"/>
    <n v="236943.75705898751"/>
  </r>
  <r>
    <m/>
    <x v="27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2">
  <r>
    <s v=" 31-01-2016"/>
    <x v="0"/>
    <s v=" Monthly"/>
    <n v="17.11"/>
    <n v="15403662"/>
    <n v="2635567"/>
    <n v="0"/>
    <n v="0"/>
    <x v="0"/>
    <n v="67.400000000000006"/>
  </r>
  <r>
    <s v=" 29-02-2016"/>
    <x v="0"/>
    <s v=" Monthly"/>
    <n v="10.08"/>
    <n v="13879174"/>
    <n v="1399021"/>
    <n v="2635567"/>
    <n v="0"/>
    <x v="1"/>
    <n v="55.92"/>
  </r>
  <r>
    <s v=" 31-03-2016"/>
    <x v="0"/>
    <s v=" Monthly"/>
    <n v="8.74"/>
    <n v="14314579"/>
    <n v="1251094"/>
    <n v="1769984.7999999998"/>
    <n v="0"/>
    <x v="1"/>
    <n v="56.76"/>
  </r>
  <r>
    <s v=" 30-04-2016"/>
    <x v="0"/>
    <s v=" Monthly"/>
    <n v="3.97"/>
    <n v="14045983"/>
    <n v="557626"/>
    <n v="1406761.2399999998"/>
    <n v="0"/>
    <x v="1"/>
    <n v="52.87"/>
  </r>
  <r>
    <s v=" 31-05-2016"/>
    <x v="0"/>
    <s v=" Monthly"/>
    <n v="5.94"/>
    <n v="15873974"/>
    <n v="942914"/>
    <n v="812366.57199999993"/>
    <n v="916392.26103426854"/>
    <x v="2"/>
    <n v="60.94"/>
  </r>
  <r>
    <s v=" 30-06-2016"/>
    <x v="0"/>
    <s v=" Monthly"/>
    <n v="3.54"/>
    <n v="13006747"/>
    <n v="460439"/>
    <n v="903749.77159999986"/>
    <n v="579459.79126881959"/>
    <x v="3"/>
    <n v="48.64"/>
  </r>
  <r>
    <s v=" 31-07-2016"/>
    <x v="0"/>
    <s v=" Monthly"/>
    <n v="4.9800000000000004"/>
    <n v="14165099"/>
    <n v="705422"/>
    <n v="593432.23147999996"/>
    <n v="558151.03301999415"/>
    <x v="4"/>
    <n v="53.71"/>
  </r>
  <r>
    <s v=" 31-08-2016"/>
    <x v="0"/>
    <s v=" Monthly"/>
    <n v="3.01"/>
    <n v="13558769"/>
    <n v="408119"/>
    <n v="671825.06944399991"/>
    <n v="274535.23114964418"/>
    <x v="5"/>
    <n v="50.31"/>
  </r>
  <r>
    <s v=" 30-09-2016"/>
    <x v="0"/>
    <s v=" Monthly"/>
    <n v="8.4700000000000006"/>
    <n v="14568750"/>
    <n v="1233973"/>
    <n v="487230.82083319995"/>
    <n v="304744.17660903389"/>
    <x v="6"/>
    <n v="57.22"/>
  </r>
  <r>
    <s v=" 31-10-2016"/>
    <x v="0"/>
    <s v=" Monthly"/>
    <n v="11.11"/>
    <n v="13709005"/>
    <n v="1523070"/>
    <n v="1009950.3462499599"/>
    <n v="461774.28882573801"/>
    <x v="7"/>
    <n v="55.38"/>
  </r>
  <r>
    <s v=" 30-11-2016"/>
    <x v="0"/>
    <s v=" Monthly"/>
    <n v="4.87"/>
    <n v="13757647"/>
    <n v="669997"/>
    <n v="1369134.1038749879"/>
    <n v="544810.83942745544"/>
    <x v="8"/>
    <n v="51.88"/>
  </r>
  <r>
    <s v=" 31-12-2016"/>
    <x v="0"/>
    <s v=" Monthly"/>
    <n v="4.07"/>
    <n v="13162991"/>
    <n v="535734"/>
    <n v="879738.13116249628"/>
    <n v="660734.02395266632"/>
    <x v="9"/>
    <n v="49.17"/>
  </r>
  <r>
    <s v=" 31-01-2017"/>
    <x v="0"/>
    <s v=" Monthly"/>
    <n v="5.86"/>
    <n v="14405379"/>
    <n v="844155"/>
    <n v="638935.23934874893"/>
    <n v="538647.47635045147"/>
    <x v="10"/>
    <n v="54.77"/>
  </r>
  <r>
    <s v=" 28-02-2017"/>
    <x v="0"/>
    <s v=" Monthly"/>
    <n v="4.83"/>
    <n v="12994162"/>
    <n v="627618"/>
    <n v="782589.07180462463"/>
    <n v="465204.8589719467"/>
    <x v="11"/>
    <n v="48.82"/>
  </r>
  <r>
    <s v=" 31-03-2017"/>
    <x v="0"/>
    <s v=" Monthly"/>
    <n v="2.78"/>
    <n v="13379892"/>
    <n v="371961"/>
    <n v="674109.32154138735"/>
    <n v="247971.78973618138"/>
    <x v="12"/>
    <n v="49.15"/>
  </r>
  <r>
    <s v=" 30-04-2017"/>
    <x v="0"/>
    <s v=" Monthly"/>
    <n v="2.75"/>
    <n v="13143105"/>
    <n v="361435"/>
    <n v="462605.49646241619"/>
    <n v="229074.07205844176"/>
    <x v="13"/>
    <n v="48.22"/>
  </r>
  <r>
    <s v=" 31-05-2017"/>
    <x v="0"/>
    <s v=" Monthly"/>
    <n v="1.7"/>
    <n v="13107658"/>
    <n v="222830"/>
    <n v="391786.14893872483"/>
    <n v="204568.7420412378"/>
    <x v="14"/>
    <n v="47.52"/>
  </r>
  <r>
    <s v=" 30-06-2017"/>
    <x v="0"/>
    <s v=" Monthly"/>
    <n v="3.76"/>
    <n v="12607286"/>
    <n v="474034"/>
    <n v="273516.84468161745"/>
    <n v="208226.84571474281"/>
    <x v="15"/>
    <n v="46.64"/>
  </r>
  <r>
    <s v=" 31-07-2017"/>
    <x v="0"/>
    <s v=" Monthly"/>
    <n v="2.5099999999999998"/>
    <n v="12972951"/>
    <n v="325621"/>
    <n v="413878.85340448521"/>
    <n v="162263.96107950434"/>
    <x v="16"/>
    <n v="47.32"/>
  </r>
  <r>
    <s v=" 31-08-2017"/>
    <x v="0"/>
    <s v=" Monthly"/>
    <n v="2.4900000000000002"/>
    <n v="12749708"/>
    <n v="317468"/>
    <n v="352098.35602134553"/>
    <n v="159731.81537475923"/>
    <x v="17"/>
    <n v="46.45"/>
  </r>
  <r>
    <s v=" 30-09-2017"/>
    <x v="0"/>
    <s v=" Monthly"/>
    <n v="5.91"/>
    <n v="13683892"/>
    <n v="808718"/>
    <n v="327857.10680640361"/>
    <n v="128057.07037971924"/>
    <x v="18"/>
    <n v="51.61"/>
  </r>
  <r>
    <s v=" 31-10-2017"/>
    <x v="0"/>
    <s v=" Monthly"/>
    <n v="2.96"/>
    <n v="12131064"/>
    <n v="359079"/>
    <n v="664459.732041921"/>
    <n v="282969.90938300377"/>
    <x v="19"/>
    <n v="44.31"/>
  </r>
  <r>
    <s v=" 30-11-2017"/>
    <x v="0"/>
    <s v=" Monthly"/>
    <n v="3.19"/>
    <n v="13011182"/>
    <n v="415057"/>
    <n v="450693.2196125763"/>
    <n v="329486.39408609271"/>
    <x v="20"/>
    <n v="47.59"/>
  </r>
  <r>
    <s v=" 31-12-2017"/>
    <x v="0"/>
    <s v=" Monthly"/>
    <n v="3.45"/>
    <n v="13545548"/>
    <n v="467321"/>
    <n v="425747.86588377284"/>
    <n v="329522.14404785133"/>
    <x v="21"/>
    <n v="49.62"/>
  </r>
  <r>
    <s v=" 31-01-2018"/>
    <x v="0"/>
    <s v=" Monthly"/>
    <n v="4.79"/>
    <n v="13061886"/>
    <n v="625664"/>
    <n v="454849.05976513179"/>
    <n v="179123.47429541548"/>
    <x v="22"/>
    <n v="48.46"/>
  </r>
  <r>
    <s v=" 28-02-2018"/>
    <x v="0"/>
    <s v=" Monthly"/>
    <n v="4.38"/>
    <n v="12414387"/>
    <n v="543750"/>
    <n v="574419.51792953955"/>
    <n v="103563.20040755013"/>
    <x v="23"/>
    <n v="45.82"/>
  </r>
  <r>
    <s v=" 31-03-2018"/>
    <x v="0"/>
    <s v=" Monthly"/>
    <n v="4.17"/>
    <n v="12583382"/>
    <n v="524727"/>
    <n v="552950.85537886189"/>
    <n v="103031.85367920247"/>
    <x v="24"/>
    <n v="46.29"/>
  </r>
  <r>
    <s v=" 30-04-2018"/>
    <x v="0"/>
    <s v=" Monthly"/>
    <n v="2.8"/>
    <n v="12141674"/>
    <n v="339967"/>
    <n v="533194.15661365853"/>
    <n v="101513.46240756914"/>
    <x v="25"/>
    <n v="43.99"/>
  </r>
  <r>
    <s v=" 31-05-2018"/>
    <x v="0"/>
    <s v=" Monthly"/>
    <n v="3.64"/>
    <n v="12309016"/>
    <n v="448048"/>
    <n v="397935.14698409755"/>
    <n v="114125.57323036261"/>
    <x v="26"/>
    <n v="44.93"/>
  </r>
  <r>
    <s v=" 30-06-2018"/>
    <x v="0"/>
    <s v=" Monthly"/>
    <n v="4.78"/>
    <n v="11577611"/>
    <n v="553410"/>
    <n v="433014.14409522922"/>
    <n v="116396.76127057784"/>
    <x v="27"/>
    <n v="42.72"/>
  </r>
  <r>
    <s v=" 31-07-2018"/>
    <x v="0"/>
    <s v=" Monthly"/>
    <n v="5.26"/>
    <n v="12636224"/>
    <n v="664665"/>
    <n v="517291.24322856875"/>
    <n v="134589.7398385616"/>
    <x v="28"/>
    <n v="46.82"/>
  </r>
  <r>
    <s v=" 31-08-2018"/>
    <x v="0"/>
    <s v=" Monthly"/>
    <n v="4.03"/>
    <n v="12338427"/>
    <n v="497239"/>
    <n v="620452.87296857056"/>
    <n v="113615.55694733703"/>
    <x v="29"/>
    <n v="45.07"/>
  </r>
  <r>
    <s v=" 30-09-2018"/>
    <x v="0"/>
    <s v=" Monthly"/>
    <n v="4.0599999999999996"/>
    <n v="12442778"/>
    <n v="505177"/>
    <n v="534203.16189057112"/>
    <n v="130889.06854773671"/>
    <x v="30"/>
    <n v="45.42"/>
  </r>
  <r>
    <s v=" 31-10-2018"/>
    <x v="0"/>
    <s v=" Monthly"/>
    <n v="5.74"/>
    <n v="10894155"/>
    <n v="625324"/>
    <n v="513884.84856717126"/>
    <n v="112165.35524385067"/>
    <x v="31"/>
    <n v="40.43"/>
  </r>
  <r>
    <s v=" 30-11-2018"/>
    <x v="0"/>
    <s v=" Monthly"/>
    <n v="4.67"/>
    <n v="12084598"/>
    <n v="564351"/>
    <n v="591892.25457015133"/>
    <n v="97370.188863740739"/>
    <x v="32"/>
    <n v="44.3"/>
  </r>
  <r>
    <s v=" 31-12-2018"/>
    <x v="0"/>
    <s v=" Monthly"/>
    <n v="3.9"/>
    <n v="12222642"/>
    <n v="476683"/>
    <n v="572613.37637104536"/>
    <n v="68361.107971966194"/>
    <x v="33"/>
    <n v="44.39"/>
  </r>
  <r>
    <s v=" 31-01-2019"/>
    <x v="0"/>
    <s v=" Monthly"/>
    <n v="4.67"/>
    <n v="12748903"/>
    <n v="595374"/>
    <n v="505462.11291131354"/>
    <n v="86370.987192955858"/>
    <x v="34"/>
    <n v="46.63"/>
  </r>
  <r>
    <s v=" 28-02-2019"/>
    <x v="0"/>
    <s v=" Monthly"/>
    <n v="5.75"/>
    <n v="10842104"/>
    <n v="623421"/>
    <n v="568400.43387339404"/>
    <n v="77557.087047406589"/>
    <x v="35"/>
    <n v="40.07"/>
  </r>
  <r>
    <s v=" 31-03-2019"/>
    <x v="0"/>
    <s v=" Monthly"/>
    <n v="4.96"/>
    <n v="11581513"/>
    <n v="574443"/>
    <n v="606914.83016201819"/>
    <n v="82288.207432639552"/>
    <x v="36"/>
    <n v="42.4"/>
  </r>
  <r>
    <s v=" 30-04-2019"/>
    <x v="0"/>
    <s v=" Monthly"/>
    <n v="3.56"/>
    <n v="12784615"/>
    <n v="455132"/>
    <n v="584184.54904860537"/>
    <n v="63681.05393498623"/>
    <x v="37"/>
    <n v="46.07"/>
  </r>
  <r>
    <s v=" 31-05-2019"/>
    <x v="0"/>
    <s v=" Monthly"/>
    <n v="3.65"/>
    <n v="11999141"/>
    <n v="437969"/>
    <n v="493847.76471458154"/>
    <n v="83138.925634357875"/>
    <x v="38"/>
    <n v="43.24"/>
  </r>
  <r>
    <s v=" 30-06-2019"/>
    <x v="0"/>
    <s v=" Monthly"/>
    <n v="3.05"/>
    <n v="11755881"/>
    <n v="358554"/>
    <n v="454732.62941437447"/>
    <n v="83329.499610564511"/>
    <x v="39"/>
    <n v="42.05"/>
  </r>
  <r>
    <s v=" 31-07-2019"/>
    <x v="0"/>
    <s v=" Monthly"/>
    <n v="3.75"/>
    <n v="12086709"/>
    <n v="453252"/>
    <n v="387407.58882431232"/>
    <n v="98365.518209715883"/>
    <x v="40"/>
    <n v="43.5"/>
  </r>
  <r>
    <s v=" 31-08-2019"/>
    <x v="0"/>
    <s v=" Monthly"/>
    <n v="3.32"/>
    <n v="12285689"/>
    <n v="407885"/>
    <n v="433498.67664729367"/>
    <n v="74628.528024092244"/>
    <x v="41"/>
    <n v="43.97"/>
  </r>
  <r>
    <s v=" 30-09-2019"/>
    <x v="0"/>
    <s v=" Monthly"/>
    <n v="5.17"/>
    <n v="12256763"/>
    <n v="633675"/>
    <n v="415569.10299418808"/>
    <n v="68900.594265682783"/>
    <x v="42"/>
    <n v="44.68"/>
  </r>
  <r>
    <s v=" 31-10-2019"/>
    <x v="0"/>
    <s v=" Monthly"/>
    <n v="3.52"/>
    <n v="12017405"/>
    <n v="423013"/>
    <n v="568243.23089825641"/>
    <n v="132365.31421684835"/>
    <x v="43"/>
    <n v="43.01"/>
  </r>
  <r>
    <s v=" 30-11-2019"/>
    <x v="0"/>
    <s v=" Monthly"/>
    <n v="4.12"/>
    <n v="11397681"/>
    <n v="469584"/>
    <n v="466582.06926947692"/>
    <n v="152006.64755953144"/>
    <x v="44"/>
    <n v="41"/>
  </r>
  <r>
    <s v=" 31-12-2019"/>
    <x v="0"/>
    <s v=" Monthly"/>
    <n v="4.38"/>
    <n v="12528397"/>
    <n v="548744"/>
    <n v="468683.42078084307"/>
    <n v="151295.53183926875"/>
    <x v="45"/>
    <n v="45.14"/>
  </r>
  <r>
    <s v=" 31-01-2020"/>
    <x v="0"/>
    <s v=" Monthly"/>
    <n v="4.84"/>
    <n v="12016676"/>
    <n v="581607"/>
    <n v="524725.82623425289"/>
    <n v="95761.035743108368"/>
    <x v="46"/>
    <n v="43.46"/>
  </r>
  <r>
    <s v=" 29-02-2020"/>
    <x v="0"/>
    <s v=" Monthly"/>
    <n v="5.91"/>
    <n v="11723617"/>
    <n v="692866"/>
    <n v="564542.64787027589"/>
    <n v="56727.935099581169"/>
    <x v="47"/>
    <n v="42.83"/>
  </r>
  <r>
    <s v=" 31-03-2020"/>
    <x v="0"/>
    <s v=" Monthly"/>
    <n v="4.0599999999999996"/>
    <n v="11359660"/>
    <n v="461202"/>
    <n v="654368.99436108267"/>
    <n v="93295.314236898994"/>
    <x v="48"/>
    <n v="40.659999999999997"/>
  </r>
  <r>
    <s v=" 30-04-2020"/>
    <x v="0"/>
    <s v=" Monthly"/>
    <n v="16.29"/>
    <n v="8792827"/>
    <n v="1432352"/>
    <n v="519152.09830832476"/>
    <n v="137859.63675815682"/>
    <x v="49"/>
    <n v="36.03"/>
  </r>
  <r>
    <s v=" 31-05-2020"/>
    <x v="0"/>
    <s v=" Monthly"/>
    <n v="14.46"/>
    <n v="9526902"/>
    <n v="1377590"/>
    <n v="1158392.0294924974"/>
    <n v="543971.33222930937"/>
    <x v="50"/>
    <n v="38.159999999999997"/>
  </r>
  <r>
    <s v=" 30-06-2020"/>
    <x v="0"/>
    <s v=" Monthly"/>
    <n v="2.44"/>
    <n v="14855579"/>
    <n v="362476"/>
    <n v="1311830.6088477492"/>
    <n v="553562.79331700865"/>
    <x v="51"/>
    <n v="52.12"/>
  </r>
  <r>
    <s v=" 31-07-2020"/>
    <x v="0"/>
    <s v=" Monthly"/>
    <n v="7.79"/>
    <n v="11272862"/>
    <n v="878156"/>
    <n v="647282.38265432476"/>
    <n v="770985.513064233"/>
    <x v="52"/>
    <n v="41.8"/>
  </r>
  <r>
    <s v=" 31-08-2020"/>
    <x v="0"/>
    <s v=" Monthly"/>
    <n v="5.84"/>
    <n v="10762372"/>
    <n v="628523"/>
    <n v="808893.91479629744"/>
    <n v="578107.41527889902"/>
    <x v="53"/>
    <n v="39.04"/>
  </r>
  <r>
    <s v=" 30-09-2020"/>
    <x v="0"/>
    <s v=" Monthly"/>
    <n v="5.43"/>
    <n v="10817388"/>
    <n v="587384"/>
    <n v="682634.27443888923"/>
    <n v="573617.31361340941"/>
    <x v="54"/>
    <n v="39.020000000000003"/>
  </r>
  <r>
    <s v=" 31-10-2020"/>
    <x v="0"/>
    <s v=" Monthly"/>
    <n v="6.55"/>
    <n v="10490186"/>
    <n v="687107"/>
    <n v="615959.08233166672"/>
    <n v="177865.96908104164"/>
    <x v="55"/>
    <n v="38.25"/>
  </r>
  <r>
    <s v=" 30-11-2020"/>
    <x v="0"/>
    <s v=" Monthly"/>
    <n v="4.74"/>
    <n v="11133820"/>
    <n v="527743"/>
    <n v="665762.62469949992"/>
    <n v="124724.10602830131"/>
    <x v="56"/>
    <n v="39.79"/>
  </r>
  <r>
    <s v=" 31-12-2020"/>
    <x v="0"/>
    <s v=" Monthly"/>
    <n v="6.51"/>
    <n v="11238274"/>
    <n v="731612"/>
    <n v="569148.88740984991"/>
    <n v="105172.96511210229"/>
    <x v="57"/>
    <n v="40.869999999999997"/>
  </r>
  <r>
    <s v=" 31-01-2021"/>
    <x v="0"/>
    <s v=" Monthly"/>
    <n v="2.95"/>
    <n v="11776946"/>
    <n v="347420"/>
    <n v="682873.06622295489"/>
    <n v="129750.6659497496"/>
    <x v="58"/>
    <n v="41.22"/>
  </r>
  <r>
    <s v=" 28-02-2021"/>
    <x v="0"/>
    <s v=" Monthly"/>
    <n v="3.14"/>
    <n v="11736108"/>
    <n v="368514"/>
    <n v="448055.91986688646"/>
    <n v="229472.17652186996"/>
    <x v="59"/>
    <n v="41.11"/>
  </r>
  <r>
    <s v=" 31-03-2021"/>
    <x v="0"/>
    <s v=" Monthly"/>
    <n v="5.39"/>
    <n v="11130399"/>
    <n v="599929"/>
    <n v="392376.57596006594"/>
    <n v="220037.82978310203"/>
    <x v="60"/>
    <n v="39.869999999999997"/>
  </r>
  <r>
    <s v=" 30-04-2021"/>
    <x v="0"/>
    <s v=" Monthly"/>
    <n v="3.56"/>
    <n v="11244637"/>
    <n v="400309"/>
    <n v="537663.27278801973"/>
    <n v="232331.43378899101"/>
    <x v="61"/>
    <n v="39.47"/>
  </r>
  <r>
    <s v=" 31-05-2021"/>
    <x v="0"/>
    <s v=" Monthly"/>
    <n v="13.55"/>
    <n v="10637083"/>
    <n v="1441325"/>
    <n v="441515.28183640586"/>
    <n v="150854.36906068109"/>
    <x v="62"/>
    <n v="41.61"/>
  </r>
  <r>
    <s v=" 30-06-2021"/>
    <x v="0"/>
    <s v=" Monthly"/>
    <n v="7.47"/>
    <n v="10810677"/>
    <n v="807558"/>
    <n v="1141382.0845509216"/>
    <n v="594856.75516949571"/>
    <x v="63"/>
    <n v="39.47"/>
  </r>
  <r>
    <s v=" 31-07-2021"/>
    <x v="0"/>
    <s v=" Monthly"/>
    <n v="8.93"/>
    <n v="10873035"/>
    <n v="970962"/>
    <n v="907705.22536527645"/>
    <n v="613711.16665028245"/>
    <x v="64"/>
    <n v="40.29"/>
  </r>
  <r>
    <s v=" 31-08-2021"/>
    <x v="0"/>
    <s v=" Monthly"/>
    <n v="5.77"/>
    <n v="11524239"/>
    <n v="664949"/>
    <n v="951984.96760958282"/>
    <n v="609660.94716594042"/>
    <x v="65"/>
    <n v="41.22"/>
  </r>
  <r>
    <s v=" 30-09-2021"/>
    <x v="0"/>
    <s v=" Monthly"/>
    <n v="5.44"/>
    <n v="12234535"/>
    <n v="665559"/>
    <n v="751059.79028287483"/>
    <n v="256794.07162485825"/>
    <x v="66"/>
    <n v="43.56"/>
  </r>
  <r>
    <s v=" 31-10-2021"/>
    <x v="0"/>
    <s v=" Monthly"/>
    <n v="5.16"/>
    <n v="10862508"/>
    <n v="560505"/>
    <n v="691209.23708486243"/>
    <n v="176730.91728930152"/>
    <x v="67"/>
    <n v="38.520000000000003"/>
  </r>
  <r>
    <s v=" 30-11-2021"/>
    <x v="0"/>
    <s v=" Monthly"/>
    <n v="5.93"/>
    <n v="11105398"/>
    <n v="658550"/>
    <n v="599716.27112545876"/>
    <n v="188665.16144791327"/>
    <x v="68"/>
    <n v="39.659999999999997"/>
  </r>
  <r>
    <s v=" 31-12-2021"/>
    <x v="0"/>
    <s v=" Monthly"/>
    <n v="4.8"/>
    <n v="11985468"/>
    <n v="575302"/>
    <n v="640899.88133763755"/>
    <n v="96359.380073097709"/>
    <x v="69"/>
    <n v="42.25"/>
  </r>
  <r>
    <s v=" 31-01-2022"/>
    <x v="0"/>
    <s v=" Monthly"/>
    <n v="5.22"/>
    <n v="11027072"/>
    <n v="575613"/>
    <n v="594981.36440129124"/>
    <n v="91009.3168878984"/>
    <x v="70"/>
    <n v="39"/>
  </r>
  <r>
    <s v=" 28-02-2022"/>
    <x v="0"/>
    <s v=" Monthly"/>
    <n v="7.73"/>
    <n v="10690914"/>
    <n v="826408"/>
    <n v="581423.50932038738"/>
    <n v="52088.460746602374"/>
    <x v="71"/>
    <n v="38.799999999999997"/>
  </r>
  <r>
    <s v=" 31-03-2022"/>
    <x v="0"/>
    <s v=" Monthly"/>
    <n v="9.51"/>
    <n v="10650675"/>
    <n v="1012879"/>
    <n v="752912.65279611619"/>
    <n v="146850.96328036938"/>
    <x v="72"/>
    <n v="39.369999999999997"/>
  </r>
  <r>
    <s v=" 30-04-2022"/>
    <x v="0"/>
    <s v=" Monthly"/>
    <n v="4.66"/>
    <n v="11323476"/>
    <n v="527674"/>
    <n v="934889.09583883476"/>
    <n v="206538.9679872063"/>
    <x v="73"/>
    <n v="39.69"/>
  </r>
  <r>
    <s v=" 31-01-2016"/>
    <x v="1"/>
    <s v=" Monthly"/>
    <n v="5.83"/>
    <n v="9830026"/>
    <n v="573091"/>
    <n v="649838.52875165036"/>
    <n v="312742.72527170042"/>
    <x v="74"/>
    <n v="52.82"/>
  </r>
  <r>
    <s v=" 29-02-2016"/>
    <x v="1"/>
    <s v=" Monthly"/>
    <n v="13.24"/>
    <n v="9574798"/>
    <n v="1267703"/>
    <n v="596115.25862549501"/>
    <n v="282428.05522058596"/>
    <x v="75"/>
    <n v="55.74"/>
  </r>
  <r>
    <s v=" 31-03-2016"/>
    <x v="1"/>
    <s v=" Monthly"/>
    <n v="4.1500000000000004"/>
    <n v="8635998"/>
    <n v="358394"/>
    <n v="1066226.6775876484"/>
    <n v="455611.09578712186"/>
    <x v="76"/>
    <n v="45.42"/>
  </r>
  <r>
    <s v=" 30-04-2016"/>
    <x v="1"/>
    <s v=" Monthly"/>
    <n v="0"/>
    <n v="8571034"/>
    <n v="0"/>
    <n v="570743.80327629449"/>
    <n v="565080.34148396226"/>
    <x v="77"/>
    <n v="43.12"/>
  </r>
  <r>
    <s v=" 31-05-2016"/>
    <x v="1"/>
    <s v=" Monthly"/>
    <n v="3.61"/>
    <n v="9210479"/>
    <n v="332498"/>
    <n v="171223.14098288835"/>
    <n v="652637.13317680045"/>
    <x v="78"/>
    <n v="47.98"/>
  </r>
  <r>
    <s v=" 30-06-2016"/>
    <x v="1"/>
    <s v=" Monthly"/>
    <n v="10.96"/>
    <n v="8590588"/>
    <n v="941528"/>
    <n v="284115.54229486646"/>
    <n v="533162.00433207245"/>
    <x v="79"/>
    <n v="48.34"/>
  </r>
  <r>
    <s v=" 31-07-2016"/>
    <x v="1"/>
    <s v=" Monthly"/>
    <n v="13.99"/>
    <n v="7982526"/>
    <n v="1116755"/>
    <n v="744304.26268845994"/>
    <n v="511191.16081142053"/>
    <x v="80"/>
    <n v="46.41"/>
  </r>
  <r>
    <s v=" 31-08-2016"/>
    <x v="1"/>
    <s v=" Monthly"/>
    <n v="7.55"/>
    <n v="8925705"/>
    <n v="673891"/>
    <n v="1005019.778806538"/>
    <n v="446064.37181973452"/>
    <x v="81"/>
    <n v="48.18"/>
  </r>
  <r>
    <s v=" 30-09-2016"/>
    <x v="1"/>
    <s v=" Monthly"/>
    <n v="8.0500000000000007"/>
    <n v="8776602"/>
    <n v="706516"/>
    <n v="773229.63364196126"/>
    <n v="476290.16345911205"/>
    <x v="82"/>
    <n v="47.54"/>
  </r>
  <r>
    <s v=" 31-10-2016"/>
    <x v="1"/>
    <s v=" Monthly"/>
    <n v="7.02"/>
    <n v="8138953"/>
    <n v="571355"/>
    <n v="726530.09009258833"/>
    <n v="290296.70384598628"/>
    <x v="83"/>
    <n v="43.51"/>
  </r>
  <r>
    <s v=" 30-11-2016"/>
    <x v="1"/>
    <s v=" Monthly"/>
    <n v="11.71"/>
    <n v="7942971"/>
    <n v="930122"/>
    <n v="617907.52702777646"/>
    <n v="214613.05152364017"/>
    <x v="84"/>
    <n v="44.63"/>
  </r>
  <r>
    <s v=" 31-12-2016"/>
    <x v="1"/>
    <s v=" Monthly"/>
    <n v="3.57"/>
    <n v="9483848"/>
    <n v="338573"/>
    <n v="836457.65810833289"/>
    <n v="204945.43552880935"/>
    <x v="85"/>
    <n v="48.7"/>
  </r>
  <r>
    <s v=" 31-01-2017"/>
    <x v="1"/>
    <s v=" Monthly"/>
    <n v="8.33"/>
    <n v="9275697"/>
    <n v="772666"/>
    <n v="487938.3974324998"/>
    <n v="350925.59443953249"/>
    <x v="86"/>
    <n v="50"/>
  </r>
  <r>
    <s v=" 28-02-2017"/>
    <x v="1"/>
    <s v=" Monthly"/>
    <n v="6.12"/>
    <n v="8109924"/>
    <n v="496327"/>
    <n v="687247.71922974987"/>
    <n v="377022.02304233779"/>
    <x v="87"/>
    <n v="42.61"/>
  </r>
  <r>
    <s v=" 31-03-2017"/>
    <x v="1"/>
    <s v=" Monthly"/>
    <n v="7.49"/>
    <n v="8307468"/>
    <n v="622229"/>
    <n v="553603.21576892491"/>
    <n v="349003.18120550743"/>
    <x v="88"/>
    <n v="44.2"/>
  </r>
  <r>
    <s v=" 30-04-2017"/>
    <x v="1"/>
    <s v=" Monthly"/>
    <n v="2.04"/>
    <n v="8882399"/>
    <n v="181201"/>
    <n v="601641.26473067747"/>
    <n v="201849.80138407485"/>
    <x v="89"/>
    <n v="44.55"/>
  </r>
  <r>
    <s v=" 31-05-2017"/>
    <x v="1"/>
    <s v=" Monthly"/>
    <n v="13.59"/>
    <n v="9504191"/>
    <n v="1291620"/>
    <n v="307333.07941920322"/>
    <n v="269524.4178791829"/>
    <x v="90"/>
    <n v="53.93"/>
  </r>
  <r>
    <s v=" 30-06-2017"/>
    <x v="1"/>
    <s v=" Monthly"/>
    <n v="11.11"/>
    <n v="8530022"/>
    <n v="947685"/>
    <n v="996333.92382576095"/>
    <n v="619220.00842311291"/>
    <x v="91"/>
    <n v="46.96"/>
  </r>
  <r>
    <s v=" 31-07-2017"/>
    <x v="1"/>
    <s v=" Monthly"/>
    <n v="8.06"/>
    <n v="8601718"/>
    <n v="693298"/>
    <n v="962279.67714772827"/>
    <n v="618589.11403899186"/>
    <x v="92"/>
    <n v="45.69"/>
  </r>
  <r>
    <s v=" 31-08-2017"/>
    <x v="1"/>
    <s v=" Monthly"/>
    <n v="4.08"/>
    <n v="9013099"/>
    <n v="367734"/>
    <n v="773992.50314431847"/>
    <n v="589784.87672965333"/>
    <x v="93"/>
    <n v="45.79"/>
  </r>
  <r>
    <s v=" 30-09-2017"/>
    <x v="1"/>
    <s v=" Monthly"/>
    <n v="9"/>
    <n v="9951581"/>
    <n v="895642"/>
    <n v="489611.55094329553"/>
    <n v="282703.51478045667"/>
    <x v="94"/>
    <n v="53.19"/>
  </r>
  <r>
    <s v=" 31-10-2017"/>
    <x v="1"/>
    <s v=" Monthly"/>
    <n v="8.4"/>
    <n v="8797514"/>
    <n v="738991"/>
    <n v="773832.86528298852"/>
    <n v="366177.47954575979"/>
    <x v="95"/>
    <n v="46.62"/>
  </r>
  <r>
    <s v=" 30-11-2017"/>
    <x v="1"/>
    <s v=" Monthly"/>
    <n v="9.34"/>
    <n v="8777803"/>
    <n v="819847"/>
    <n v="749443.55958489655"/>
    <n v="332225.15082127124"/>
    <x v="96"/>
    <n v="46.91"/>
  </r>
  <r>
    <s v=" 31-01-2018"/>
    <x v="1"/>
    <s v=" Monthly"/>
    <n v="7.96"/>
    <n v="9412069"/>
    <n v="749201"/>
    <n v="798725.96787546889"/>
    <n v="238768.59478015531"/>
    <x v="97"/>
    <n v="49.34"/>
  </r>
  <r>
    <s v=" 28-02-2018"/>
    <x v="1"/>
    <s v=" Monthly"/>
    <n v="8.4600000000000009"/>
    <n v="8375373"/>
    <n v="708557"/>
    <n v="764058.49036264059"/>
    <n v="53613.811783119127"/>
    <x v="98"/>
    <n v="44.07"/>
  </r>
  <r>
    <s v=" 31-03-2018"/>
    <x v="1"/>
    <s v=" Monthly"/>
    <n v="5.45"/>
    <n v="8896631"/>
    <n v="484866"/>
    <n v="725207.44710879214"/>
    <n v="59132.005709890407"/>
    <x v="99"/>
    <n v="45.23"/>
  </r>
  <r>
    <s v=" 30-04-2018"/>
    <x v="1"/>
    <s v=" Monthly"/>
    <n v="1.67"/>
    <n v="9424228"/>
    <n v="157385"/>
    <n v="556968.43413263757"/>
    <n v="145255.11932904905"/>
    <x v="100"/>
    <n v="45.98"/>
  </r>
  <r>
    <s v=" 31-05-2018"/>
    <x v="1"/>
    <s v=" Monthly"/>
    <n v="6.58"/>
    <n v="10370592"/>
    <n v="682385"/>
    <n v="277260.03023979126"/>
    <n v="271115.81010339136"/>
    <x v="101"/>
    <n v="53.15"/>
  </r>
  <r>
    <s v=" 30-06-2018"/>
    <x v="1"/>
    <s v=" Monthly"/>
    <n v="7.09"/>
    <n v="8574707"/>
    <n v="607947"/>
    <n v="560847.5090719373"/>
    <n v="356631.07602244942"/>
    <x v="102"/>
    <n v="44.1"/>
  </r>
  <r>
    <s v=" 31-07-2018"/>
    <x v="1"/>
    <s v=" Monthly"/>
    <n v="7.31"/>
    <n v="8959786"/>
    <n v="654960"/>
    <n v="593817.15272158117"/>
    <n v="329652.10146563331"/>
    <x v="103"/>
    <n v="46.09"/>
  </r>
  <r>
    <s v=" 31-08-2018"/>
    <x v="1"/>
    <s v=" Monthly"/>
    <n v="1.75"/>
    <n v="9489645"/>
    <n v="166069"/>
    <n v="636617.14581647434"/>
    <n v="238105.75447491446"/>
    <x v="104"/>
    <n v="45.97"/>
  </r>
  <r>
    <s v=" 30-09-2018"/>
    <x v="1"/>
    <s v=" Monthly"/>
    <n v="11.84"/>
    <n v="9830039"/>
    <n v="1163877"/>
    <n v="307233.44374494231"/>
    <n v="275301.26973330911"/>
    <x v="105"/>
    <n v="52.96"/>
  </r>
  <r>
    <s v=" 31-10-2018"/>
    <x v="1"/>
    <s v=" Monthly"/>
    <n v="4.63"/>
    <n v="8488020"/>
    <n v="392995"/>
    <n v="906883.93312348262"/>
    <n v="565388.4174553355"/>
    <x v="106"/>
    <n v="42.19"/>
  </r>
  <r>
    <s v=" 30-11-2018"/>
    <x v="1"/>
    <s v=" Monthly"/>
    <n v="8.43"/>
    <n v="9358053"/>
    <n v="788884"/>
    <n v="547161.67993704486"/>
    <n v="637530.54190666694"/>
    <x v="107"/>
    <n v="48.35"/>
  </r>
  <r>
    <s v=" 31-12-2018"/>
    <x v="1"/>
    <s v=" Monthly"/>
    <n v="5.22"/>
    <n v="9539947"/>
    <n v="497985"/>
    <n v="716367.30398111336"/>
    <n v="593394.10683421325"/>
    <x v="108"/>
    <n v="47.52"/>
  </r>
  <r>
    <s v=" 31-01-2019"/>
    <x v="1"/>
    <s v=" Monthly"/>
    <n v="4.8099999999999996"/>
    <n v="10830421"/>
    <n v="520943"/>
    <n v="563499.69119433407"/>
    <n v="351284.47460498847"/>
    <x v="109"/>
    <n v="53.61"/>
  </r>
  <r>
    <s v=" 28-02-2019"/>
    <x v="1"/>
    <s v=" Monthly"/>
    <n v="4.3499999999999996"/>
    <n v="8694500"/>
    <n v="378211"/>
    <n v="533710.00735830015"/>
    <n v="189676.55159431018"/>
    <x v="110"/>
    <n v="42.75"/>
  </r>
  <r>
    <s v=" 31-03-2019"/>
    <x v="1"/>
    <s v=" Monthly"/>
    <n v="7.14"/>
    <n v="9356919"/>
    <n v="668084"/>
    <n v="424860.70220749005"/>
    <n v="156718.26520535292"/>
    <x v="111"/>
    <n v="47.3"/>
  </r>
  <r>
    <s v=" 30-04-2019"/>
    <x v="1"/>
    <s v=" Monthly"/>
    <n v="3.77"/>
    <n v="9720353"/>
    <n v="366457"/>
    <n v="595117.01066224696"/>
    <n v="168472.13997561592"/>
    <x v="112"/>
    <n v="47.32"/>
  </r>
  <r>
    <s v=" 31-05-2019"/>
    <x v="1"/>
    <s v=" Monthly"/>
    <n v="4.29"/>
    <n v="11749334"/>
    <n v="504046"/>
    <n v="435055.00319867407"/>
    <n v="212620.87883879102"/>
    <x v="113"/>
    <n v="57.39"/>
  </r>
  <r>
    <s v=" 30-06-2019"/>
    <x v="1"/>
    <s v=" Monthly"/>
    <n v="5.08"/>
    <n v="8923222"/>
    <n v="453300"/>
    <n v="483348.70095960214"/>
    <n v="196810.17140446394"/>
    <x v="114"/>
    <n v="43.87"/>
  </r>
  <r>
    <s v=" 31-07-2019"/>
    <x v="1"/>
    <s v=" Monthly"/>
    <n v="4.26"/>
    <n v="9911534"/>
    <n v="422231"/>
    <n v="462314.61028788064"/>
    <n v="138982.11221239835"/>
    <x v="115"/>
    <n v="48.21"/>
  </r>
  <r>
    <s v=" 31-08-2019"/>
    <x v="1"/>
    <s v=" Monthly"/>
    <n v="5.79"/>
    <n v="9292039"/>
    <n v="538009"/>
    <n v="434256.08308636415"/>
    <n v="49225.25734725636"/>
    <x v="116"/>
    <n v="45.83"/>
  </r>
  <r>
    <s v=" 30-09-2019"/>
    <x v="1"/>
    <s v=" Monthly"/>
    <n v="4.46"/>
    <n v="11468350"/>
    <n v="511488"/>
    <n v="506883.12492590921"/>
    <n v="66518.889575714027"/>
    <x v="117"/>
    <n v="55.67"/>
  </r>
  <r>
    <s v=" 31-10-2019"/>
    <x v="1"/>
    <s v=" Monthly"/>
    <n v="4.6500000000000004"/>
    <n v="8395908"/>
    <n v="390410"/>
    <n v="510106.53747777274"/>
    <n v="64271.736806174507"/>
    <x v="118"/>
    <n v="40.76"/>
  </r>
  <r>
    <s v=" 30-11-2019"/>
    <x v="1"/>
    <s v=" Monthly"/>
    <n v="4.66"/>
    <n v="9625364"/>
    <n v="448542"/>
    <n v="426318.96124333178"/>
    <n v="91493.412744130866"/>
    <x v="119"/>
    <n v="46.64"/>
  </r>
  <r>
    <s v=" 31-01-2020"/>
    <x v="1"/>
    <s v=" Monthly"/>
    <n v="4.29"/>
    <n v="11420996"/>
    <n v="489961"/>
    <n v="441875.08837299951"/>
    <n v="70338.063214251728"/>
    <x v="120"/>
    <n v="54.9"/>
  </r>
  <r>
    <s v=" 29-02-2020"/>
    <x v="1"/>
    <s v=" Monthly"/>
    <n v="3.26"/>
    <n v="8462814"/>
    <n v="275888"/>
    <n v="475535.22651189979"/>
    <n v="75571.995326196353"/>
    <x v="121"/>
    <n v="40.17"/>
  </r>
  <r>
    <s v=" 31-03-2020"/>
    <x v="1"/>
    <s v=" Monthly"/>
    <n v="3.77"/>
    <n v="9878742"/>
    <n v="372429"/>
    <n v="335782.16795356991"/>
    <n v="119254.81597888601"/>
    <x v="122"/>
    <n v="47.05"/>
  </r>
  <r>
    <s v=" 31-05-2020"/>
    <x v="1"/>
    <s v=" Monthly"/>
    <n v="9.3800000000000008"/>
    <n v="9926176"/>
    <n v="931075"/>
    <n v="361434.95038607094"/>
    <n v="120435.68165890148"/>
    <x v="123"/>
    <n v="50"/>
  </r>
  <r>
    <s v=" 30-06-2020"/>
    <x v="1"/>
    <s v=" Monthly"/>
    <n v="0"/>
    <n v="7544937"/>
    <n v="0"/>
    <n v="760182.98511582124"/>
    <n v="349137.88655157085"/>
    <x v="124"/>
    <n v="34.380000000000003"/>
  </r>
  <r>
    <s v=" 31-07-2020"/>
    <x v="1"/>
    <s v=" Monthly"/>
    <n v="3.37"/>
    <n v="8676252"/>
    <n v="292390"/>
    <n v="228054.89553474638"/>
    <n v="548850.60119088867"/>
    <x v="125"/>
    <n v="40.83"/>
  </r>
  <r>
    <s v=" 31-08-2020"/>
    <x v="1"/>
    <s v=" Monthly"/>
    <n v="5"/>
    <n v="8210150"/>
    <n v="410508"/>
    <n v="273089.46866042388"/>
    <n v="549698.99722494057"/>
    <x v="126"/>
    <n v="39.22"/>
  </r>
  <r>
    <s v=" 30-09-2020"/>
    <x v="1"/>
    <s v=" Monthly"/>
    <n v="0.9"/>
    <n v="12520100"/>
    <n v="112681"/>
    <n v="369282.44059812714"/>
    <n v="447549.26331510593"/>
    <x v="127"/>
    <n v="57.22"/>
  </r>
  <r>
    <s v=" 31-10-2020"/>
    <x v="1"/>
    <s v=" Monthly"/>
    <n v="2.94"/>
    <n v="10283710"/>
    <n v="302341"/>
    <n v="189661.43217943812"/>
    <n v="172111.55078331739"/>
    <x v="128"/>
    <n v="47.89"/>
  </r>
  <r>
    <s v=" 30-11-2020"/>
    <x v="1"/>
    <s v=" Monthly"/>
    <n v="4.22"/>
    <n v="9166357"/>
    <n v="386820"/>
    <n v="268537.12965383142"/>
    <n v="180208.06222881083"/>
    <x v="129"/>
    <n v="43.17"/>
  </r>
  <r>
    <s v=" 31-01-2021"/>
    <x v="1"/>
    <s v=" Monthly"/>
    <n v="1.61"/>
    <n v="11555536"/>
    <n v="186044"/>
    <n v="351335.13889614941"/>
    <n v="175624.43047460803"/>
    <x v="130"/>
    <n v="52.77"/>
  </r>
  <r>
    <s v=" 28-02-2021"/>
    <x v="1"/>
    <s v=" Monthly"/>
    <n v="1.52"/>
    <n v="9599029"/>
    <n v="145905"/>
    <n v="235631.34166884481"/>
    <n v="134174.86478366365"/>
    <x v="131"/>
    <n v="43.71"/>
  </r>
  <r>
    <s v=" 31-03-2021"/>
    <x v="1"/>
    <s v=" Monthly"/>
    <n v="1.1299999999999999"/>
    <n v="9490941"/>
    <n v="107248"/>
    <n v="172822.90250065344"/>
    <n v="128274.20421917645"/>
    <x v="132"/>
    <n v="42.96"/>
  </r>
  <r>
    <s v=" 31-07-2021"/>
    <x v="1"/>
    <s v=" Monthly"/>
    <n v="1.18"/>
    <n v="9555120"/>
    <n v="112750"/>
    <n v="126920.47075019602"/>
    <n v="114995.71705768094"/>
    <x v="133"/>
    <n v="42.93"/>
  </r>
  <r>
    <s v=" 30-09-2021"/>
    <x v="1"/>
    <s v=" Monthly"/>
    <n v="3.16"/>
    <n v="14547917"/>
    <n v="459714"/>
    <n v="117001.1412250588"/>
    <n v="64683.038653953794"/>
    <x v="134"/>
    <n v="66.430000000000007"/>
  </r>
  <r>
    <s v=" 31-10-2021"/>
    <x v="1"/>
    <s v=" Monthly"/>
    <n v="3.17"/>
    <n v="9532098"/>
    <n v="302168"/>
    <n v="356900.14236751763"/>
    <n v="201620.90967038873"/>
    <x v="135"/>
    <n v="43.45"/>
  </r>
  <r>
    <s v=" 30-11-2021"/>
    <x v="1"/>
    <s v=" Monthly"/>
    <n v="4.3499999999999996"/>
    <n v="8762417"/>
    <n v="381165"/>
    <n v="318587.64271025528"/>
    <n v="200539.69949373545"/>
    <x v="136"/>
    <n v="40.35"/>
  </r>
  <r>
    <s v=" 31-01-2022"/>
    <x v="1"/>
    <s v=" Monthly"/>
    <n v="8.26"/>
    <n v="13025475"/>
    <n v="1075904"/>
    <n v="362391.79281307658"/>
    <n v="203603.89372766536"/>
    <x v="137"/>
    <n v="62.29"/>
  </r>
  <r>
    <s v=" 28-02-2022"/>
    <x v="1"/>
    <s v=" Monthly"/>
    <n v="10.45"/>
    <n v="8617445"/>
    <n v="900523"/>
    <n v="861850.3378439229"/>
    <n v="414733.32912377227"/>
    <x v="138"/>
    <n v="42.14"/>
  </r>
  <r>
    <s v=" 31-03-2022"/>
    <x v="1"/>
    <s v=" Monthly"/>
    <n v="8.44"/>
    <n v="8358608"/>
    <n v="705467"/>
    <n v="888921.20135317685"/>
    <n v="414130.08030825353"/>
    <x v="139"/>
    <n v="39.9"/>
  </r>
  <r>
    <s v=" 31-01-2016"/>
    <x v="2"/>
    <s v=" Monthly"/>
    <n v="3.7"/>
    <n v="24739780"/>
    <n v="915372"/>
    <n v="760503.26040595304"/>
    <n v="425930.62369245267"/>
    <x v="140"/>
    <n v="41.51"/>
  </r>
  <r>
    <s v=" 29-02-2016"/>
    <x v="2"/>
    <s v=" Monthly"/>
    <n v="4.5199999999999996"/>
    <n v="26925344"/>
    <n v="1217026"/>
    <n v="868911.37812178582"/>
    <n v="140398.65300376966"/>
    <x v="141"/>
    <n v="45.47"/>
  </r>
  <r>
    <s v=" 31-03-2016"/>
    <x v="2"/>
    <s v=" Monthly"/>
    <n v="2.29"/>
    <n v="23838393"/>
    <n v="545899"/>
    <n v="1112591.6134365357"/>
    <n v="244147.19635429818"/>
    <x v="142"/>
    <n v="39.25"/>
  </r>
  <r>
    <s v=" 30-04-2016"/>
    <x v="2"/>
    <s v=" Monthly"/>
    <n v="5.5"/>
    <n v="26452688"/>
    <n v="1454898"/>
    <n v="715906.78403096064"/>
    <n v="394253.99367767631"/>
    <x v="143"/>
    <n v="44.94"/>
  </r>
  <r>
    <s v=" 31-05-2016"/>
    <x v="2"/>
    <s v=" Monthly"/>
    <n v="12.92"/>
    <n v="25169982"/>
    <n v="3251962"/>
    <n v="1233200.6352092882"/>
    <n v="574001.2559127789"/>
    <x v="144"/>
    <n v="46.3"/>
  </r>
  <r>
    <s v=" 30-06-2016"/>
    <x v="2"/>
    <s v=" Monthly"/>
    <n v="7.67"/>
    <n v="26974137"/>
    <n v="2068916"/>
    <n v="2646333.5905627864"/>
    <n v="1283568.7208423484"/>
    <x v="145"/>
    <n v="46.7"/>
  </r>
  <r>
    <s v=" 31-07-2016"/>
    <x v="2"/>
    <s v=" Monthly"/>
    <n v="3.9"/>
    <n v="24305446"/>
    <n v="947912"/>
    <n v="2242141.277168836"/>
    <n v="1285161.0196317025"/>
    <x v="146"/>
    <n v="40.35"/>
  </r>
  <r>
    <s v=" 31-08-2016"/>
    <x v="2"/>
    <s v=" Monthly"/>
    <n v="12.43"/>
    <n v="26192565"/>
    <n v="3255736"/>
    <n v="1336180.7831506506"/>
    <n v="1424059.6831762306"/>
    <x v="147"/>
    <n v="47.61"/>
  </r>
  <r>
    <s v=" 30-09-2016"/>
    <x v="2"/>
    <s v=" Monthly"/>
    <n v="14.39"/>
    <n v="24663044"/>
    <n v="3549012"/>
    <n v="2679869.434945195"/>
    <n v="1377574.2843014377"/>
    <x v="148"/>
    <n v="45.76"/>
  </r>
  <r>
    <s v=" 31-10-2016"/>
    <x v="2"/>
    <s v=" Monthly"/>
    <n v="6.47"/>
    <n v="25686600"/>
    <n v="1661923"/>
    <n v="3288269.2304835585"/>
    <n v="1427717.3449022938"/>
    <x v="149"/>
    <n v="43.53"/>
  </r>
  <r>
    <s v=" 30-11-2016"/>
    <x v="2"/>
    <s v=" Monthly"/>
    <n v="6.28"/>
    <n v="24857505"/>
    <n v="1561051"/>
    <n v="2149826.8691450674"/>
    <n v="1536782.6879915583"/>
    <x v="150"/>
    <n v="41.95"/>
  </r>
  <r>
    <s v=" 31-12-2016"/>
    <x v="2"/>
    <s v=" Monthly"/>
    <n v="4.43"/>
    <n v="25924646"/>
    <n v="1148462"/>
    <n v="1737683.7607435202"/>
    <n v="1117596.809212466"/>
    <x v="151"/>
    <n v="42.81"/>
  </r>
  <r>
    <s v=" 31-01-2017"/>
    <x v="2"/>
    <s v=" Monthly"/>
    <n v="4.72"/>
    <n v="24479462"/>
    <n v="1155431"/>
    <n v="1325228.5282230559"/>
    <n v="1054963.0907965933"/>
    <x v="152"/>
    <n v="40.450000000000003"/>
  </r>
  <r>
    <s v=" 28-02-2017"/>
    <x v="2"/>
    <s v=" Monthly"/>
    <n v="3.41"/>
    <n v="25761779"/>
    <n v="878477"/>
    <n v="1206370.2584669166"/>
    <n v="490805.63295187883"/>
    <x v="153"/>
    <n v="41.91"/>
  </r>
  <r>
    <s v=" 31-03-2017"/>
    <x v="2"/>
    <s v=" Monthly"/>
    <n v="2.48"/>
    <n v="24398730"/>
    <n v="605089"/>
    <n v="976844.97754007485"/>
    <n v="401467.08992245176"/>
    <x v="154"/>
    <n v="39.229999999999997"/>
  </r>
  <r>
    <s v=" 30-04-2017"/>
    <x v="2"/>
    <s v=" Monthly"/>
    <n v="1.34"/>
    <n v="25060822"/>
    <n v="335815"/>
    <n v="716615.79326202243"/>
    <n v="302515.94799585262"/>
    <x v="155"/>
    <n v="39.75"/>
  </r>
  <r>
    <s v=" 31-05-2017"/>
    <x v="2"/>
    <s v=" Monthly"/>
    <n v="2.12"/>
    <n v="26086226"/>
    <n v="553028"/>
    <n v="450055.23797860672"/>
    <n v="360890.44502628694"/>
    <x v="156"/>
    <n v="41.61"/>
  </r>
  <r>
    <s v=" 30-06-2017"/>
    <x v="2"/>
    <s v=" Monthly"/>
    <n v="1.69"/>
    <n v="26162150"/>
    <n v="442140"/>
    <n v="522136.17139358202"/>
    <n v="312951.0828143789"/>
    <x v="157"/>
    <n v="41.46"/>
  </r>
  <r>
    <s v=" 31-07-2017"/>
    <x v="2"/>
    <s v=" Monthly"/>
    <n v="1.75"/>
    <n v="24448773"/>
    <n v="427854"/>
    <n v="466138.85141807457"/>
    <n v="232387.62252246524"/>
    <x v="158"/>
    <n v="38.68"/>
  </r>
  <r>
    <s v=" 31-08-2017"/>
    <x v="2"/>
    <s v=" Monthly"/>
    <n v="3.33"/>
    <n v="24500483"/>
    <n v="815866"/>
    <n v="439339.45542542235"/>
    <n v="78461.257964360761"/>
    <x v="159"/>
    <n v="39.31"/>
  </r>
  <r>
    <s v=" 30-09-2017"/>
    <x v="2"/>
    <s v=" Monthly"/>
    <n v="4.8099999999999996"/>
    <n v="24901807"/>
    <n v="1197777"/>
    <n v="702908.03662762663"/>
    <n v="223336.33534425666"/>
    <x v="160"/>
    <n v="40.49"/>
  </r>
  <r>
    <s v=" 31-10-2017"/>
    <x v="2"/>
    <s v=" Monthly"/>
    <n v="4.8600000000000003"/>
    <n v="25209722"/>
    <n v="1225192"/>
    <n v="1049316.3109882879"/>
    <n v="359691.1914066578"/>
    <x v="161"/>
    <n v="40.93"/>
  </r>
  <r>
    <s v=" 30-11-2017"/>
    <x v="2"/>
    <s v=" Monthly"/>
    <n v="5"/>
    <n v="24835579"/>
    <n v="1241779"/>
    <n v="1172429.2932964861"/>
    <n v="373095.06727010978"/>
    <x v="162"/>
    <n v="40.29"/>
  </r>
  <r>
    <s v=" 31-12-2017"/>
    <x v="2"/>
    <s v=" Monthly"/>
    <n v="5.05"/>
    <n v="24834397"/>
    <n v="1254137"/>
    <n v="1220974.0879889457"/>
    <n v="305852.32314220711"/>
    <x v="163"/>
    <n v="40.229999999999997"/>
  </r>
  <r>
    <s v=" 31-01-2018"/>
    <x v="2"/>
    <s v=" Monthly"/>
    <n v="3.19"/>
    <n v="26320624"/>
    <n v="839628"/>
    <n v="1244188.1263966835"/>
    <n v="110817.29488706595"/>
    <x v="164"/>
    <n v="41.72"/>
  </r>
  <r>
    <s v=" 28-02-2018"/>
    <x v="2"/>
    <s v=" Monthly"/>
    <n v="6.64"/>
    <n v="25273112"/>
    <n v="1678135"/>
    <n v="960996.03791900503"/>
    <n v="237752.01115379084"/>
    <x v="165"/>
    <n v="41.46"/>
  </r>
  <r>
    <s v=" 31-03-2018"/>
    <x v="2"/>
    <s v=" Monthly"/>
    <n v="9.89"/>
    <n v="24460810"/>
    <n v="2419174"/>
    <n v="1462993.3113757016"/>
    <n v="475764.98593940272"/>
    <x v="166"/>
    <n v="41.48"/>
  </r>
  <r>
    <s v=" 30-04-2018"/>
    <x v="2"/>
    <s v=" Monthly"/>
    <n v="7.49"/>
    <n v="24340228"/>
    <n v="1823083"/>
    <n v="2132319.7934127101"/>
    <n v="728523.32291715161"/>
    <x v="167"/>
    <n v="40.119999999999997"/>
  </r>
  <r>
    <s v=" 31-05-2018"/>
    <x v="2"/>
    <s v=" Monthly"/>
    <n v="4"/>
    <n v="25857744"/>
    <n v="1034310"/>
    <n v="1915854.0380238127"/>
    <n v="712787.29754694225"/>
    <x v="168"/>
    <n v="40.98"/>
  </r>
  <r>
    <s v=" 30-06-2018"/>
    <x v="2"/>
    <s v=" Monthly"/>
    <n v="7.03"/>
    <n v="24668734"/>
    <n v="1734212"/>
    <n v="1298773.2114071436"/>
    <n v="771800.66396134999"/>
    <x v="169"/>
    <n v="40.29"/>
  </r>
  <r>
    <s v=" 31-07-2018"/>
    <x v="2"/>
    <s v=" Monthly"/>
    <n v="8.92"/>
    <n v="23483603"/>
    <n v="2094737"/>
    <n v="1603580.363422143"/>
    <n v="595078.2088618601"/>
    <x v="170"/>
    <n v="39.06"/>
  </r>
  <r>
    <s v=" 31-08-2018"/>
    <x v="2"/>
    <s v=" Monthly"/>
    <n v="8.73"/>
    <n v="23303745"/>
    <n v="2034417"/>
    <n v="1947390.0090266429"/>
    <n v="634550.14806843456"/>
    <x v="171"/>
    <n v="38.6"/>
  </r>
  <r>
    <s v=" 30-09-2018"/>
    <x v="2"/>
    <s v=" Monthly"/>
    <n v="4.59"/>
    <n v="25022998"/>
    <n v="1148556"/>
    <n v="2008308.9027079926"/>
    <n v="382280.64622018387"/>
    <x v="172"/>
    <n v="39.56"/>
  </r>
  <r>
    <s v=" 31-10-2018"/>
    <x v="2"/>
    <s v=" Monthly"/>
    <n v="9.25"/>
    <n v="23429236"/>
    <n v="2167204"/>
    <n v="1406481.8708123977"/>
    <n v="573870.94731805602"/>
    <x v="173"/>
    <n v="38.86"/>
  </r>
  <r>
    <s v=" 30-11-2018"/>
    <x v="2"/>
    <s v=" Monthly"/>
    <n v="10.75"/>
    <n v="22893899"/>
    <n v="2461094"/>
    <n v="1938987.3612437192"/>
    <n v="664692.13643320499"/>
    <x v="174"/>
    <n v="38.53"/>
  </r>
  <r>
    <s v=" 31-12-2018"/>
    <x v="2"/>
    <s v=" Monthly"/>
    <n v="7.51"/>
    <n v="22682550"/>
    <n v="1703460"/>
    <n v="2304462.0083731157"/>
    <n v="728118.24904656783"/>
    <x v="175"/>
    <n v="36.75"/>
  </r>
  <r>
    <s v=" 31-01-2019"/>
    <x v="2"/>
    <s v=" Monthly"/>
    <n v="7.52"/>
    <n v="24277845"/>
    <n v="1825694"/>
    <n v="1883760.6025119347"/>
    <n v="635740.22843129339"/>
    <x v="176"/>
    <n v="39.26"/>
  </r>
  <r>
    <s v=" 28-02-2019"/>
    <x v="2"/>
    <s v=" Monthly"/>
    <n v="10.89"/>
    <n v="23577976"/>
    <n v="2567642"/>
    <n v="1843113.9807535801"/>
    <n v="460858.07165517501"/>
    <x v="177"/>
    <n v="39.49"/>
  </r>
  <r>
    <s v=" 31-03-2019"/>
    <x v="2"/>
    <s v=" Monthly"/>
    <n v="10.99"/>
    <n v="23263629"/>
    <n v="2556673"/>
    <n v="2350283.5942260739"/>
    <n v="544523.03136749507"/>
    <x v="178"/>
    <n v="38.93"/>
  </r>
  <r>
    <s v=" 30-04-2019"/>
    <x v="2"/>
    <s v=" Monthly"/>
    <n v="11.22"/>
    <n v="22098643"/>
    <n v="2479468"/>
    <n v="2494756.1782678221"/>
    <n v="436237.38484764384"/>
    <x v="179"/>
    <n v="36.99"/>
  </r>
  <r>
    <s v=" 31-05-2019"/>
    <x v="2"/>
    <s v=" Monthly"/>
    <n v="9.27"/>
    <n v="24322323"/>
    <n v="2254679"/>
    <n v="2484054.4534803466"/>
    <n v="435036.84360584279"/>
    <x v="180"/>
    <n v="39.75"/>
  </r>
  <r>
    <s v=" 30-06-2019"/>
    <x v="2"/>
    <s v=" Monthly"/>
    <n v="10.199999999999999"/>
    <n v="24097708"/>
    <n v="2457966"/>
    <n v="2323491.6360441037"/>
    <n v="178366.11586824973"/>
    <x v="181"/>
    <n v="39.71"/>
  </r>
  <r>
    <s v=" 31-07-2019"/>
    <x v="2"/>
    <s v=" Monthly"/>
    <n v="13.44"/>
    <n v="23248876"/>
    <n v="3124649"/>
    <n v="2417623.6908132313"/>
    <n v="153764.08511678557"/>
    <x v="182"/>
    <n v="39.659999999999997"/>
  </r>
  <r>
    <s v=" 31-08-2019"/>
    <x v="2"/>
    <s v=" Monthly"/>
    <n v="11"/>
    <n v="22260212"/>
    <n v="2448623"/>
    <n v="2912541.4072439689"/>
    <n v="436112.08079701383"/>
    <x v="183"/>
    <n v="36.85"/>
  </r>
  <r>
    <s v=" 30-09-2019"/>
    <x v="2"/>
    <s v=" Monthly"/>
    <n v="8.6199999999999992"/>
    <n v="23991088"/>
    <n v="2068032"/>
    <n v="2587798.5221731905"/>
    <n v="494364.38348373823"/>
    <x v="184"/>
    <n v="38.6"/>
  </r>
  <r>
    <s v=" 31-10-2019"/>
    <x v="2"/>
    <s v=" Monthly"/>
    <n v="12.47"/>
    <n v="24053140"/>
    <n v="2999427"/>
    <n v="2223961.9566519568"/>
    <n v="573080.0740973989"/>
    <x v="185"/>
    <n v="40.31"/>
  </r>
  <r>
    <s v=" 30-11-2019"/>
    <x v="2"/>
    <s v=" Monthly"/>
    <n v="12.4"/>
    <n v="22445999"/>
    <n v="2783304"/>
    <n v="2766787.4869955871"/>
    <n v="601864.75767860492"/>
    <x v="186"/>
    <n v="37.51"/>
  </r>
  <r>
    <s v=" 31-12-2019"/>
    <x v="2"/>
    <s v=" Monthly"/>
    <n v="10.16"/>
    <n v="22914536"/>
    <n v="2328117"/>
    <n v="2778349.046098676"/>
    <n v="539065.87916154286"/>
    <x v="187"/>
    <n v="37.25"/>
  </r>
  <r>
    <s v=" 31-01-2020"/>
    <x v="2"/>
    <s v=" Monthly"/>
    <n v="9.1300000000000008"/>
    <n v="23409006"/>
    <n v="2137242"/>
    <n v="2463186.6138296025"/>
    <n v="517792.66249172483"/>
    <x v="188"/>
    <n v="37.54"/>
  </r>
  <r>
    <s v=" 29-02-2020"/>
    <x v="2"/>
    <s v=" Monthly"/>
    <n v="9.61"/>
    <n v="23168192"/>
    <n v="2226463"/>
    <n v="2235025.3841488808"/>
    <n v="321051.18066571769"/>
    <x v="189"/>
    <n v="37.28"/>
  </r>
  <r>
    <s v=" 31-03-2020"/>
    <x v="2"/>
    <s v=" Monthly"/>
    <n v="15.39"/>
    <n v="22667882"/>
    <n v="3488587"/>
    <n v="2229031.7152446639"/>
    <n v="320947.60789524612"/>
    <x v="190"/>
    <n v="38.880000000000003"/>
  </r>
  <r>
    <s v=" 30-04-2020"/>
    <x v="2"/>
    <s v=" Monthly"/>
    <n v="45.09"/>
    <n v="14645275"/>
    <n v="6603554"/>
    <n v="3110720.4145733989"/>
    <n v="751175.2394441521"/>
    <x v="191"/>
    <n v="38.630000000000003"/>
  </r>
  <r>
    <s v=" 31-05-2020"/>
    <x v="2"/>
    <s v=" Monthly"/>
    <n v="47.26"/>
    <n v="14050319"/>
    <n v="6640181"/>
    <n v="5555703.9243720192"/>
    <n v="2143707.0139722493"/>
    <x v="192"/>
    <n v="38.5"/>
  </r>
  <r>
    <s v=" 30-06-2020"/>
    <x v="2"/>
    <s v=" Monthly"/>
    <n v="18.54"/>
    <n v="20855544"/>
    <n v="3866618"/>
    <n v="6314837.877311605"/>
    <n v="2233267.8969320389"/>
    <x v="193"/>
    <n v="36.92"/>
  </r>
  <r>
    <s v=" 31-07-2020"/>
    <x v="2"/>
    <s v=" Monthly"/>
    <n v="12.03"/>
    <n v="21962598"/>
    <n v="2642101"/>
    <n v="4601083.9631934809"/>
    <n v="2540981.2770338883"/>
    <x v="194"/>
    <n v="35.92"/>
  </r>
  <r>
    <s v=" 31-08-2020"/>
    <x v="2"/>
    <s v=" Monthly"/>
    <n v="12.25"/>
    <n v="21029375"/>
    <n v="2576098"/>
    <n v="3229795.8889580444"/>
    <n v="1915505.6203962248"/>
    <x v="195"/>
    <n v="34.409999999999997"/>
  </r>
  <r>
    <s v=" 30-09-2020"/>
    <x v="2"/>
    <s v=" Monthly"/>
    <n v="11.1"/>
    <n v="23885640"/>
    <n v="2651306"/>
    <n v="2772207.3666874133"/>
    <n v="1849208.4565902031"/>
    <x v="196"/>
    <n v="38.49"/>
  </r>
  <r>
    <s v=" 31-10-2020"/>
    <x v="2"/>
    <s v=" Monthly"/>
    <n v="9.66"/>
    <n v="22619048"/>
    <n v="2185000"/>
    <n v="2687576.4100062242"/>
    <n v="1194369.0552724756"/>
    <x v="197"/>
    <n v="35.79"/>
  </r>
  <r>
    <s v=" 30-11-2020"/>
    <x v="2"/>
    <s v=" Monthly"/>
    <n v="9.23"/>
    <n v="22910615"/>
    <n v="2114650"/>
    <n v="2335772.9230018673"/>
    <n v="481151.78422539128"/>
    <x v="198"/>
    <n v="36"/>
  </r>
  <r>
    <s v=" 31-12-2020"/>
    <x v="2"/>
    <s v=" Monthly"/>
    <n v="11.85"/>
    <n v="21443715"/>
    <n v="2541080"/>
    <n v="2180986.8769005602"/>
    <n v="324600.02846504212"/>
    <x v="199"/>
    <n v="34.630000000000003"/>
  </r>
  <r>
    <s v=" 31-01-2021"/>
    <x v="2"/>
    <s v=" Monthly"/>
    <n v="9.67"/>
    <n v="25019470"/>
    <n v="2419383"/>
    <n v="2433052.0630701678"/>
    <n v="379097.81159798428"/>
    <x v="200"/>
    <n v="39.340000000000003"/>
  </r>
  <r>
    <s v=" 28-02-2021"/>
    <x v="2"/>
    <s v=" Monthly"/>
    <n v="11.2"/>
    <n v="22609883"/>
    <n v="2532307"/>
    <n v="2423483.7189210504"/>
    <n v="244096.46157862418"/>
    <x v="201"/>
    <n v="36.090000000000003"/>
  </r>
  <r>
    <s v=" 31-03-2021"/>
    <x v="2"/>
    <s v=" Monthly"/>
    <n v="14.1"/>
    <n v="22706548"/>
    <n v="3201623"/>
    <n v="2499660.0156763149"/>
    <n v="217329.55550922549"/>
    <x v="202"/>
    <n v="37.39"/>
  </r>
  <r>
    <s v=" 30-04-2021"/>
    <x v="2"/>
    <s v=" Monthly"/>
    <n v="10.02"/>
    <n v="21795163"/>
    <n v="2183875"/>
    <n v="2991034.1047028941"/>
    <n v="410195.63671928481"/>
    <x v="203"/>
    <n v="34.19"/>
  </r>
  <r>
    <s v=" 31-05-2021"/>
    <x v="2"/>
    <s v=" Monthly"/>
    <n v="13.41"/>
    <n v="24240457"/>
    <n v="3250645"/>
    <n v="2426022.7314108685"/>
    <n v="620779.17656500568"/>
    <x v="204"/>
    <n v="39.42"/>
  </r>
  <r>
    <s v=" 30-06-2021"/>
    <x v="2"/>
    <s v=" Monthly"/>
    <n v="10.14"/>
    <n v="22381007"/>
    <n v="2269434"/>
    <n v="3003258.3194232606"/>
    <n v="779799.0633315905"/>
    <x v="205"/>
    <n v="35"/>
  </r>
  <r>
    <s v=" 31-07-2021"/>
    <x v="2"/>
    <s v=" Monthly"/>
    <n v="12.38"/>
    <n v="22386909"/>
    <n v="2771499"/>
    <n v="2489581.2958269781"/>
    <n v="789515.85120985692"/>
    <x v="206"/>
    <n v="35.83"/>
  </r>
  <r>
    <s v=" 31-08-2021"/>
    <x v="2"/>
    <s v=" Monthly"/>
    <n v="12.76"/>
    <n v="21150536"/>
    <n v="2698808"/>
    <n v="2686923.6887480933"/>
    <n v="657768.35070215131"/>
    <x v="207"/>
    <n v="33.92"/>
  </r>
  <r>
    <s v=" 30-09-2021"/>
    <x v="2"/>
    <s v=" Monthly"/>
    <n v="9.01"/>
    <n v="23743741"/>
    <n v="2139311"/>
    <n v="2695242.7066244278"/>
    <n v="453915.17583396257"/>
    <x v="208"/>
    <n v="36.43"/>
  </r>
  <r>
    <s v=" 31-10-2021"/>
    <x v="2"/>
    <s v=" Monthly"/>
    <n v="13.72"/>
    <n v="21922951"/>
    <n v="3007829"/>
    <n v="2306090.5119873285"/>
    <n v="359943.92674900003"/>
    <x v="209"/>
    <n v="35.4"/>
  </r>
  <r>
    <s v=" 30-11-2021"/>
    <x v="2"/>
    <s v=" Monthly"/>
    <n v="13.95"/>
    <n v="21630814"/>
    <n v="3017499"/>
    <n v="2797307.4535961985"/>
    <n v="516926.23743386293"/>
    <x v="210"/>
    <n v="34.950000000000003"/>
  </r>
  <r>
    <s v=" 31-12-2021"/>
    <x v="2"/>
    <s v=" Monthly"/>
    <n v="14.91"/>
    <n v="21029261"/>
    <n v="3135463"/>
    <n v="2951441.5360788591"/>
    <n v="532284.78752648842"/>
    <x v="211"/>
    <n v="34.28"/>
  </r>
  <r>
    <s v=" 31-01-2022"/>
    <x v="2"/>
    <s v=" Monthly"/>
    <n v="12.82"/>
    <n v="22634383"/>
    <n v="2901728"/>
    <n v="3080256.5608236575"/>
    <n v="437715.70752779994"/>
    <x v="212"/>
    <n v="35.94"/>
  </r>
  <r>
    <s v=" 28-02-2022"/>
    <x v="2"/>
    <s v=" Monthly"/>
    <n v="13.45"/>
    <n v="21731921"/>
    <n v="2922943"/>
    <n v="2955286.5682470971"/>
    <n v="195124.45884711944"/>
    <x v="213"/>
    <n v="34.69"/>
  </r>
  <r>
    <s v=" 31-03-2022"/>
    <x v="2"/>
    <s v=" Monthly"/>
    <n v="13.95"/>
    <n v="21109708"/>
    <n v="2944804"/>
    <n v="2932646.0704741292"/>
    <n v="149200.59497245174"/>
    <x v="214"/>
    <n v="33.81"/>
  </r>
  <r>
    <s v=" 30-04-2022"/>
    <x v="2"/>
    <s v=" Monthly"/>
    <n v="20.55"/>
    <n v="21046521"/>
    <n v="4325060"/>
    <n v="2941156.6211422384"/>
    <n v="104986.29860935356"/>
    <x v="215"/>
    <n v="36.43"/>
  </r>
  <r>
    <s v=" 31-01-2016"/>
    <x v="3"/>
    <s v=" Monthly"/>
    <n v="0.91"/>
    <n v="6042681"/>
    <n v="54988"/>
    <n v="3909888.9863426713"/>
    <n v="799245.99543804198"/>
    <x v="216"/>
    <n v="41.1"/>
  </r>
  <r>
    <s v=" 29-02-2016"/>
    <x v="3"/>
    <s v=" Monthly"/>
    <n v="5.26"/>
    <n v="6233184"/>
    <n v="327865"/>
    <n v="1211458.2959028014"/>
    <n v="2364712.6669548377"/>
    <x v="217"/>
    <n v="44.26"/>
  </r>
  <r>
    <s v=" 31-03-2016"/>
    <x v="3"/>
    <s v=" Monthly"/>
    <n v="0.97"/>
    <n v="6664130"/>
    <n v="64642"/>
    <n v="592942.98877084034"/>
    <n v="2419103.6417844254"/>
    <x v="218"/>
    <n v="45.17"/>
  </r>
  <r>
    <s v=" 30-04-2016"/>
    <x v="3"/>
    <s v=" Monthly"/>
    <n v="2.89"/>
    <n v="6196137"/>
    <n v="179068"/>
    <n v="223132.2966312521"/>
    <n v="2303627.6219480676"/>
    <x v="219"/>
    <n v="42.73"/>
  </r>
  <r>
    <s v=" 31-05-2016"/>
    <x v="3"/>
    <s v=" Monthly"/>
    <n v="4.29"/>
    <n v="6338136"/>
    <n v="271906"/>
    <n v="192287.28898937564"/>
    <n v="594917.55998575978"/>
    <x v="220"/>
    <n v="44.25"/>
  </r>
  <r>
    <s v=" 30-06-2016"/>
    <x v="3"/>
    <s v=" Monthly"/>
    <n v="1.18"/>
    <n v="6458159"/>
    <n v="76206"/>
    <n v="248020.38669681267"/>
    <n v="309506.45449211984"/>
    <x v="221"/>
    <n v="43.58"/>
  </r>
  <r>
    <s v=" 31-07-2016"/>
    <x v="3"/>
    <s v=" Monthly"/>
    <n v="3.59"/>
    <n v="6917881"/>
    <n v="248352"/>
    <n v="127750.31600904379"/>
    <n v="112251.18389368577"/>
    <x v="222"/>
    <n v="47.74"/>
  </r>
  <r>
    <s v=" 31-08-2016"/>
    <x v="3"/>
    <s v=" Monthly"/>
    <n v="1.71"/>
    <n v="6264762"/>
    <n v="107127"/>
    <n v="212171.49480271313"/>
    <n v="129620.07149158351"/>
    <x v="223"/>
    <n v="42.31"/>
  </r>
  <r>
    <s v=" 30-09-2016"/>
    <x v="3"/>
    <s v=" Monthly"/>
    <n v="8.51"/>
    <n v="7113859"/>
    <n v="605389"/>
    <n v="138640.34844081395"/>
    <n v="135522.80932966422"/>
    <x v="224"/>
    <n v="51.51"/>
  </r>
  <r>
    <s v=" 31-10-2016"/>
    <x v="3"/>
    <s v=" Monthly"/>
    <n v="3.33"/>
    <n v="8298791"/>
    <n v="276350"/>
    <n v="465364.4045322442"/>
    <n v="284858.68765765842"/>
    <x v="225"/>
    <n v="56.74"/>
  </r>
  <r>
    <s v=" 30-11-2016"/>
    <x v="3"/>
    <s v=" Monthly"/>
    <n v="3.09"/>
    <n v="7587438"/>
    <n v="234452"/>
    <n v="333054.32135967328"/>
    <n v="296993.31908386678"/>
    <x v="226"/>
    <n v="51.64"/>
  </r>
  <r>
    <s v=" 31-12-2016"/>
    <x v="3"/>
    <s v=" Monthly"/>
    <n v="3.71"/>
    <n v="6240718"/>
    <n v="231531"/>
    <n v="264032.696407902"/>
    <n v="296256.1766616372"/>
    <x v="227"/>
    <n v="42.66"/>
  </r>
  <r>
    <s v=" 31-01-2017"/>
    <x v="3"/>
    <s v=" Monthly"/>
    <n v="3.29"/>
    <n v="6380086"/>
    <n v="209905"/>
    <n v="241281.50892237056"/>
    <n v="124505.98803215125"/>
    <x v="228"/>
    <n v="43.32"/>
  </r>
  <r>
    <s v=" 28-02-2017"/>
    <x v="3"/>
    <s v=" Monthly"/>
    <n v="1.75"/>
    <n v="7539539"/>
    <n v="131942"/>
    <n v="219317.95267671117"/>
    <n v="62618.589782543306"/>
    <x v="229"/>
    <n v="50.29"/>
  </r>
  <r>
    <s v=" 31-03-2017"/>
    <x v="3"/>
    <s v=" Monthly"/>
    <n v="2.83"/>
    <n v="7370766"/>
    <n v="208593"/>
    <n v="158154.78580301334"/>
    <n v="56790.26526823618"/>
    <x v="230"/>
    <n v="49.6"/>
  </r>
  <r>
    <s v=" 30-04-2017"/>
    <x v="3"/>
    <s v=" Monthly"/>
    <n v="4.17"/>
    <n v="6514503"/>
    <n v="271655"/>
    <n v="193461.53574090399"/>
    <n v="61000.152649261392"/>
    <x v="231"/>
    <n v="44.36"/>
  </r>
  <r>
    <s v=" 31-05-2017"/>
    <x v="3"/>
    <s v=" Monthly"/>
    <n v="3.86"/>
    <n v="6527077"/>
    <n v="251945"/>
    <n v="248196.96072227118"/>
    <n v="73694.840186593123"/>
    <x v="232"/>
    <n v="44.2"/>
  </r>
  <r>
    <s v=" 30-06-2017"/>
    <x v="3"/>
    <s v=" Monthly"/>
    <n v="1.03"/>
    <n v="6696222"/>
    <n v="68971"/>
    <n v="250820.58821668135"/>
    <n v="53765.785597183865"/>
    <x v="233"/>
    <n v="43.96"/>
  </r>
  <r>
    <s v=" 31-07-2017"/>
    <x v="3"/>
    <s v=" Monthly"/>
    <n v="0.64"/>
    <n v="7365798"/>
    <n v="47141"/>
    <n v="123525.8764650044"/>
    <n v="114305.93216720717"/>
    <x v="234"/>
    <n v="48.06"/>
  </r>
  <r>
    <s v=" 31-08-2017"/>
    <x v="3"/>
    <s v=" Monthly"/>
    <n v="3.25"/>
    <n v="6529389"/>
    <n v="212205"/>
    <n v="70056.462939501318"/>
    <n v="113897.57077535054"/>
    <x v="235"/>
    <n v="43.66"/>
  </r>
  <r>
    <s v=" 30-09-2017"/>
    <x v="3"/>
    <s v=" Monthly"/>
    <n v="4.45"/>
    <n v="6508360"/>
    <n v="289622"/>
    <n v="169560.43888185039"/>
    <n v="140368.71526517882"/>
    <x v="236"/>
    <n v="43.97"/>
  </r>
  <r>
    <s v=" 31-10-2017"/>
    <x v="3"/>
    <s v=" Monthly"/>
    <n v="2.21"/>
    <n v="6942533"/>
    <n v="153430"/>
    <n v="253603.53166455511"/>
    <n v="116125.84323216074"/>
    <x v="237"/>
    <n v="45.72"/>
  </r>
  <r>
    <s v=" 30-11-2017"/>
    <x v="3"/>
    <s v=" Monthly"/>
    <n v="3.01"/>
    <n v="7151861"/>
    <n v="215271"/>
    <n v="183482.05949936653"/>
    <n v="122005.08390051726"/>
    <x v="238"/>
    <n v="47.39"/>
  </r>
  <r>
    <s v=" 31-12-2017"/>
    <x v="3"/>
    <s v=" Monthly"/>
    <n v="1.5"/>
    <n v="6638490"/>
    <n v="99577"/>
    <n v="205734.31784980994"/>
    <n v="92123.199471196567"/>
    <x v="239"/>
    <n v="43.22"/>
  </r>
  <r>
    <s v=" 31-01-2018"/>
    <x v="3"/>
    <s v=" Monthly"/>
    <n v="5.64"/>
    <n v="6398523"/>
    <n v="360877"/>
    <n v="131424.19535494299"/>
    <n v="86245.095159798351"/>
    <x v="240"/>
    <n v="43.39"/>
  </r>
  <r>
    <s v=" 28-02-2018"/>
    <x v="3"/>
    <s v=" Monthly"/>
    <n v="1.63"/>
    <n v="6220704"/>
    <n v="101397"/>
    <n v="292041.1586064829"/>
    <n v="147115.03710894758"/>
    <x v="241"/>
    <n v="40.380000000000003"/>
  </r>
  <r>
    <s v=" 31-03-2018"/>
    <x v="3"/>
    <s v=" Monthly"/>
    <n v="2.86"/>
    <n v="6718999"/>
    <n v="192163"/>
    <n v="158590.24758194486"/>
    <n v="182814.25993187921"/>
    <x v="242"/>
    <n v="44.07"/>
  </r>
  <r>
    <s v=" 30-04-2018"/>
    <x v="3"/>
    <s v=" Monthly"/>
    <n v="2.09"/>
    <n v="6162574"/>
    <n v="128798"/>
    <n v="182091.17427458346"/>
    <n v="173321.3917122182"/>
    <x v="243"/>
    <n v="40.020000000000003"/>
  </r>
  <r>
    <s v=" 31-05-2018"/>
    <x v="3"/>
    <s v=" Monthly"/>
    <n v="4.45"/>
    <n v="5869882"/>
    <n v="261210"/>
    <n v="144785.95228237502"/>
    <n v="115920.21299146375"/>
    <x v="244"/>
    <n v="38.97"/>
  </r>
  <r>
    <s v=" 30-06-2018"/>
    <x v="3"/>
    <s v=" Monthly"/>
    <n v="1.69"/>
    <n v="6067913"/>
    <n v="102548"/>
    <n v="226282.78568471249"/>
    <n v="76423.929533754839"/>
    <x v="245"/>
    <n v="39.07"/>
  </r>
  <r>
    <s v=" 31-07-2018"/>
    <x v="3"/>
    <s v=" Monthly"/>
    <n v="3.05"/>
    <n v="6423394"/>
    <n v="195914"/>
    <n v="139668.43570541375"/>
    <n v="102802.42944544756"/>
    <x v="246"/>
    <n v="41.85"/>
  </r>
  <r>
    <s v=" 31-08-2018"/>
    <x v="3"/>
    <s v=" Monthly"/>
    <n v="2.78"/>
    <n v="6112994"/>
    <n v="169941"/>
    <n v="179040.33071162412"/>
    <n v="103325.40761789746"/>
    <x v="247"/>
    <n v="39.630000000000003"/>
  </r>
  <r>
    <s v=" 30-09-2018"/>
    <x v="3"/>
    <s v=" Monthly"/>
    <n v="23.18"/>
    <n v="6098401"/>
    <n v="1413609"/>
    <n v="172670.79921348725"/>
    <n v="78648.285657640954"/>
    <x v="248"/>
    <n v="49.92"/>
  </r>
  <r>
    <s v=" 31-10-2018"/>
    <x v="3"/>
    <s v=" Monthly"/>
    <n v="12.52"/>
    <n v="6392014"/>
    <n v="800280"/>
    <n v="1041327.5397640461"/>
    <n v="717210.79641750222"/>
    <x v="249"/>
    <n v="45.85"/>
  </r>
  <r>
    <s v=" 30-11-2018"/>
    <x v="3"/>
    <s v=" Monthly"/>
    <n v="5.38"/>
    <n v="6369071"/>
    <n v="342656"/>
    <n v="872594.26192921377"/>
    <n v="729866.2736915045"/>
    <x v="250"/>
    <n v="42.15"/>
  </r>
  <r>
    <s v=" 31-12-2018"/>
    <x v="3"/>
    <s v=" Monthly"/>
    <n v="4.9000000000000004"/>
    <n v="5983109"/>
    <n v="293172"/>
    <n v="501637.47857876413"/>
    <n v="791384.03994818323"/>
    <x v="251"/>
    <n v="39.299999999999997"/>
  </r>
  <r>
    <s v=" 31-01-2019"/>
    <x v="3"/>
    <s v=" Monthly"/>
    <n v="6.81"/>
    <n v="6141864"/>
    <n v="418261"/>
    <n v="355711.6435736292"/>
    <n v="357023.03083598055"/>
    <x v="252"/>
    <n v="41.08"/>
  </r>
  <r>
    <s v=" 28-02-2019"/>
    <x v="3"/>
    <s v=" Monthly"/>
    <n v="6.94"/>
    <n v="6548608"/>
    <n v="454473"/>
    <n v="399496.1930720887"/>
    <n v="330759.14661325305"/>
    <x v="253"/>
    <n v="43.78"/>
  </r>
  <r>
    <s v=" 31-03-2019"/>
    <x v="3"/>
    <s v=" Monthly"/>
    <n v="3.17"/>
    <n v="6808582"/>
    <n v="215832"/>
    <n v="437979.95792162657"/>
    <n v="129605.46162413472"/>
    <x v="254"/>
    <n v="43.65"/>
  </r>
  <r>
    <s v=" 30-04-2019"/>
    <x v="3"/>
    <s v=" Monthly"/>
    <n v="2.99"/>
    <n v="6249706"/>
    <n v="186866"/>
    <n v="282476.38737648795"/>
    <n v="136972.73025203566"/>
    <x v="255"/>
    <n v="39.9"/>
  </r>
  <r>
    <s v=" 31-05-2019"/>
    <x v="3"/>
    <s v=" Monthly"/>
    <n v="9.82"/>
    <n v="6259019"/>
    <n v="614636"/>
    <n v="215549.11621294636"/>
    <n v="143193.93688633107"/>
    <x v="256"/>
    <n v="42.89"/>
  </r>
  <r>
    <s v=" 30-06-2019"/>
    <x v="3"/>
    <s v=" Monthly"/>
    <n v="6.76"/>
    <n v="6608625"/>
    <n v="446743"/>
    <n v="494909.93486388389"/>
    <n v="269419.99566593178"/>
    <x v="257"/>
    <n v="43.71"/>
  </r>
  <r>
    <s v=" 31-07-2019"/>
    <x v="3"/>
    <s v=" Monthly"/>
    <n v="4.54"/>
    <n v="6753624"/>
    <n v="306615"/>
    <n v="461193.08045916515"/>
    <n v="238559.38505909801"/>
    <x v="258"/>
    <n v="43.53"/>
  </r>
  <r>
    <s v=" 31-08-2019"/>
    <x v="3"/>
    <s v=" Monthly"/>
    <n v="4.6399999999999997"/>
    <n v="6607694"/>
    <n v="306597"/>
    <n v="352988.42413774953"/>
    <n v="248652.88883869353"/>
    <x v="259"/>
    <n v="42.55"/>
  </r>
  <r>
    <s v=" 30-09-2019"/>
    <x v="3"/>
    <s v=" Monthly"/>
    <n v="8.33"/>
    <n v="6490778"/>
    <n v="540682"/>
    <n v="320514.42724132485"/>
    <n v="97239.56808856214"/>
    <x v="260"/>
    <n v="43.38"/>
  </r>
  <r>
    <s v=" 31-10-2019"/>
    <x v="3"/>
    <s v=" Monthly"/>
    <n v="6.96"/>
    <n v="7043839"/>
    <n v="490251"/>
    <n v="474631.72817239742"/>
    <n v="157607.43138825995"/>
    <x v="261"/>
    <n v="46.28"/>
  </r>
  <r>
    <s v=" 30-11-2019"/>
    <x v="3"/>
    <s v=" Monthly"/>
    <n v="2.77"/>
    <n v="6942930"/>
    <n v="192319"/>
    <n v="485565.21845171915"/>
    <n v="130217.62039038038"/>
    <x v="262"/>
    <n v="43.56"/>
  </r>
  <r>
    <s v=" 31-12-2019"/>
    <x v="3"/>
    <s v=" Monthly"/>
    <n v="6.11"/>
    <n v="6569389"/>
    <n v="401390"/>
    <n v="280292.86553551571"/>
    <n v="211904.90507387539"/>
    <x v="263"/>
    <n v="42.59"/>
  </r>
  <r>
    <s v=" 31-01-2020"/>
    <x v="3"/>
    <s v=" Monthly"/>
    <n v="9.89"/>
    <n v="6236201"/>
    <n v="616760"/>
    <n v="365060.85966065468"/>
    <n v="183395.58542866411"/>
    <x v="264"/>
    <n v="42.03"/>
  </r>
  <r>
    <s v=" 29-02-2020"/>
    <x v="3"/>
    <s v=" Monthly"/>
    <n v="7.89"/>
    <n v="6847173"/>
    <n v="540242"/>
    <n v="541250.25789819635"/>
    <n v="233816.39367910614"/>
    <x v="265"/>
    <n v="45.05"/>
  </r>
  <r>
    <s v=" 31-03-2020"/>
    <x v="3"/>
    <s v=" Monthly"/>
    <n v="7.31"/>
    <n v="6894808"/>
    <n v="504010"/>
    <n v="540544.47736945888"/>
    <n v="161263.74856846998"/>
    <x v="266"/>
    <n v="44.98"/>
  </r>
  <r>
    <s v=" 30-04-2020"/>
    <x v="3"/>
    <s v=" Monthly"/>
    <n v="0"/>
    <n v="6534321"/>
    <n v="0"/>
    <n v="514970.34321083769"/>
    <n v="146842.59358035304"/>
    <x v="267"/>
    <n v="39.43"/>
  </r>
  <r>
    <s v=" 31-05-2020"/>
    <x v="3"/>
    <s v=" Monthly"/>
    <n v="7.64"/>
    <n v="5454091"/>
    <n v="416693"/>
    <n v="154491.10296325129"/>
    <n v="298066.12186299462"/>
    <x v="268"/>
    <n v="35.56"/>
  </r>
  <r>
    <s v=" 30-06-2020"/>
    <x v="3"/>
    <s v=" Monthly"/>
    <n v="10.27"/>
    <n v="5707746"/>
    <n v="586186"/>
    <n v="338032.43088897539"/>
    <n v="334304.77972104895"/>
    <x v="269"/>
    <n v="38.22"/>
  </r>
  <r>
    <s v=" 31-07-2020"/>
    <x v="3"/>
    <s v=" Monthly"/>
    <n v="12.37"/>
    <n v="6444882"/>
    <n v="797232"/>
    <n v="511739.92926669255"/>
    <n v="363099.84075040015"/>
    <x v="270"/>
    <n v="44.09"/>
  </r>
  <r>
    <s v=" 31-08-2020"/>
    <x v="3"/>
    <s v=" Monthly"/>
    <n v="6.07"/>
    <n v="6893482"/>
    <n v="418434"/>
    <n v="711584.3787800076"/>
    <n v="265729.02935371443"/>
    <x v="271"/>
    <n v="43.9"/>
  </r>
  <r>
    <s v=" 30-09-2020"/>
    <x v="3"/>
    <s v=" Monthly"/>
    <n v="0.86"/>
    <n v="6881003"/>
    <n v="59177"/>
    <n v="506379.11363400228"/>
    <n v="276298.78808576887"/>
    <x v="272"/>
    <n v="41.43"/>
  </r>
  <r>
    <s v=" 31-10-2020"/>
    <x v="3"/>
    <s v=" Monthly"/>
    <n v="6.11"/>
    <n v="6334070"/>
    <n v="387012"/>
    <n v="193337.63409020068"/>
    <n v="349967.90208492591"/>
    <x v="273"/>
    <n v="40.18"/>
  </r>
  <r>
    <s v=" 30-11-2020"/>
    <x v="3"/>
    <s v=" Monthly"/>
    <n v="3.09"/>
    <n v="6536087"/>
    <n v="201965"/>
    <n v="328909.69022706017"/>
    <n v="328347.69936158822"/>
    <x v="274"/>
    <n v="40.08"/>
  </r>
  <r>
    <s v=" 31-12-2020"/>
    <x v="3"/>
    <s v=" Monthly"/>
    <n v="7.84"/>
    <n v="6292258"/>
    <n v="493313"/>
    <n v="240048.40706811805"/>
    <n v="290754.44669923006"/>
    <x v="275"/>
    <n v="40.479999999999997"/>
  </r>
  <r>
    <s v=" 31-01-2021"/>
    <x v="3"/>
    <s v=" Monthly"/>
    <n v="6.76"/>
    <n v="6525591"/>
    <n v="441130"/>
    <n v="417333.62212043541"/>
    <n v="198130.99069416928"/>
    <x v="276"/>
    <n v="41.41"/>
  </r>
  <r>
    <s v=" 28-02-2021"/>
    <x v="3"/>
    <s v=" Monthly"/>
    <n v="5.82"/>
    <n v="6586047"/>
    <n v="383308"/>
    <n v="433991.08663613058"/>
    <n v="164138.33191344343"/>
    <x v="277"/>
    <n v="41.29"/>
  </r>
  <r>
    <s v=" 31-03-2021"/>
    <x v="3"/>
    <s v=" Monthly"/>
    <n v="2.46"/>
    <n v="6321761"/>
    <n v="155515"/>
    <n v="398512.92599083914"/>
    <n v="149753.12673875899"/>
    <x v="278"/>
    <n v="38.18"/>
  </r>
  <r>
    <s v=" 30-04-2021"/>
    <x v="3"/>
    <s v=" Monthly"/>
    <n v="3.42"/>
    <n v="7057826"/>
    <n v="241378"/>
    <n v="228414.37779725174"/>
    <n v="143971.10231686762"/>
    <x v="279"/>
    <n v="42.96"/>
  </r>
  <r>
    <s v=" 31-05-2021"/>
    <x v="3"/>
    <s v=" Monthly"/>
    <n v="9.35"/>
    <n v="7019483"/>
    <n v="656322"/>
    <n v="237488.91333917552"/>
    <n v="143509.37577667233"/>
    <x v="280"/>
    <n v="45.42"/>
  </r>
  <r>
    <s v=" 30-06-2021"/>
    <x v="3"/>
    <s v=" Monthly"/>
    <n v="2.3199999999999998"/>
    <n v="7098251"/>
    <n v="164679"/>
    <n v="530672.07400175266"/>
    <n v="279664.80056089687"/>
    <x v="281"/>
    <n v="42.54"/>
  </r>
  <r>
    <s v=" 31-07-2021"/>
    <x v="3"/>
    <s v=" Monthly"/>
    <n v="3.75"/>
    <n v="6498464"/>
    <n v="243692"/>
    <n v="274476.92220052576"/>
    <n v="321216.51067968766"/>
    <x v="282"/>
    <n v="39.43"/>
  </r>
  <r>
    <s v=" 31-08-2021"/>
    <x v="3"/>
    <s v=" Monthly"/>
    <n v="3.91"/>
    <n v="6538489"/>
    <n v="255655"/>
    <n v="252927.47666015773"/>
    <n v="321620.78919848992"/>
    <x v="283"/>
    <n v="39.659999999999997"/>
  </r>
  <r>
    <s v=" 30-09-2021"/>
    <x v="3"/>
    <s v=" Monthly"/>
    <n v="4.38"/>
    <n v="6309784"/>
    <n v="276369"/>
    <n v="254836.74299804732"/>
    <n v="212058.23181044258"/>
    <x v="284"/>
    <n v="38.369999999999997"/>
  </r>
  <r>
    <s v=" 31-10-2021"/>
    <x v="3"/>
    <s v=" Monthly"/>
    <n v="3.1"/>
    <n v="6846724"/>
    <n v="212248"/>
    <n v="269909.32289941417"/>
    <n v="21746.945456469268"/>
    <x v="285"/>
    <n v="41"/>
  </r>
  <r>
    <s v=" 30-11-2021"/>
    <x v="3"/>
    <s v=" Monthly"/>
    <n v="1.84"/>
    <n v="7343137"/>
    <n v="135114"/>
    <n v="229546.39686982421"/>
    <n v="35571.082045570052"/>
    <x v="286"/>
    <n v="43.31"/>
  </r>
  <r>
    <s v=" 31-12-2021"/>
    <x v="3"/>
    <s v=" Monthly"/>
    <n v="2.58"/>
    <n v="6822833"/>
    <n v="176029"/>
    <n v="163443.71906094725"/>
    <n v="65079.294783847159"/>
    <x v="287"/>
    <n v="40.46"/>
  </r>
  <r>
    <s v=" 31-01-2022"/>
    <x v="3"/>
    <s v=" Monthly"/>
    <n v="2.84"/>
    <n v="6105811"/>
    <n v="173405"/>
    <n v="172253.41571828414"/>
    <n v="64292.806838207995"/>
    <x v="288"/>
    <n v="36.22"/>
  </r>
  <r>
    <s v=" 28-02-2022"/>
    <x v="3"/>
    <s v=" Monthly"/>
    <n v="1.73"/>
    <n v="6635456"/>
    <n v="114793"/>
    <n v="173059.52471548523"/>
    <n v="55006.64511751516"/>
    <x v="289"/>
    <n v="38.840000000000003"/>
  </r>
  <r>
    <s v=" 31-03-2022"/>
    <x v="3"/>
    <s v=" Monthly"/>
    <n v="0.33"/>
    <n v="6890976"/>
    <n v="22740"/>
    <n v="132272.95741464556"/>
    <n v="34422.39263954512"/>
    <x v="290"/>
    <n v="39.68"/>
  </r>
  <r>
    <s v=" 30-04-2022"/>
    <x v="3"/>
    <s v=" Monthly"/>
    <n v="0.73"/>
    <n v="6852302"/>
    <n v="50022"/>
    <n v="55599.887224393664"/>
    <n v="71632.820245044801"/>
    <x v="291"/>
    <n v="39.54"/>
  </r>
  <r>
    <s v=" 31-01-2016"/>
    <x v="4"/>
    <s v=" Monthly"/>
    <n v="11.18"/>
    <n v="144325"/>
    <n v="16136"/>
    <n v="51695.36616731809"/>
    <n v="71702.090830293222"/>
    <x v="292"/>
    <n v="42.71"/>
  </r>
  <r>
    <s v=" 29-02-2016"/>
    <x v="4"/>
    <s v=" Monthly"/>
    <n v="11.11"/>
    <n v="139645"/>
    <n v="15515"/>
    <n v="26803.809850195423"/>
    <n v="66565.88242262452"/>
    <x v="293"/>
    <n v="41.12"/>
  </r>
  <r>
    <s v=" 31-03-2016"/>
    <x v="4"/>
    <s v=" Monthly"/>
    <n v="27.27"/>
    <n v="144183"/>
    <n v="39319"/>
    <n v="18901.642955058625"/>
    <n v="21779.337118343232"/>
    <x v="294"/>
    <n v="51.64"/>
  </r>
  <r>
    <s v=" 30-04-2016"/>
    <x v="4"/>
    <s v=" Monthly"/>
    <n v="23.76"/>
    <n v="152488"/>
    <n v="36231"/>
    <n v="33193.792886517585"/>
    <n v="24554.525847291323"/>
    <x v="295"/>
    <n v="51.86"/>
  </r>
  <r>
    <s v=" 31-05-2016"/>
    <x v="4"/>
    <s v=" Monthly"/>
    <n v="11.72"/>
    <n v="142106"/>
    <n v="16655"/>
    <n v="35319.837865955269"/>
    <n v="13583.449777635953"/>
    <x v="296"/>
    <n v="41.55"/>
  </r>
  <r>
    <s v=" 30-06-2016"/>
    <x v="4"/>
    <s v=" Monthly"/>
    <n v="7.23"/>
    <n v="143400"/>
    <n v="10368"/>
    <n v="22254.451359786581"/>
    <n v="16067.246894569951"/>
    <x v="297"/>
    <n v="39.71"/>
  </r>
  <r>
    <s v=" 31-07-2016"/>
    <x v="4"/>
    <s v=" Monthly"/>
    <n v="19.41"/>
    <n v="147909"/>
    <n v="28709"/>
    <n v="13933.935407935973"/>
    <n v="12895.587430605325"/>
    <x v="298"/>
    <n v="46.93"/>
  </r>
  <r>
    <s v=" 31-08-2016"/>
    <x v="4"/>
    <s v=" Monthly"/>
    <n v="21.11"/>
    <n v="136416"/>
    <n v="28797"/>
    <n v="24276.48062238079"/>
    <n v="15361.927311708363"/>
    <x v="299"/>
    <n v="44.01"/>
  </r>
  <r>
    <s v=" 30-09-2016"/>
    <x v="4"/>
    <s v=" Monthly"/>
    <n v="14.17"/>
    <n v="131146"/>
    <n v="18583"/>
    <n v="27440.844186714236"/>
    <n v="11255.004147365846"/>
    <x v="300"/>
    <n v="38.71"/>
  </r>
  <r>
    <s v=" 31-10-2016"/>
    <x v="4"/>
    <s v=" Monthly"/>
    <n v="10.199999999999999"/>
    <n v="143028"/>
    <n v="14589"/>
    <n v="21240.35325601427"/>
    <n v="10282.65583039716"/>
    <x v="301"/>
    <n v="40.159999999999997"/>
  </r>
  <r>
    <s v=" 30-11-2016"/>
    <x v="4"/>
    <s v=" Monthly"/>
    <n v="17.989999999999998"/>
    <n v="152807"/>
    <n v="27490"/>
    <n v="16584.405976804279"/>
    <n v="6907.4114595804404"/>
    <x v="302"/>
    <n v="46.77"/>
  </r>
  <r>
    <s v=" 31-12-2016"/>
    <x v="4"/>
    <s v=" Monthly"/>
    <n v="17.53"/>
    <n v="138138"/>
    <n v="24216"/>
    <n v="24218.321793041283"/>
    <n v="8974.6659133949761"/>
    <x v="303"/>
    <n v="41.85"/>
  </r>
  <r>
    <s v=" 31-01-2017"/>
    <x v="4"/>
    <s v=" Monthly"/>
    <n v="6.15"/>
    <n v="141804"/>
    <n v="8721"/>
    <n v="24216.696537912387"/>
    <n v="7375.0138197786182"/>
    <x v="304"/>
    <n v="37.57"/>
  </r>
  <r>
    <s v=" 28-02-2017"/>
    <x v="4"/>
    <s v=" Monthly"/>
    <n v="10.67"/>
    <n v="125279"/>
    <n v="13367"/>
    <n v="13369.708961373715"/>
    <n v="10939.966447001489"/>
    <x v="305"/>
    <n v="34.72"/>
  </r>
  <r>
    <s v=" 31-03-2017"/>
    <x v="4"/>
    <s v=" Monthly"/>
    <n v="2.54"/>
    <n v="148688"/>
    <n v="3777"/>
    <n v="13367.812688412114"/>
    <n v="8946.4448045814006"/>
    <x v="306"/>
    <n v="37.6"/>
  </r>
  <r>
    <s v=" 30-04-2017"/>
    <x v="4"/>
    <s v=" Monthly"/>
    <n v="13.13"/>
    <n v="128418"/>
    <n v="16861"/>
    <n v="6654.2438065236338"/>
    <n v="10521.411606144688"/>
    <x v="307"/>
    <n v="36.26"/>
  </r>
  <r>
    <s v=" 31-05-2017"/>
    <x v="4"/>
    <s v=" Monthly"/>
    <n v="4.51"/>
    <n v="143693"/>
    <n v="6481"/>
    <n v="13798.973141957089"/>
    <n v="8086.2345451132087"/>
    <x v="308"/>
    <n v="36.74"/>
  </r>
  <r>
    <s v=" 30-06-2017"/>
    <x v="4"/>
    <s v=" Monthly"/>
    <n v="5.3"/>
    <n v="133938"/>
    <n v="7099"/>
    <n v="8676.3919425871263"/>
    <n v="9123.4914903539029"/>
    <x v="309"/>
    <n v="34.369999999999997"/>
  </r>
  <r>
    <s v=" 31-07-2017"/>
    <x v="4"/>
    <s v=" Monthly"/>
    <n v="4.12"/>
    <n v="146744"/>
    <n v="6046"/>
    <n v="7572.2175827761366"/>
    <n v="7307.9584071068775"/>
    <x v="310"/>
    <n v="37.020000000000003"/>
  </r>
  <r>
    <s v=" 31-08-2017"/>
    <x v="4"/>
    <s v=" Monthly"/>
    <n v="15.94"/>
    <n v="138058"/>
    <n v="22006"/>
    <n v="6503.8652748328404"/>
    <n v="4410.9801011007039"/>
    <x v="311"/>
    <n v="39.54"/>
  </r>
  <r>
    <s v=" 30-09-2017"/>
    <x v="4"/>
    <s v=" Monthly"/>
    <n v="3.23"/>
    <n v="152660"/>
    <n v="4931"/>
    <n v="17355.359582449852"/>
    <n v="9039.4263550984851"/>
    <x v="312"/>
    <n v="37.799999999999997"/>
  </r>
  <r>
    <s v=" 31-10-2017"/>
    <x v="4"/>
    <s v=" Monthly"/>
    <n v="4.4000000000000004"/>
    <n v="136457"/>
    <n v="6004"/>
    <n v="8658.3078747349555"/>
    <n v="11503.770862652269"/>
    <x v="313"/>
    <n v="34.049999999999997"/>
  </r>
  <r>
    <s v=" 30-11-2017"/>
    <x v="4"/>
    <s v=" Monthly"/>
    <n v="3.49"/>
    <n v="161595"/>
    <n v="5640"/>
    <n v="6800.2923624204868"/>
    <n v="11571.894721913188"/>
    <x v="314"/>
    <n v="39.76"/>
  </r>
  <r>
    <s v=" 31-12-2017"/>
    <x v="4"/>
    <s v=" Monthly"/>
    <n v="3.82"/>
    <n v="142949"/>
    <n v="5461"/>
    <n v="5988.0877087261451"/>
    <n v="7365.6033854257257"/>
    <x v="315"/>
    <n v="35.119999999999997"/>
  </r>
  <r>
    <s v=" 31-01-2018"/>
    <x v="4"/>
    <s v=" Monthly"/>
    <n v="3.87"/>
    <n v="153021"/>
    <n v="5922"/>
    <n v="5619.1263126178437"/>
    <n v="1699.9460886413906"/>
    <x v="316"/>
    <n v="37.44"/>
  </r>
  <r>
    <s v=" 28-02-2018"/>
    <x v="4"/>
    <s v=" Monthly"/>
    <n v="4.4400000000000004"/>
    <n v="144573"/>
    <n v="6419"/>
    <n v="5831.1378937853524"/>
    <n v="756.26985692717653"/>
    <x v="317"/>
    <n v="35.43"/>
  </r>
  <r>
    <s v=" 31-03-2018"/>
    <x v="4"/>
    <s v=" Monthly"/>
    <n v="4.8899999999999997"/>
    <n v="157209"/>
    <n v="7688"/>
    <n v="6242.6413681356053"/>
    <n v="488.24030255662814"/>
    <x v="318"/>
    <n v="38.53"/>
  </r>
  <r>
    <s v=" 30-04-2018"/>
    <x v="4"/>
    <s v=" Monthly"/>
    <n v="8.23"/>
    <n v="136151"/>
    <n v="11205"/>
    <n v="7254.3924104406815"/>
    <n v="917.67385294495205"/>
    <x v="319"/>
    <n v="34.42"/>
  </r>
  <r>
    <s v=" 31-05-2018"/>
    <x v="4"/>
    <s v=" Monthly"/>
    <n v="4.22"/>
    <n v="155775"/>
    <n v="6574"/>
    <n v="10019.817723132204"/>
    <n v="2452.3419933682253"/>
    <x v="320"/>
    <n v="37.56"/>
  </r>
  <r>
    <s v=" 30-06-2018"/>
    <x v="4"/>
    <s v=" Monthly"/>
    <n v="6.38"/>
    <n v="149248"/>
    <n v="9522"/>
    <n v="7607.7453169396604"/>
    <n v="3139.5340250022568"/>
    <x v="321"/>
    <n v="36.65"/>
  </r>
  <r>
    <s v=" 31-07-2018"/>
    <x v="4"/>
    <s v=" Monthly"/>
    <n v="14.58"/>
    <n v="152907"/>
    <n v="22294"/>
    <n v="8947.7235950818977"/>
    <n v="3222.0765095071915"/>
    <x v="322"/>
    <n v="40.96"/>
  </r>
  <r>
    <s v=" 31-08-2018"/>
    <x v="4"/>
    <s v=" Monthly"/>
    <n v="6.94"/>
    <n v="138141"/>
    <n v="9587"/>
    <n v="18290.11707852457"/>
    <n v="8034.5322338255246"/>
    <x v="323"/>
    <n v="33.799999999999997"/>
  </r>
  <r>
    <s v=" 30-09-2018"/>
    <x v="4"/>
    <s v=" Monthly"/>
    <n v="5.52"/>
    <n v="163295"/>
    <n v="9014"/>
    <n v="12197.93512355737"/>
    <n v="9265.1985362897685"/>
    <x v="324"/>
    <n v="39.18"/>
  </r>
  <r>
    <s v=" 31-10-2018"/>
    <x v="4"/>
    <s v=" Monthly"/>
    <n v="12.57"/>
    <n v="141566"/>
    <n v="17795"/>
    <n v="9969.18053706721"/>
    <n v="9380.9165087071324"/>
    <x v="325"/>
    <n v="36.53"/>
  </r>
  <r>
    <s v=" 30-11-2018"/>
    <x v="4"/>
    <s v=" Monthly"/>
    <n v="11.44"/>
    <n v="157215"/>
    <n v="17985"/>
    <n v="15447.254161120163"/>
    <n v="7002.9788904424095"/>
    <x v="326"/>
    <n v="39.86"/>
  </r>
  <r>
    <s v=" 31-12-2018"/>
    <x v="4"/>
    <s v=" Monthly"/>
    <n v="9.15"/>
    <n v="137901"/>
    <n v="12618"/>
    <n v="17223.676248336051"/>
    <n v="5093.1668956289495"/>
    <x v="327"/>
    <n v="33.92"/>
  </r>
  <r>
    <s v=" 31-01-2019"/>
    <x v="4"/>
    <s v=" Monthly"/>
    <n v="9.44"/>
    <n v="163568"/>
    <n v="15441"/>
    <n v="13999.702874500814"/>
    <n v="5443.5239172695356"/>
    <x v="328"/>
    <n v="40.18"/>
  </r>
  <r>
    <s v=" 28-02-2019"/>
    <x v="4"/>
    <s v=" Monthly"/>
    <n v="8.33"/>
    <n v="153787"/>
    <n v="12810"/>
    <n v="15008.610862350244"/>
    <n v="3148.0017498518528"/>
    <x v="329"/>
    <n v="37.159999999999997"/>
  </r>
  <r>
    <s v=" 31-03-2019"/>
    <x v="4"/>
    <s v=" Monthly"/>
    <n v="10.130000000000001"/>
    <n v="164083"/>
    <n v="16622"/>
    <n v="13469.583258705072"/>
    <n v="3061.7794843578322"/>
    <x v="330"/>
    <n v="40.25"/>
  </r>
  <r>
    <s v=" 30-04-2019"/>
    <x v="4"/>
    <s v=" Monthly"/>
    <n v="9.74"/>
    <n v="141714"/>
    <n v="13803"/>
    <n v="15676.274977611522"/>
    <n v="2369.8775241780768"/>
    <x v="331"/>
    <n v="34.450000000000003"/>
  </r>
  <r>
    <s v=" 31-05-2019"/>
    <x v="4"/>
    <s v=" Monthly"/>
    <n v="12.56"/>
    <n v="169487"/>
    <n v="21288"/>
    <n v="14364.982493283454"/>
    <n v="2468.5204864848679"/>
    <x v="332"/>
    <n v="42.33"/>
  </r>
  <r>
    <s v=" 30-06-2019"/>
    <x v="4"/>
    <s v=" Monthly"/>
    <n v="9.33"/>
    <n v="149076"/>
    <n v="13909"/>
    <n v="19211.094747985037"/>
    <n v="4523.0911941151398"/>
    <x v="333"/>
    <n v="35.74"/>
  </r>
  <r>
    <s v=" 31-07-2019"/>
    <x v="4"/>
    <s v=" Monthly"/>
    <n v="11.07"/>
    <n v="166605"/>
    <n v="18443"/>
    <n v="15499.628424395509"/>
    <n v="5149.4187133649602"/>
    <x v="334"/>
    <n v="40.53"/>
  </r>
  <r>
    <s v=" 31-08-2019"/>
    <x v="4"/>
    <s v=" Monthly"/>
    <n v="17.18"/>
    <n v="135407"/>
    <n v="23263"/>
    <n v="17559.988527318652"/>
    <n v="5313.6245114796093"/>
    <x v="335"/>
    <n v="35.21"/>
  </r>
  <r>
    <s v=" 30-09-2019"/>
    <x v="4"/>
    <s v=" Monthly"/>
    <n v="12.5"/>
    <n v="166056"/>
    <n v="20757"/>
    <n v="21552.096558195593"/>
    <n v="4806.2454094029936"/>
    <x v="336"/>
    <n v="40.68"/>
  </r>
  <r>
    <s v=" 31-10-2019"/>
    <x v="4"/>
    <s v=" Monthly"/>
    <n v="15.84"/>
    <n v="149511"/>
    <n v="23683"/>
    <n v="20995.528967458678"/>
    <n v="3733.6289150756097"/>
    <x v="337"/>
    <n v="37.9"/>
  </r>
  <r>
    <s v=" 30-11-2019"/>
    <x v="4"/>
    <s v=" Monthly"/>
    <n v="11.11"/>
    <n v="178768"/>
    <n v="19861"/>
    <n v="22876.758690237602"/>
    <n v="3668.7426976707916"/>
    <x v="338"/>
    <n v="42.71"/>
  </r>
  <r>
    <s v=" 31-12-2019"/>
    <x v="4"/>
    <s v=" Monthly"/>
    <n v="16.97"/>
    <n v="145671"/>
    <n v="24720"/>
    <n v="20765.72760707128"/>
    <n v="2376.9363731034687"/>
    <x v="339"/>
    <n v="37.08"/>
  </r>
  <r>
    <s v=" 31-01-2020"/>
    <x v="4"/>
    <s v=" Monthly"/>
    <n v="13.48"/>
    <n v="157791"/>
    <n v="21270"/>
    <n v="23533.718282121383"/>
    <n v="3263.6161531839989"/>
    <x v="340"/>
    <n v="38.36"/>
  </r>
  <r>
    <s v=" 29-02-2020"/>
    <x v="4"/>
    <s v=" Monthly"/>
    <n v="13.81"/>
    <n v="147500"/>
    <n v="20370"/>
    <n v="21949.115484636412"/>
    <n v="3154.652178187659"/>
    <x v="341"/>
    <n v="35.840000000000003"/>
  </r>
  <r>
    <s v=" 31-03-2020"/>
    <x v="4"/>
    <s v=" Monthly"/>
    <n v="15.18"/>
    <n v="152413"/>
    <n v="23136"/>
    <n v="20843.734645390923"/>
    <n v="2784.1393842087782"/>
    <x v="342"/>
    <n v="37.450000000000003"/>
  </r>
  <r>
    <s v=" 30-04-2020"/>
    <x v="4"/>
    <s v=" Monthly"/>
    <n v="20.69"/>
    <n v="115487"/>
    <n v="23894"/>
    <n v="22448.320393617276"/>
    <n v="2071.43321000784"/>
    <x v="343"/>
    <n v="30.21"/>
  </r>
  <r>
    <s v=" 31-05-2020"/>
    <x v="4"/>
    <s v=" Monthly"/>
    <n v="22.76"/>
    <n v="129610"/>
    <n v="29499"/>
    <n v="23460.296118085182"/>
    <n v="1810.8999322685277"/>
    <x v="344"/>
    <n v="34.65"/>
  </r>
  <r>
    <s v=" 30-06-2020"/>
    <x v="4"/>
    <s v=" Monthly"/>
    <n v="21.14"/>
    <n v="112108"/>
    <n v="23700"/>
    <n v="27687.388835425554"/>
    <n v="3821.4488767876633"/>
    <x v="345"/>
    <n v="29.22"/>
  </r>
  <r>
    <s v=" 31-07-2020"/>
    <x v="4"/>
    <s v=" Monthly"/>
    <n v="16.2"/>
    <n v="142944"/>
    <n v="23157"/>
    <n v="24896.216650627666"/>
    <n v="4260.485254938314"/>
    <x v="346"/>
    <n v="34.89"/>
  </r>
  <r>
    <s v=" 31-08-2020"/>
    <x v="4"/>
    <s v=" Monthly"/>
    <n v="20"/>
    <n v="121757"/>
    <n v="24351"/>
    <n v="23678.7649951883"/>
    <n v="4296.9015525201403"/>
    <x v="347"/>
    <n v="30.98"/>
  </r>
  <r>
    <s v=" 30-09-2020"/>
    <x v="4"/>
    <s v=" Monthly"/>
    <n v="8.6999999999999993"/>
    <n v="144510"/>
    <n v="12572"/>
    <n v="24149.32949855649"/>
    <n v="2541.3935930502817"/>
    <x v="348"/>
    <n v="32.07"/>
  </r>
  <r>
    <s v=" 31-10-2020"/>
    <x v="4"/>
    <s v=" Monthly"/>
    <n v="9.14"/>
    <n v="132505"/>
    <n v="12111"/>
    <n v="16045.198849566947"/>
    <n v="6770.3109918147029"/>
    <x v="349"/>
    <n v="29.41"/>
  </r>
  <r>
    <s v=" 30-11-2020"/>
    <x v="4"/>
    <s v=" Monthly"/>
    <n v="7.07"/>
    <n v="154829"/>
    <n v="10946"/>
    <n v="13291.259654870082"/>
    <n v="7070.2281624611032"/>
    <x v="350"/>
    <n v="33.450000000000003"/>
  </r>
  <r>
    <s v=" 31-12-2020"/>
    <x v="4"/>
    <s v=" Monthly"/>
    <n v="9.93"/>
    <n v="138922"/>
    <n v="13795"/>
    <n v="11649.577896461025"/>
    <n v="7188.2478568573188"/>
    <x v="351"/>
    <n v="30.82"/>
  </r>
  <r>
    <s v=" 31-01-2021"/>
    <x v="4"/>
    <s v=" Monthly"/>
    <n v="10.32"/>
    <n v="143249"/>
    <n v="14783"/>
    <n v="13151.373368938308"/>
    <n v="2920.1027059020157"/>
    <x v="352"/>
    <n v="31.76"/>
  </r>
  <r>
    <s v=" 28-02-2021"/>
    <x v="4"/>
    <s v=" Monthly"/>
    <n v="7.18"/>
    <n v="140722"/>
    <n v="10104"/>
    <n v="14293.51201068149"/>
    <n v="2062.7881062859769"/>
    <x v="353"/>
    <n v="30.02"/>
  </r>
  <r>
    <s v=" 31-03-2021"/>
    <x v="4"/>
    <s v=" Monthly"/>
    <n v="10.95"/>
    <n v="153814"/>
    <n v="16843"/>
    <n v="11360.853603204447"/>
    <n v="2876.1694637826768"/>
    <x v="354"/>
    <n v="34.04"/>
  </r>
  <r>
    <s v=" 30-04-2021"/>
    <x v="4"/>
    <s v=" Monthly"/>
    <n v="14.18"/>
    <n v="132057"/>
    <n v="18726"/>
    <n v="15198.356080961332"/>
    <n v="4093.4152597691436"/>
    <x v="355"/>
    <n v="30.18"/>
  </r>
  <r>
    <s v=" 31-05-2021"/>
    <x v="4"/>
    <s v=" Monthly"/>
    <n v="22.22"/>
    <n v="118925"/>
    <n v="26425"/>
    <n v="17667.706824288398"/>
    <n v="4474.0068403715186"/>
    <x v="356"/>
    <n v="29.85"/>
  </r>
  <r>
    <s v=" 30-06-2021"/>
    <x v="4"/>
    <s v=" Monthly"/>
    <n v="21.31"/>
    <n v="113061"/>
    <n v="24093"/>
    <n v="23797.812047286519"/>
    <n v="6303.131087028466"/>
    <x v="357"/>
    <n v="27.92"/>
  </r>
  <r>
    <s v=" 31-07-2021"/>
    <x v="4"/>
    <s v=" Monthly"/>
    <n v="9.91"/>
    <n v="162721"/>
    <n v="16126"/>
    <n v="24004.443614185955"/>
    <n v="5453.4879148523733"/>
    <x v="358"/>
    <n v="34.93"/>
  </r>
  <r>
    <s v=" 31-08-2021"/>
    <x v="4"/>
    <s v=" Monthly"/>
    <n v="11.18"/>
    <n v="136472"/>
    <n v="15258"/>
    <n v="18489.533084255785"/>
    <n v="6803.1167728402161"/>
    <x v="359"/>
    <n v="29.57"/>
  </r>
  <r>
    <s v=" 30-09-2021"/>
    <x v="4"/>
    <s v=" Monthly"/>
    <n v="10"/>
    <n v="161349"/>
    <n v="16135"/>
    <n v="16227.459925276733"/>
    <n v="4919.3433092901851"/>
    <x v="360"/>
    <n v="34.340000000000003"/>
  </r>
  <r>
    <s v=" 31-10-2021"/>
    <x v="4"/>
    <s v=" Monthly"/>
    <n v="6.18"/>
    <n v="158683"/>
    <n v="9807"/>
    <n v="16162.73797758302"/>
    <n v="4916.6800687160621"/>
    <x v="361"/>
    <n v="32.25"/>
  </r>
  <r>
    <s v=" 30-11-2021"/>
    <x v="4"/>
    <s v=" Monthly"/>
    <n v="11.63"/>
    <n v="160963"/>
    <n v="18720"/>
    <n v="11713.721393274905"/>
    <n v="4116.9066118512246"/>
    <x v="362"/>
    <n v="34.57"/>
  </r>
  <r>
    <s v=" 31-12-2021"/>
    <x v="4"/>
    <s v=" Monthly"/>
    <n v="9.6999999999999993"/>
    <n v="138370"/>
    <n v="13422"/>
    <n v="16618.11641798247"/>
    <n v="5461.7425178089761"/>
    <x v="363"/>
    <n v="28.94"/>
  </r>
  <r>
    <s v=" 31-01-2022"/>
    <x v="4"/>
    <s v=" Monthly"/>
    <n v="9.77"/>
    <n v="159398"/>
    <n v="15573"/>
    <n v="14380.834925394742"/>
    <n v="5764.7927199522082"/>
    <x v="364"/>
    <n v="33.21"/>
  </r>
  <r>
    <s v=" 28-02-2022"/>
    <x v="4"/>
    <s v=" Monthly"/>
    <n v="5.7"/>
    <n v="160204"/>
    <n v="9132"/>
    <n v="15215.35047761842"/>
    <n v="4499.0501826296404"/>
    <x v="365"/>
    <n v="31.8"/>
  </r>
  <r>
    <s v=" 31-03-2022"/>
    <x v="4"/>
    <s v=" Monthly"/>
    <n v="10.1"/>
    <n v="163915"/>
    <n v="16555"/>
    <n v="10957.005143285525"/>
    <n v="4026.7261621961957"/>
    <x v="366"/>
    <n v="33.96"/>
  </r>
  <r>
    <s v=" 30-04-2022"/>
    <x v="4"/>
    <s v=" Monthly"/>
    <n v="9.4"/>
    <n v="143616"/>
    <n v="13500"/>
    <n v="14875.601542985658"/>
    <n v="4822.3769040605739"/>
    <x v="367"/>
    <n v="29.39"/>
  </r>
  <r>
    <s v=" 31-01-2016"/>
    <x v="5"/>
    <s v=" Monthly"/>
    <n v="12.29"/>
    <n v="196982"/>
    <n v="24209"/>
    <n v="13912.680462895696"/>
    <n v="4838.6285610148698"/>
    <x v="368"/>
    <n v="49.31"/>
  </r>
  <r>
    <s v=" 29-02-2016"/>
    <x v="5"/>
    <s v=" Monthly"/>
    <n v="5.4"/>
    <n v="211252"/>
    <n v="11408"/>
    <n v="21120.104138868708"/>
    <n v="6812.8315706716739"/>
    <x v="369"/>
    <n v="48.99"/>
  </r>
  <r>
    <s v=" 31-03-2016"/>
    <x v="5"/>
    <s v=" Monthly"/>
    <n v="7.26"/>
    <n v="230237"/>
    <n v="16715"/>
    <n v="14321.631241660612"/>
    <n v="8210.38859046779"/>
    <x v="370"/>
    <n v="54.42"/>
  </r>
  <r>
    <s v=" 31-05-2016"/>
    <x v="5"/>
    <s v=" Monthly"/>
    <n v="14.58"/>
    <n v="200947"/>
    <n v="29298"/>
    <n v="15996.989372498185"/>
    <n v="8287.890299060462"/>
    <x v="371"/>
    <n v="51.47"/>
  </r>
  <r>
    <s v=" 30-06-2016"/>
    <x v="5"/>
    <s v=" Monthly"/>
    <n v="7.8"/>
    <n v="213994"/>
    <n v="16692"/>
    <n v="25307.696811749454"/>
    <n v="9608.504297939091"/>
    <x v="372"/>
    <n v="50.74"/>
  </r>
  <r>
    <s v=" 31-07-2016"/>
    <x v="5"/>
    <s v=" Monthly"/>
    <n v="4.2699999999999996"/>
    <n v="221852"/>
    <n v="9473"/>
    <n v="19276.709043524836"/>
    <n v="9253.3836924356292"/>
    <x v="373"/>
    <n v="50.62"/>
  </r>
  <r>
    <s v=" 31-08-2016"/>
    <x v="5"/>
    <s v=" Monthly"/>
    <n v="12.5"/>
    <n v="227317"/>
    <n v="28415"/>
    <n v="12414.11271305745"/>
    <n v="10758.869616507065"/>
    <x v="374"/>
    <n v="56.69"/>
  </r>
  <r>
    <s v=" 30-09-2016"/>
    <x v="5"/>
    <s v=" Monthly"/>
    <n v="11.36"/>
    <n v="228587"/>
    <n v="25967"/>
    <n v="23614.733813917235"/>
    <n v="11921.567801419411"/>
    <x v="375"/>
    <n v="56.23"/>
  </r>
  <r>
    <s v=" 31-10-2016"/>
    <x v="5"/>
    <s v=" Monthly"/>
    <n v="8.7799999999999994"/>
    <n v="213007"/>
    <n v="18702"/>
    <n v="25261.320144175166"/>
    <n v="10919.00882543403"/>
    <x v="376"/>
    <n v="50.87"/>
  </r>
  <r>
    <s v=" 30-11-2016"/>
    <x v="5"/>
    <s v=" Monthly"/>
    <n v="18.18"/>
    <n v="213420"/>
    <n v="38800"/>
    <n v="20669.796043252551"/>
    <n v="10076.147261948392"/>
    <x v="377"/>
    <n v="56.77"/>
  </r>
  <r>
    <s v=" 31-12-2016"/>
    <x v="5"/>
    <s v=" Monthly"/>
    <n v="7.81"/>
    <n v="233892"/>
    <n v="18267"/>
    <n v="33360.938812975764"/>
    <n v="11214.011064693896"/>
    <x v="378"/>
    <n v="55.17"/>
  </r>
  <r>
    <s v=" 31-01-2017"/>
    <x v="5"/>
    <s v=" Monthly"/>
    <n v="8.02"/>
    <n v="225591"/>
    <n v="18092"/>
    <n v="22795.181643892727"/>
    <n v="14136.901654380747"/>
    <x v="379"/>
    <n v="53.29"/>
  </r>
  <r>
    <s v=" 28-02-2017"/>
    <x v="5"/>
    <s v=" Monthly"/>
    <n v="8.7899999999999991"/>
    <n v="213591"/>
    <n v="18775"/>
    <n v="19502.954493167817"/>
    <n v="13888.258853897256"/>
    <x v="380"/>
    <n v="50.84"/>
  </r>
  <r>
    <s v=" 31-03-2017"/>
    <x v="5"/>
    <s v=" Monthly"/>
    <n v="16.11"/>
    <n v="207306"/>
    <n v="33397"/>
    <n v="18993.386347950345"/>
    <n v="9137.4107238580618"/>
    <x v="381"/>
    <n v="53.6"/>
  </r>
  <r>
    <s v=" 30-04-2017"/>
    <x v="5"/>
    <s v=" Monthly"/>
    <n v="5.76"/>
    <n v="232012"/>
    <n v="13364"/>
    <n v="29075.915904385103"/>
    <n v="8758.1185490393982"/>
    <x v="382"/>
    <n v="53.35"/>
  </r>
  <r>
    <s v=" 31-05-2017"/>
    <x v="5"/>
    <s v=" Monthly"/>
    <n v="8.4"/>
    <n v="232870"/>
    <n v="19561"/>
    <n v="18077.574771315529"/>
    <n v="12313.384389464227"/>
    <x v="383"/>
    <n v="55.04"/>
  </r>
  <r>
    <s v=" 30-06-2017"/>
    <x v="5"/>
    <s v=" Monthly"/>
    <n v="7.49"/>
    <n v="214974"/>
    <n v="16102"/>
    <n v="19115.972431394657"/>
    <n v="12335.976356887717"/>
    <x v="384"/>
    <n v="50.27"/>
  </r>
  <r>
    <s v=" 31-07-2017"/>
    <x v="5"/>
    <s v=" Monthly"/>
    <n v="4.42"/>
    <n v="212631"/>
    <n v="9398"/>
    <n v="17006.191729418395"/>
    <n v="9276.2938291247574"/>
    <x v="385"/>
    <n v="48.09"/>
  </r>
  <r>
    <s v=" 31-08-2017"/>
    <x v="5"/>
    <s v=" Monthly"/>
    <n v="9.16"/>
    <n v="230573"/>
    <n v="21120"/>
    <n v="11680.457518825518"/>
    <n v="4801.7066972030916"/>
    <x v="386"/>
    <n v="54.81"/>
  </r>
  <r>
    <s v=" 30-09-2017"/>
    <x v="5"/>
    <s v=" Monthly"/>
    <n v="2.44"/>
    <n v="218109"/>
    <n v="5322"/>
    <n v="18288.137255647653"/>
    <n v="7212.8028177377109"/>
    <x v="387"/>
    <n v="48.24"/>
  </r>
  <r>
    <s v=" 31-10-2017"/>
    <x v="5"/>
    <s v=" Monthly"/>
    <n v="8.77"/>
    <n v="202711"/>
    <n v="17778"/>
    <n v="9211.8411766942954"/>
    <n v="10248.743971462751"/>
    <x v="388"/>
    <n v="47.9"/>
  </r>
  <r>
    <s v=" 30-11-2017"/>
    <x v="5"/>
    <s v=" Monthly"/>
    <n v="2.63"/>
    <n v="215636"/>
    <n v="5671"/>
    <n v="15208.152353008287"/>
    <n v="10497.694263857658"/>
    <x v="389"/>
    <n v="47.7"/>
  </r>
  <r>
    <s v=" 31-12-2017"/>
    <x v="5"/>
    <s v=" Monthly"/>
    <n v="5.71"/>
    <n v="227529"/>
    <n v="12992"/>
    <n v="8532.145705902487"/>
    <n v="10527.061434273159"/>
    <x v="390"/>
    <n v="51.93"/>
  </r>
  <r>
    <s v=" 31-01-2018"/>
    <x v="5"/>
    <s v=" Monthly"/>
    <n v="10"/>
    <n v="195755"/>
    <n v="19576"/>
    <n v="11654.043711770746"/>
    <n v="7836.3820800836756"/>
    <x v="391"/>
    <n v="46.76"/>
  </r>
  <r>
    <s v=" 28-02-2018"/>
    <x v="5"/>
    <s v=" Monthly"/>
    <n v="5.75"/>
    <n v="199849"/>
    <n v="11491"/>
    <n v="17199.413113531224"/>
    <n v="7607.1231259849819"/>
    <x v="392"/>
    <n v="45.55"/>
  </r>
  <r>
    <s v=" 31-03-2018"/>
    <x v="5"/>
    <s v=" Monthly"/>
    <n v="4"/>
    <n v="209009"/>
    <n v="8360"/>
    <n v="13203.523934059367"/>
    <n v="6197.6789212287713"/>
    <x v="393"/>
    <n v="46.73"/>
  </r>
  <r>
    <s v=" 30-04-2018"/>
    <x v="5"/>
    <s v=" Monthly"/>
    <n v="6.88"/>
    <n v="221279"/>
    <n v="15224"/>
    <n v="9813.0571802178092"/>
    <n v="6292.935081161947"/>
    <x v="394"/>
    <n v="50.96"/>
  </r>
  <r>
    <s v=" 31-05-2018"/>
    <x v="5"/>
    <s v=" Monthly"/>
    <n v="5.47"/>
    <n v="200979"/>
    <n v="10994"/>
    <n v="13600.717154065342"/>
    <n v="5333.0418641238766"/>
    <x v="395"/>
    <n v="45.55"/>
  </r>
  <r>
    <s v=" 30-06-2018"/>
    <x v="5"/>
    <s v=" Monthly"/>
    <n v="7.58"/>
    <n v="202815"/>
    <n v="15373"/>
    <n v="11776.015146219601"/>
    <n v="4454.6979179310201"/>
    <x v="396"/>
    <n v="46.98"/>
  </r>
  <r>
    <s v=" 31-07-2018"/>
    <x v="5"/>
    <s v=" Monthly"/>
    <n v="5.17"/>
    <n v="204092"/>
    <n v="10552"/>
    <n v="14293.90454386588"/>
    <n v="4041.9292653622956"/>
    <x v="397"/>
    <n v="46.03"/>
  </r>
  <r>
    <s v=" 31-08-2018"/>
    <x v="5"/>
    <s v=" Monthly"/>
    <n v="6.25"/>
    <n v="210397"/>
    <n v="13150"/>
    <n v="11674.571363159765"/>
    <n v="3353.3626891538902"/>
    <x v="398"/>
    <n v="47.96"/>
  </r>
  <r>
    <s v=" 30-09-2018"/>
    <x v="5"/>
    <s v=" Monthly"/>
    <n v="5.79"/>
    <n v="203023"/>
    <n v="11755"/>
    <n v="12707.371408947929"/>
    <n v="3115.3939994880234"/>
    <x v="399"/>
    <n v="46.01"/>
  </r>
  <r>
    <s v=" 31-10-2018"/>
    <x v="5"/>
    <s v=" Monthly"/>
    <n v="1.05"/>
    <n v="198499"/>
    <n v="2084"/>
    <n v="12040.711422684379"/>
    <n v="2386.4723322925697"/>
    <x v="400"/>
    <n v="42.79"/>
  </r>
  <r>
    <s v=" 30-11-2018"/>
    <x v="5"/>
    <s v=" Monthly"/>
    <n v="1.77"/>
    <n v="205855"/>
    <n v="3644"/>
    <n v="5071.0134268053134"/>
    <n v="5837.2368839375613"/>
    <x v="401"/>
    <n v="44.66"/>
  </r>
  <r>
    <s v=" 31-12-2018"/>
    <x v="5"/>
    <s v=" Monthly"/>
    <n v="7.22"/>
    <n v="212538"/>
    <n v="15345"/>
    <n v="4072.1040280415937"/>
    <n v="5833.2232649275966"/>
    <x v="402"/>
    <n v="48.78"/>
  </r>
  <r>
    <s v=" 31-01-2019"/>
    <x v="5"/>
    <s v=" Monthly"/>
    <n v="4.46"/>
    <n v="181567"/>
    <n v="8098"/>
    <n v="11963.131208412478"/>
    <n v="8722.5885544275643"/>
    <x v="403"/>
    <n v="40.43"/>
  </r>
  <r>
    <s v=" 28-02-2019"/>
    <x v="5"/>
    <s v=" Monthly"/>
    <n v="6.25"/>
    <n v="193322"/>
    <n v="12083"/>
    <n v="9257.539362523743"/>
    <n v="6929.4970999133548"/>
    <x v="404"/>
    <n v="43.84"/>
  </r>
  <r>
    <s v=" 31-03-2019"/>
    <x v="5"/>
    <s v=" Monthly"/>
    <n v="8.74"/>
    <n v="179185"/>
    <n v="15661"/>
    <n v="11235.361808757123"/>
    <n v="7071.0831482116391"/>
    <x v="405"/>
    <n v="41.7"/>
  </r>
  <r>
    <s v=" 30-04-2019"/>
    <x v="5"/>
    <s v=" Monthly"/>
    <n v="7.25"/>
    <n v="201737"/>
    <n v="14626"/>
    <n v="14333.308542627135"/>
    <n v="3764.2502782519377"/>
    <x v="406"/>
    <n v="46.15"/>
  </r>
  <r>
    <s v=" 31-05-2019"/>
    <x v="5"/>
    <s v=" Monthly"/>
    <n v="2.91"/>
    <n v="179340"/>
    <n v="5219"/>
    <n v="14538.192562788139"/>
    <n v="3036.1801386464931"/>
    <x v="407"/>
    <n v="39.159999999999997"/>
  </r>
  <r>
    <s v=" 30-06-2019"/>
    <x v="5"/>
    <s v=" Monthly"/>
    <n v="5.45"/>
    <n v="170471"/>
    <n v="9291"/>
    <n v="8014.7577688364418"/>
    <n v="5958.7272609546508"/>
    <x v="408"/>
    <n v="38.19"/>
  </r>
  <r>
    <s v=" 31-07-2019"/>
    <x v="5"/>
    <s v=" Monthly"/>
    <n v="10.98"/>
    <n v="167437"/>
    <n v="18385"/>
    <n v="8908.127330650932"/>
    <n v="5433.2866831581223"/>
    <x v="409"/>
    <n v="39.81"/>
  </r>
  <r>
    <s v=" 31-08-2019"/>
    <x v="5"/>
    <s v=" Monthly"/>
    <n v="1.98"/>
    <n v="183603"/>
    <n v="3635"/>
    <n v="15541.93819919528"/>
    <n v="7709.0263078633225"/>
    <x v="410"/>
    <n v="39.61"/>
  </r>
  <r>
    <s v=" 30-09-2019"/>
    <x v="5"/>
    <s v=" Monthly"/>
    <n v="3.41"/>
    <n v="162885"/>
    <n v="5554"/>
    <n v="7207.0814597585841"/>
    <n v="8816.9361099933958"/>
    <x v="411"/>
    <n v="35.630000000000003"/>
  </r>
  <r>
    <s v=" 31-10-2019"/>
    <x v="5"/>
    <s v=" Monthly"/>
    <n v="7.21"/>
    <n v="177440"/>
    <n v="12793"/>
    <n v="6049.9244379275751"/>
    <n v="8837.7782121810942"/>
    <x v="412"/>
    <n v="40.36"/>
  </r>
  <r>
    <s v=" 30-11-2019"/>
    <x v="5"/>
    <s v=" Monthly"/>
    <n v="23.71"/>
    <n v="159489"/>
    <n v="37815"/>
    <n v="10770.07733137827"/>
    <n v="7957.7409614343778"/>
    <x v="413"/>
    <n v="44.09"/>
  </r>
  <r>
    <s v=" 31-12-2019"/>
    <x v="5"/>
    <s v=" Monthly"/>
    <n v="3.54"/>
    <n v="177155"/>
    <n v="6271"/>
    <n v="29701.523199413481"/>
    <n v="16120.68638427187"/>
    <x v="414"/>
    <n v="38.700000000000003"/>
  </r>
  <r>
    <s v=" 31-01-2020"/>
    <x v="5"/>
    <s v=" Monthly"/>
    <n v="5.38"/>
    <n v="158936"/>
    <n v="8551"/>
    <n v="13300.156959824042"/>
    <n v="21022.894881420754"/>
    <x v="415"/>
    <n v="35.36"/>
  </r>
  <r>
    <s v=" 29-02-2020"/>
    <x v="5"/>
    <s v=" Monthly"/>
    <n v="0"/>
    <n v="171672"/>
    <n v="0"/>
    <n v="9975.747087947213"/>
    <n v="20840.439465768053"/>
    <x v="416"/>
    <n v="36.11"/>
  </r>
  <r>
    <s v=" 30-04-2020"/>
    <x v="5"/>
    <s v=" Monthly"/>
    <n v="15.91"/>
    <n v="181657"/>
    <n v="28902"/>
    <n v="2992.7241263841638"/>
    <n v="14956.151902477965"/>
    <x v="417"/>
    <n v="45.36"/>
  </r>
  <r>
    <s v=" 31-05-2020"/>
    <x v="5"/>
    <s v=" Monthly"/>
    <n v="20"/>
    <n v="128538"/>
    <n v="25708"/>
    <n v="21129.217237915247"/>
    <n v="16262.027324279756"/>
    <x v="418"/>
    <n v="33.71"/>
  </r>
  <r>
    <s v=" 31-07-2020"/>
    <x v="5"/>
    <s v=" Monthly"/>
    <n v="16.36"/>
    <n v="177137"/>
    <n v="28980"/>
    <n v="24334.365171374571"/>
    <n v="16245.731314617013"/>
    <x v="419"/>
    <n v="44.35"/>
  </r>
  <r>
    <s v=" 30-09-2020"/>
    <x v="5"/>
    <s v=" Monthly"/>
    <n v="1.52"/>
    <n v="156241"/>
    <n v="2375"/>
    <n v="27586.309551412371"/>
    <n v="15425.495679106865"/>
    <x v="420"/>
    <n v="33.17"/>
  </r>
  <r>
    <s v=" 31-10-2020"/>
    <x v="5"/>
    <s v=" Monthly"/>
    <n v="18"/>
    <n v="145403"/>
    <n v="26173"/>
    <n v="9938.3928654237116"/>
    <n v="15035.040226533469"/>
    <x v="421"/>
    <n v="37.04"/>
  </r>
  <r>
    <s v=" 30-11-2020"/>
    <x v="5"/>
    <s v=" Monthly"/>
    <n v="14.29"/>
    <n v="153337"/>
    <n v="21912"/>
    <n v="21302.617859627113"/>
    <n v="17519.080275251417"/>
    <x v="422"/>
    <n v="37.33"/>
  </r>
  <r>
    <s v=" 31-12-2020"/>
    <x v="5"/>
    <s v=" Monthly"/>
    <n v="17.920000000000002"/>
    <n v="150093"/>
    <n v="26897"/>
    <n v="21729.185357888135"/>
    <n v="17316.119125487072"/>
    <x v="423"/>
    <n v="38.130000000000003"/>
  </r>
  <r>
    <s v=" 31-01-2021"/>
    <x v="5"/>
    <s v=" Monthly"/>
    <n v="8.6999999999999993"/>
    <n v="162592"/>
    <n v="14146"/>
    <n v="25346.65560736644"/>
    <n v="9842.7659320990078"/>
    <x v="424"/>
    <n v="37.1"/>
  </r>
  <r>
    <s v=" 28-02-2021"/>
    <x v="5"/>
    <s v=" Monthly"/>
    <n v="21.67"/>
    <n v="151542"/>
    <n v="32839"/>
    <n v="17506.196682209931"/>
    <n v="7130.5058446803168"/>
    <x v="425"/>
    <n v="40.270000000000003"/>
  </r>
  <r>
    <s v=" 31-03-2021"/>
    <x v="5"/>
    <s v=" Monthly"/>
    <n v="31.82"/>
    <n v="140054"/>
    <n v="44565"/>
    <n v="28239.159004662979"/>
    <n v="11361.570486983584"/>
    <x v="426"/>
    <n v="42.72"/>
  </r>
  <r>
    <s v=" 30-04-2021"/>
    <x v="5"/>
    <s v=" Monthly"/>
    <n v="15"/>
    <n v="138670"/>
    <n v="20801"/>
    <n v="39667.24770139889"/>
    <n v="14457.784844411566"/>
    <x v="427"/>
    <n v="33.9"/>
  </r>
  <r>
    <s v=" 31-05-2021"/>
    <x v="5"/>
    <s v=" Monthly"/>
    <n v="16.07"/>
    <n v="159434"/>
    <n v="25621"/>
    <n v="26460.874310419666"/>
    <n v="16907.229657926418"/>
    <x v="428"/>
    <n v="39.44"/>
  </r>
  <r>
    <s v=" 30-06-2021"/>
    <x v="5"/>
    <s v=" Monthly"/>
    <n v="21.43"/>
    <n v="131485"/>
    <n v="28177"/>
    <n v="25872.962293125896"/>
    <n v="14412.653877673707"/>
    <x v="429"/>
    <n v="34.71"/>
  </r>
  <r>
    <s v=" 31-07-2021"/>
    <x v="5"/>
    <s v=" Monthly"/>
    <n v="25.37"/>
    <n v="138661"/>
    <n v="35178"/>
    <n v="27485.788687937766"/>
    <n v="10984.068477307479"/>
    <x v="430"/>
    <n v="38.51"/>
  </r>
  <r>
    <s v=" 31-08-2021"/>
    <x v="5"/>
    <s v=" Monthly"/>
    <n v="12.5"/>
    <n v="164250"/>
    <n v="20531"/>
    <n v="32870.33660638133"/>
    <n v="4661.3336246693316"/>
    <x v="431"/>
    <n v="38.869999999999997"/>
  </r>
  <r>
    <s v=" 30-09-2021"/>
    <x v="5"/>
    <s v=" Monthly"/>
    <n v="18.309999999999999"/>
    <n v="148342"/>
    <n v="27161"/>
    <n v="24232.800981914399"/>
    <n v="8499.763379249609"/>
    <x v="432"/>
    <n v="37.57"/>
  </r>
  <r>
    <s v=" 31-10-2021"/>
    <x v="5"/>
    <s v=" Monthly"/>
    <n v="11.11"/>
    <n v="143355"/>
    <n v="15927"/>
    <n v="26282.540294574315"/>
    <n v="8563.56024568672"/>
    <x v="433"/>
    <n v="33.33"/>
  </r>
  <r>
    <s v=" 30-11-2021"/>
    <x v="5"/>
    <s v=" Monthly"/>
    <n v="14.29"/>
    <n v="142598"/>
    <n v="20377"/>
    <n v="19033.662088372294"/>
    <n v="9452.8794937072325"/>
    <x v="434"/>
    <n v="34.36"/>
  </r>
  <r>
    <s v=" 31-01-2022"/>
    <x v="5"/>
    <s v=" Monthly"/>
    <n v="14.71"/>
    <n v="147309"/>
    <n v="21669"/>
    <n v="19973.99862651169"/>
    <n v="6261.4194617218136"/>
    <x v="435"/>
    <n v="35.6"/>
  </r>
  <r>
    <s v=" 28-02-2022"/>
    <x v="5"/>
    <s v=" Monthly"/>
    <n v="8.6999999999999993"/>
    <n v="125869"/>
    <n v="10951"/>
    <n v="21160.499587953505"/>
    <n v="6107.7764964973367"/>
    <x v="436"/>
    <n v="28.4"/>
  </r>
  <r>
    <s v=" 30-04-2022"/>
    <x v="5"/>
    <s v=" Monthly"/>
    <n v="18.09"/>
    <n v="171784"/>
    <n v="31076"/>
    <n v="14013.849876386052"/>
    <n v="6025.2653672505403"/>
    <x v="437"/>
    <n v="43.12"/>
  </r>
  <r>
    <s v=" 31-01-2016"/>
    <x v="6"/>
    <s v=" Monthly"/>
    <n v="2.31"/>
    <n v="12454838"/>
    <n v="287707"/>
    <n v="25957.354962915811"/>
    <n v="11521.340754346396"/>
    <x v="438"/>
    <n v="48.97"/>
  </r>
  <r>
    <s v=" 29-02-2016"/>
    <x v="6"/>
    <s v=" Monthly"/>
    <n v="4.9000000000000004"/>
    <n v="11231726"/>
    <n v="550355"/>
    <n v="209182.10648887474"/>
    <n v="151556.6203609691"/>
    <x v="439"/>
    <n v="45.3"/>
  </r>
  <r>
    <s v=" 31-03-2016"/>
    <x v="6"/>
    <s v=" Monthly"/>
    <n v="2.4700000000000002"/>
    <n v="12152621"/>
    <n v="300170"/>
    <n v="448003.13194666244"/>
    <n v="248463.90543405825"/>
    <x v="440"/>
    <n v="47.72"/>
  </r>
  <r>
    <s v=" 30-04-2016"/>
    <x v="6"/>
    <s v=" Monthly"/>
    <n v="2.02"/>
    <n v="12897823"/>
    <n v="260536"/>
    <n v="344519.93958399876"/>
    <n v="262530.28704319842"/>
    <x v="441"/>
    <n v="50.35"/>
  </r>
  <r>
    <s v=" 31-05-2016"/>
    <x v="6"/>
    <s v=" Monthly"/>
    <n v="1.48"/>
    <n v="13873626"/>
    <n v="205330"/>
    <n v="285731.1818751996"/>
    <n v="220080.95501122737"/>
    <x v="442"/>
    <n v="53.78"/>
  </r>
  <r>
    <s v=" 30-06-2016"/>
    <x v="6"/>
    <s v=" Monthly"/>
    <n v="2.93"/>
    <n v="11496245"/>
    <n v="336840"/>
    <n v="229450.35456255986"/>
    <n v="108585.27686590693"/>
    <x v="443"/>
    <n v="45.16"/>
  </r>
  <r>
    <s v=" 31-07-2016"/>
    <x v="6"/>
    <s v=" Monthly"/>
    <n v="1.65"/>
    <n v="12637358"/>
    <n v="208516"/>
    <n v="304623.10636876791"/>
    <n v="91378.677494910866"/>
    <x v="444"/>
    <n v="48.92"/>
  </r>
  <r>
    <s v=" 31-08-2016"/>
    <x v="6"/>
    <s v=" Monthly"/>
    <n v="0.8"/>
    <n v="12307651"/>
    <n v="98461"/>
    <n v="237348.13191063036"/>
    <n v="95277.597731900751"/>
    <x v="445"/>
    <n v="47.17"/>
  </r>
  <r>
    <s v=" 30-09-2016"/>
    <x v="6"/>
    <s v=" Monthly"/>
    <n v="1.01"/>
    <n v="13150390"/>
    <n v="132819"/>
    <n v="140127.13957318908"/>
    <n v="115554.81708135699"/>
    <x v="446"/>
    <n v="50.43"/>
  </r>
  <r>
    <s v=" 31-10-2016"/>
    <x v="6"/>
    <s v=" Monthly"/>
    <n v="1.47"/>
    <n v="12618305"/>
    <n v="185489"/>
    <n v="135011.44187195672"/>
    <n v="97603.996176658868"/>
    <x v="447"/>
    <n v="48.54"/>
  </r>
  <r>
    <s v=" 30-11-2016"/>
    <x v="6"/>
    <s v=" Monthly"/>
    <n v="1.72"/>
    <n v="13034827"/>
    <n v="224199"/>
    <n v="170345.73256158701"/>
    <n v="85422.534476081579"/>
    <x v="448"/>
    <n v="50.2"/>
  </r>
  <r>
    <s v=" 31-12-2016"/>
    <x v="6"/>
    <s v=" Monthly"/>
    <n v="6.25"/>
    <n v="11854052"/>
    <n v="740878"/>
    <n v="208043.01976847608"/>
    <n v="42823.541782468332"/>
    <x v="449"/>
    <n v="47.79"/>
  </r>
  <r>
    <s v=" 31-01-2017"/>
    <x v="6"/>
    <s v=" Monthly"/>
    <n v="1.23"/>
    <n v="13221793"/>
    <n v="162628"/>
    <n v="581027.50593054283"/>
    <n v="310570.05352882505"/>
    <x v="450"/>
    <n v="50.52"/>
  </r>
  <r>
    <s v=" 28-02-2017"/>
    <x v="6"/>
    <s v=" Monthly"/>
    <n v="0.91"/>
    <n v="11953144"/>
    <n v="108774"/>
    <n v="288147.85177916283"/>
    <n v="392373.73218868941"/>
    <x v="451"/>
    <n v="45.46"/>
  </r>
  <r>
    <s v=" 31-03-2017"/>
    <x v="6"/>
    <s v=" Monthly"/>
    <n v="5.32"/>
    <n v="11977927"/>
    <n v="637226"/>
    <n v="162586.15553374885"/>
    <n v="404617.61430736218"/>
    <x v="452"/>
    <n v="47.6"/>
  </r>
  <r>
    <s v=" 30-04-2017"/>
    <x v="6"/>
    <s v=" Monthly"/>
    <n v="5.14"/>
    <n v="11854565"/>
    <n v="609325"/>
    <n v="494834.04666012462"/>
    <n v="379699.9285488312"/>
    <x v="453"/>
    <n v="46.96"/>
  </r>
  <r>
    <s v=" 31-05-2017"/>
    <x v="6"/>
    <s v=" Monthly"/>
    <n v="2.7"/>
    <n v="11716313"/>
    <n v="316340"/>
    <n v="574977.71399803739"/>
    <n v="300314.35699597275"/>
    <x v="454"/>
    <n v="45.18"/>
  </r>
  <r>
    <s v=" 30-06-2017"/>
    <x v="6"/>
    <s v=" Monthly"/>
    <n v="3.59"/>
    <n v="11730423"/>
    <n v="421122"/>
    <n v="393931.31419941119"/>
    <n v="319000.85028818302"/>
    <x v="455"/>
    <n v="45.58"/>
  </r>
  <r>
    <s v=" 31-07-2017"/>
    <x v="6"/>
    <s v=" Monthly"/>
    <n v="2.92"/>
    <n v="12120704"/>
    <n v="353925"/>
    <n v="412964.79425982333"/>
    <n v="164053.83150367692"/>
    <x v="456"/>
    <n v="46.7"/>
  </r>
  <r>
    <s v=" 31-08-2017"/>
    <x v="6"/>
    <s v=" Monthly"/>
    <n v="2.2400000000000002"/>
    <n v="12277389"/>
    <n v="275014"/>
    <n v="371636.93827794696"/>
    <n v="153968.06790444048"/>
    <x v="457"/>
    <n v="46.91"/>
  </r>
  <r>
    <s v=" 30-09-2017"/>
    <x v="6"/>
    <s v=" Monthly"/>
    <n v="3.36"/>
    <n v="11044703"/>
    <n v="371102"/>
    <n v="304000.88148338406"/>
    <n v="67233.480999703708"/>
    <x v="458"/>
    <n v="42.63"/>
  </r>
  <r>
    <s v=" 31-10-2017"/>
    <x v="6"/>
    <s v=" Monthly"/>
    <n v="4.8600000000000003"/>
    <n v="11348119"/>
    <n v="551519"/>
    <n v="350971.66444501519"/>
    <n v="75991.775023983471"/>
    <x v="459"/>
    <n v="44.42"/>
  </r>
  <r>
    <s v=" 30-11-2017"/>
    <x v="6"/>
    <s v=" Monthly"/>
    <n v="3.23"/>
    <n v="12887989"/>
    <n v="416282"/>
    <n v="491354.79933350452"/>
    <n v="134235.84482277025"/>
    <x v="460"/>
    <n v="49.53"/>
  </r>
  <r>
    <s v=" 31-12-2017"/>
    <x v="6"/>
    <s v=" Monthly"/>
    <n v="1.47"/>
    <n v="12655392"/>
    <n v="186034"/>
    <n v="438803.8398000513"/>
    <n v="129560.43519551439"/>
    <x v="461"/>
    <n v="47.69"/>
  </r>
  <r>
    <s v=" 31-01-2018"/>
    <x v="6"/>
    <s v=" Monthly"/>
    <n v="3"/>
    <n v="11544838"/>
    <n v="346345"/>
    <n v="261864.95194001537"/>
    <n v="191265.74088643954"/>
    <x v="462"/>
    <n v="44.13"/>
  </r>
  <r>
    <s v=" 28-02-2018"/>
    <x v="6"/>
    <s v=" Monthly"/>
    <n v="11.12"/>
    <n v="11495243"/>
    <n v="1278271"/>
    <n v="321000.98558200459"/>
    <n v="159859.72562690655"/>
    <x v="463"/>
    <n v="47.89"/>
  </r>
  <r>
    <s v=" 31-03-2018"/>
    <x v="6"/>
    <s v=" Monthly"/>
    <n v="5.46"/>
    <n v="12701625"/>
    <n v="693509"/>
    <n v="991089.99567460129"/>
    <n v="573700.08161541168"/>
    <x v="464"/>
    <n v="49.67"/>
  </r>
  <r>
    <s v=" 30-04-2018"/>
    <x v="6"/>
    <s v=" Monthly"/>
    <n v="4.63"/>
    <n v="13121908"/>
    <n v="607544"/>
    <n v="782783.29870238039"/>
    <n v="580820.4564839676"/>
    <x v="465"/>
    <n v="50.79"/>
  </r>
  <r>
    <s v=" 31-05-2018"/>
    <x v="6"/>
    <s v=" Monthly"/>
    <n v="5.71"/>
    <n v="11179972"/>
    <n v="638376"/>
    <n v="660115.78961071407"/>
    <n v="587545.49931621423"/>
    <x v="466"/>
    <n v="43.7"/>
  </r>
  <r>
    <s v=" 30-06-2018"/>
    <x v="6"/>
    <s v=" Monthly"/>
    <n v="6.09"/>
    <n v="11556778"/>
    <n v="703808"/>
    <n v="644897.93688321416"/>
    <n v="199779.77812974239"/>
    <x v="467"/>
    <n v="45.3"/>
  </r>
  <r>
    <s v=" 31-07-2018"/>
    <x v="6"/>
    <s v=" Monthly"/>
    <n v="5.22"/>
    <n v="12867557"/>
    <n v="671686"/>
    <n v="686134.9810649642"/>
    <n v="107473.75772476415"/>
    <x v="468"/>
    <n v="49.89"/>
  </r>
  <r>
    <s v=" 31-08-2018"/>
    <x v="6"/>
    <s v=" Monthly"/>
    <n v="2.5099999999999998"/>
    <n v="13373766"/>
    <n v="335682"/>
    <n v="676020.69431948918"/>
    <n v="37201.196407989788"/>
    <x v="469"/>
    <n v="50.34"/>
  </r>
  <r>
    <s v=" 30-09-2018"/>
    <x v="6"/>
    <s v=" Monthly"/>
    <n v="4.51"/>
    <n v="12607752"/>
    <n v="568610"/>
    <n v="437783.60829584673"/>
    <n v="199590.91115022753"/>
    <x v="470"/>
    <n v="48.38"/>
  </r>
  <r>
    <s v=" 31-10-2018"/>
    <x v="6"/>
    <s v=" Monthly"/>
    <n v="7.94"/>
    <n v="12253250"/>
    <n v="972908"/>
    <n v="529362.08248875407"/>
    <n v="210677.27663517243"/>
    <x v="471"/>
    <n v="48.7"/>
  </r>
  <r>
    <s v=" 30-11-2018"/>
    <x v="6"/>
    <s v=" Monthly"/>
    <n v="5.31"/>
    <n v="13840682"/>
    <n v="734940"/>
    <n v="839844.22474662622"/>
    <n v="331501.10736784182"/>
    <x v="472"/>
    <n v="53.4"/>
  </r>
  <r>
    <s v=" 31-12-2018"/>
    <x v="6"/>
    <s v=" Monthly"/>
    <n v="3.67"/>
    <n v="13487829"/>
    <n v="495003"/>
    <n v="766411.26742398785"/>
    <n v="273772.0597363874"/>
    <x v="473"/>
    <n v="51.08"/>
  </r>
  <r>
    <s v=" 31-01-2019"/>
    <x v="6"/>
    <s v=" Monthly"/>
    <n v="5.91"/>
    <n v="13698898"/>
    <n v="809605"/>
    <n v="576425.48022719636"/>
    <n v="306268.03344819526"/>
    <x v="474"/>
    <n v="53.03"/>
  </r>
  <r>
    <s v=" 28-02-2019"/>
    <x v="6"/>
    <s v=" Monthly"/>
    <n v="5.42"/>
    <n v="13307765"/>
    <n v="721281"/>
    <n v="739651.14406815893"/>
    <n v="215282.78491111554"/>
    <x v="475"/>
    <n v="51.18"/>
  </r>
  <r>
    <s v=" 31-03-2019"/>
    <x v="6"/>
    <s v=" Monthly"/>
    <n v="4.05"/>
    <n v="14489544"/>
    <n v="586827"/>
    <n v="726792.04322044761"/>
    <n v="206859.53226013956"/>
    <x v="476"/>
    <n v="54.84"/>
  </r>
  <r>
    <s v=" 30-04-2019"/>
    <x v="6"/>
    <s v=" Monthly"/>
    <n v="2.73"/>
    <n v="14011137"/>
    <n v="382504"/>
    <n v="628816.51296613424"/>
    <n v="157374.67390303733"/>
    <x v="477"/>
    <n v="52.24"/>
  </r>
  <r>
    <s v=" 31-05-2019"/>
    <x v="6"/>
    <s v=" Monthly"/>
    <n v="2.88"/>
    <n v="13954726"/>
    <n v="401896"/>
    <n v="456397.75388984021"/>
    <n v="163908.03270988961"/>
    <x v="478"/>
    <n v="52.03"/>
  </r>
  <r>
    <s v=" 30-06-2019"/>
    <x v="6"/>
    <s v=" Monthly"/>
    <n v="4.7699999999999996"/>
    <n v="13199275"/>
    <n v="629605"/>
    <n v="418246.52616695198"/>
    <n v="166563.81013940024"/>
    <x v="479"/>
    <n v="50.12"/>
  </r>
  <r>
    <s v=" 31-07-2019"/>
    <x v="6"/>
    <s v=" Monthly"/>
    <n v="4.58"/>
    <n v="14327088"/>
    <n v="656181"/>
    <n v="566197.45785008557"/>
    <n v="190011.13974518792"/>
    <x v="480"/>
    <n v="54.21"/>
  </r>
  <r>
    <s v=" 31-08-2019"/>
    <x v="6"/>
    <s v=" Monthly"/>
    <n v="3.7"/>
    <n v="13507339"/>
    <n v="499772"/>
    <n v="629185.93735502567"/>
    <n v="136308.33123957046"/>
    <x v="481"/>
    <n v="50.57"/>
  </r>
  <r>
    <s v=" 30-09-2019"/>
    <x v="6"/>
    <s v=" Monthly"/>
    <n v="6.29"/>
    <n v="13280777"/>
    <n v="835361"/>
    <n v="538596.18120650761"/>
    <n v="152225.06309257046"/>
    <x v="482"/>
    <n v="51.01"/>
  </r>
  <r>
    <s v=" 31-10-2019"/>
    <x v="6"/>
    <s v=" Monthly"/>
    <n v="4.91"/>
    <n v="13828523"/>
    <n v="678980"/>
    <n v="746331.55436195224"/>
    <n v="194005.46617136875"/>
    <x v="483"/>
    <n v="52.27"/>
  </r>
  <r>
    <s v=" 30-11-2019"/>
    <x v="6"/>
    <s v=" Monthly"/>
    <n v="4.68"/>
    <n v="14487815"/>
    <n v="678030"/>
    <n v="699185.4663085856"/>
    <n v="190921.93581866202"/>
    <x v="484"/>
    <n v="54.55"/>
  </r>
  <r>
    <s v=" 31-12-2019"/>
    <x v="6"/>
    <s v=" Monthly"/>
    <n v="3.46"/>
    <n v="13877824"/>
    <n v="480173"/>
    <n v="684376.63989257556"/>
    <n v="176118.46704537552"/>
    <x v="485"/>
    <n v="51.51"/>
  </r>
  <r>
    <s v=" 31-01-2020"/>
    <x v="6"/>
    <s v=" Monthly"/>
    <n v="5.35"/>
    <n v="14301844"/>
    <n v="765149"/>
    <n v="541434.09196777269"/>
    <n v="124743.61997724425"/>
    <x v="486"/>
    <n v="54.07"/>
  </r>
  <r>
    <s v=" 29-02-2020"/>
    <x v="6"/>
    <s v=" Monthly"/>
    <n v="6.64"/>
    <n v="13973042"/>
    <n v="927810"/>
    <n v="698034.52759033174"/>
    <n v="175304.53538150716"/>
    <x v="487"/>
    <n v="53.48"/>
  </r>
  <r>
    <s v=" 31-03-2020"/>
    <x v="6"/>
    <s v=" Monthly"/>
    <n v="7.59"/>
    <n v="13483615"/>
    <n v="1023406"/>
    <n v="858877.35827709956"/>
    <n v="219502.66083605972"/>
    <x v="488"/>
    <n v="52.06"/>
  </r>
  <r>
    <s v=" 30-04-2020"/>
    <x v="6"/>
    <s v=" Monthly"/>
    <n v="12"/>
    <n v="8587594"/>
    <n v="1030511"/>
    <n v="974047.40748312976"/>
    <n v="208098.37556961426"/>
    <x v="489"/>
    <n v="34.770000000000003"/>
  </r>
  <r>
    <s v=" 31-05-2020"/>
    <x v="6"/>
    <s v=" Monthly"/>
    <n v="12.56"/>
    <n v="11740781"/>
    <n v="1474642"/>
    <n v="1013571.9222449388"/>
    <n v="166387.67877878851"/>
    <x v="490"/>
    <n v="47.76"/>
  </r>
  <r>
    <s v=" 30-06-2020"/>
    <x v="6"/>
    <s v=" Monthly"/>
    <n v="1.39"/>
    <n v="13270426"/>
    <n v="184459"/>
    <n v="1336320.9766734815"/>
    <n v="284513.28488499555"/>
    <x v="491"/>
    <n v="47.8"/>
  </r>
  <r>
    <s v=" 31-07-2020"/>
    <x v="6"/>
    <s v=" Monthly"/>
    <n v="0.57999999999999996"/>
    <n v="13895092"/>
    <n v="80592"/>
    <n v="530017.59300204436"/>
    <n v="717068.0505101101"/>
    <x v="492"/>
    <n v="49.57"/>
  </r>
  <r>
    <s v=" 31-08-2020"/>
    <x v="6"/>
    <s v=" Monthly"/>
    <n v="0.95"/>
    <n v="12611779"/>
    <n v="119812"/>
    <n v="215419.67790061329"/>
    <n v="761873.78516226634"/>
    <x v="493"/>
    <n v="45.09"/>
  </r>
  <r>
    <s v=" 30-09-2020"/>
    <x v="6"/>
    <s v=" Monthly"/>
    <n v="3.24"/>
    <n v="15008970"/>
    <n v="486291"/>
    <n v="148494.30337018397"/>
    <n v="715986.54666712065"/>
    <x v="494"/>
    <n v="54.85"/>
  </r>
  <r>
    <s v=" 31-10-2020"/>
    <x v="6"/>
    <s v=" Monthly"/>
    <n v="2.7"/>
    <n v="14534338"/>
    <n v="392427"/>
    <n v="384951.99101105513"/>
    <n v="329257.14366980846"/>
    <x v="495"/>
    <n v="52.74"/>
  </r>
  <r>
    <s v=" 30-11-2020"/>
    <x v="6"/>
    <s v=" Monthly"/>
    <n v="4.58"/>
    <n v="14315192"/>
    <n v="655636"/>
    <n v="390184.49730331649"/>
    <n v="202734.0721955309"/>
    <x v="496"/>
    <n v="52.89"/>
  </r>
  <r>
    <s v=" 31-12-2020"/>
    <x v="6"/>
    <s v=" Monthly"/>
    <n v="1.3"/>
    <n v="11784046"/>
    <n v="153193"/>
    <n v="576000.54919099493"/>
    <n v="248077.26235813991"/>
    <x v="497"/>
    <n v="42.03"/>
  </r>
  <r>
    <s v=" 31-01-2021"/>
    <x v="6"/>
    <s v=" Monthly"/>
    <n v="3.11"/>
    <n v="13893075"/>
    <n v="432075"/>
    <n v="280035.26475729846"/>
    <n v="288262.95848074072"/>
    <x v="498"/>
    <n v="50.4"/>
  </r>
  <r>
    <s v=" 28-02-2021"/>
    <x v="6"/>
    <s v=" Monthly"/>
    <n v="3.03"/>
    <n v="13470268"/>
    <n v="408149"/>
    <n v="386463.07942718954"/>
    <n v="301300.95974484482"/>
    <x v="499"/>
    <n v="48.76"/>
  </r>
  <r>
    <s v=" 31-03-2021"/>
    <x v="6"/>
    <s v=" Monthly"/>
    <n v="2.15"/>
    <n v="14357667"/>
    <n v="308690"/>
    <n v="401643.22382815683"/>
    <n v="259713.03644385189"/>
    <x v="500"/>
    <n v="51.43"/>
  </r>
  <r>
    <s v=" 30-04-2021"/>
    <x v="6"/>
    <s v=" Monthly"/>
    <n v="1.61"/>
    <n v="13739426"/>
    <n v="221205"/>
    <n v="336575.96714844706"/>
    <n v="103644.68480311062"/>
    <x v="501"/>
    <n v="48.87"/>
  </r>
  <r>
    <s v=" 31-05-2021"/>
    <x v="6"/>
    <s v=" Monthly"/>
    <n v="2.34"/>
    <n v="13711252"/>
    <n v="320843"/>
    <n v="255816.29014453411"/>
    <n v="86450.450224209781"/>
    <x v="502"/>
    <n v="49.06"/>
  </r>
  <r>
    <s v=" 30-06-2021"/>
    <x v="6"/>
    <s v=" Monthly"/>
    <n v="1.54"/>
    <n v="14206021"/>
    <n v="218773"/>
    <n v="301334.98704336019"/>
    <n v="93415.264411912227"/>
    <x v="503"/>
    <n v="50.35"/>
  </r>
  <r>
    <s v=" 31-07-2021"/>
    <x v="6"/>
    <s v=" Monthly"/>
    <n v="0.97"/>
    <n v="14920938"/>
    <n v="144733"/>
    <n v="243541.59611300804"/>
    <n v="90102.561487716084"/>
    <x v="504"/>
    <n v="52.5"/>
  </r>
  <r>
    <s v=" 31-08-2021"/>
    <x v="6"/>
    <s v=" Monthly"/>
    <n v="1.19"/>
    <n v="13146704"/>
    <n v="156446"/>
    <n v="174375.5788339024"/>
    <n v="83282.838098050881"/>
    <x v="505"/>
    <n v="46.29"/>
  </r>
  <r>
    <s v=" 30-09-2021"/>
    <x v="6"/>
    <s v=" Monthly"/>
    <n v="0.68"/>
    <n v="14492546"/>
    <n v="98549"/>
    <n v="161824.87365017072"/>
    <n v="75057.955757606949"/>
    <x v="506"/>
    <n v="50.69"/>
  </r>
  <r>
    <s v=" 31-10-2021"/>
    <x v="6"/>
    <s v=" Monthly"/>
    <n v="2.81"/>
    <n v="14685331"/>
    <n v="412658"/>
    <n v="117531.76209505121"/>
    <n v="68528.448226939639"/>
    <x v="507"/>
    <n v="52.41"/>
  </r>
  <r>
    <s v=" 30-11-2021"/>
    <x v="6"/>
    <s v=" Monthly"/>
    <n v="0.77"/>
    <n v="14769944"/>
    <n v="113729"/>
    <n v="324120.12862851535"/>
    <n v="174570.71373637475"/>
    <x v="508"/>
    <n v="51.56"/>
  </r>
  <r>
    <s v=" 31-12-2021"/>
    <x v="6"/>
    <s v=" Monthly"/>
    <n v="1.23"/>
    <n v="13874150"/>
    <n v="170652"/>
    <n v="176846.33858855459"/>
    <n v="212420.7769904671"/>
    <x v="509"/>
    <n v="48.58"/>
  </r>
  <r>
    <s v=" 31-01-2022"/>
    <x v="6"/>
    <s v=" Monthly"/>
    <n v="1.1000000000000001"/>
    <n v="14594671"/>
    <n v="160541"/>
    <n v="172510.30157656636"/>
    <n v="209286.32152791589"/>
    <x v="510"/>
    <n v="50.96"/>
  </r>
  <r>
    <s v=" 28-02-2022"/>
    <x v="6"/>
    <s v=" Monthly"/>
    <n v="2.2000000000000002"/>
    <n v="15063202"/>
    <n v="331390"/>
    <n v="164131.79047296991"/>
    <n v="121718.33745216994"/>
    <x v="511"/>
    <n v="53.12"/>
  </r>
  <r>
    <s v=" 31-03-2022"/>
    <x v="6"/>
    <s v=" Monthly"/>
    <n v="1.53"/>
    <n v="14744388"/>
    <n v="225589"/>
    <n v="281212.53714189096"/>
    <n v="96879.551789784047"/>
    <x v="512"/>
    <n v="51.56"/>
  </r>
  <r>
    <s v=" 30-04-2022"/>
    <x v="6"/>
    <s v=" Monthly"/>
    <n v="1.22"/>
    <n v="14416320"/>
    <n v="175879"/>
    <n v="242276.06114256725"/>
    <n v="102000.8998630143"/>
    <x v="513"/>
    <n v="50.18"/>
  </r>
  <r>
    <s v=" 31-01-2016"/>
    <x v="7"/>
    <s v=" Monthly"/>
    <n v="12.75"/>
    <n v="5166429"/>
    <n v="658720"/>
    <n v="195798.11834277015"/>
    <n v="108747.19347602039"/>
    <x v="514"/>
    <n v="46.74"/>
  </r>
  <r>
    <s v=" 29-02-2016"/>
    <x v="7"/>
    <s v=" Monthly"/>
    <n v="9.5500000000000007"/>
    <n v="5107763"/>
    <n v="487791"/>
    <n v="519843.43550283101"/>
    <n v="271906.36631606321"/>
    <x v="515"/>
    <n v="44.5"/>
  </r>
  <r>
    <s v=" 31-03-2016"/>
    <x v="7"/>
    <s v=" Monthly"/>
    <n v="7.36"/>
    <n v="5354862"/>
    <n v="394118"/>
    <n v="497406.73065084929"/>
    <n v="270636.65486349241"/>
    <x v="516"/>
    <n v="45.47"/>
  </r>
  <r>
    <s v=" 30-04-2016"/>
    <x v="7"/>
    <s v=" Monthly"/>
    <n v="12.03"/>
    <n v="5028469"/>
    <n v="604925"/>
    <n v="425104.61919525475"/>
    <n v="274464.68444239913"/>
    <x v="517"/>
    <n v="44.88"/>
  </r>
  <r>
    <s v=" 31-05-2016"/>
    <x v="7"/>
    <s v=" Monthly"/>
    <n v="7.1"/>
    <n v="5356324"/>
    <n v="380299"/>
    <n v="550978.88575857645"/>
    <n v="121149.06775523894"/>
    <x v="518"/>
    <n v="45.19"/>
  </r>
  <r>
    <s v=" 30-06-2016"/>
    <x v="7"/>
    <s v=" Monthly"/>
    <n v="10.31"/>
    <n v="4823368"/>
    <n v="497289"/>
    <n v="431502.96572757291"/>
    <n v="155065.09884001192"/>
    <x v="519"/>
    <n v="42.08"/>
  </r>
  <r>
    <s v=" 31-07-2016"/>
    <x v="7"/>
    <s v=" Monthly"/>
    <n v="8.6300000000000008"/>
    <n v="4976264"/>
    <n v="429452"/>
    <n v="477553.18971827184"/>
    <n v="148093.20833022386"/>
    <x v="520"/>
    <n v="42.53"/>
  </r>
  <r>
    <s v=" 31-08-2016"/>
    <x v="7"/>
    <s v=" Monthly"/>
    <n v="17.059999999999999"/>
    <n v="4969421"/>
    <n v="847783"/>
    <n v="443882.3569154815"/>
    <n v="109198.82502445839"/>
    <x v="521"/>
    <n v="46.7"/>
  </r>
  <r>
    <s v=" 30-09-2016"/>
    <x v="7"/>
    <s v=" Monthly"/>
    <n v="3.41"/>
    <n v="5267062"/>
    <n v="179607"/>
    <n v="726612.80707464437"/>
    <n v="237891.61134271053"/>
    <x v="522"/>
    <n v="42.43"/>
  </r>
  <r>
    <s v=" 31-10-2016"/>
    <x v="7"/>
    <s v=" Monthly"/>
    <n v="8.5299999999999994"/>
    <n v="4966838"/>
    <n v="423671"/>
    <n v="343708.74212239333"/>
    <n v="393558.46956955193"/>
    <x v="523"/>
    <n v="42.17"/>
  </r>
  <r>
    <s v=" 30-11-2016"/>
    <x v="7"/>
    <s v=" Monthly"/>
    <n v="4.91"/>
    <n v="5110195"/>
    <n v="250911"/>
    <n v="399682.32263671793"/>
    <n v="395282.61836410814"/>
    <x v="524"/>
    <n v="41.67"/>
  </r>
  <r>
    <s v=" 31-12-2016"/>
    <x v="7"/>
    <s v=" Monthly"/>
    <n v="18.79"/>
    <n v="4538689"/>
    <n v="852820"/>
    <n v="295542.39679101534"/>
    <n v="330525.95566124929"/>
    <x v="525"/>
    <n v="43.25"/>
  </r>
  <r>
    <s v=" 31-01-2017"/>
    <x v="7"/>
    <s v=" Monthly"/>
    <n v="5.32"/>
    <n v="5085276"/>
    <n v="270537"/>
    <n v="685636.71903730463"/>
    <n v="336196.96417542396"/>
    <x v="526"/>
    <n v="41.49"/>
  </r>
  <r>
    <s v=" 28-02-2017"/>
    <x v="7"/>
    <s v=" Monthly"/>
    <n v="8.32"/>
    <n v="4920716"/>
    <n v="409404"/>
    <n v="395066.91571119137"/>
    <n v="410284.05209979351"/>
    <x v="527"/>
    <n v="41.39"/>
  </r>
  <r>
    <s v=" 31-03-2017"/>
    <x v="7"/>
    <s v=" Monthly"/>
    <n v="4.49"/>
    <n v="4619780"/>
    <n v="207428"/>
    <n v="405102.87471335742"/>
    <n v="401277.81555472023"/>
    <x v="528"/>
    <n v="37.229999999999997"/>
  </r>
  <r>
    <s v=" 30-04-2017"/>
    <x v="7"/>
    <s v=" Monthly"/>
    <n v="1.92"/>
    <n v="4293016"/>
    <n v="82426"/>
    <n v="266730.46241400717"/>
    <n v="265574.02284089907"/>
    <x v="529"/>
    <n v="33.64"/>
  </r>
  <r>
    <s v=" 31-05-2017"/>
    <x v="7"/>
    <s v=" Monthly"/>
    <n v="0.92"/>
    <n v="4802740"/>
    <n v="44185"/>
    <n v="137717.33872420213"/>
    <n v="156257.31230309632"/>
    <x v="530"/>
    <n v="37.18"/>
  </r>
  <r>
    <s v=" 30-06-2017"/>
    <x v="7"/>
    <s v=" Monthly"/>
    <n v="4.01"/>
    <n v="4949445"/>
    <n v="198473"/>
    <n v="72244.701617260638"/>
    <n v="165117.92689456488"/>
    <x v="531"/>
    <n v="39.479999999999997"/>
  </r>
  <r>
    <s v=" 31-07-2017"/>
    <x v="7"/>
    <s v=" Monthly"/>
    <n v="6.83"/>
    <n v="4750170"/>
    <n v="324437"/>
    <n v="160604.51048517818"/>
    <n v="139821.33428717396"/>
    <x v="532"/>
    <n v="38.96"/>
  </r>
  <r>
    <s v=" 31-08-2017"/>
    <x v="7"/>
    <s v=" Monthly"/>
    <n v="0.41"/>
    <n v="4506125"/>
    <n v="18475"/>
    <n v="275287.25314555346"/>
    <n v="131050.83787147257"/>
    <x v="533"/>
    <n v="34.520000000000003"/>
  </r>
  <r>
    <s v=" 30-09-2017"/>
    <x v="7"/>
    <s v=" Monthly"/>
    <n v="10.220000000000001"/>
    <n v="5170890"/>
    <n v="528465"/>
    <n v="95518.675943666036"/>
    <n v="190374.36915975314"/>
    <x v="534"/>
    <n v="43.86"/>
  </r>
  <r>
    <s v=" 31-10-2017"/>
    <x v="7"/>
    <s v=" Monthly"/>
    <n v="14.89"/>
    <n v="4996948"/>
    <n v="744046"/>
    <n v="398581.10278309981"/>
    <n v="305633.84274880955"/>
    <x v="535"/>
    <n v="44.63"/>
  </r>
  <r>
    <s v=" 30-11-2017"/>
    <x v="7"/>
    <s v=" Monthly"/>
    <n v="15.67"/>
    <n v="4808009"/>
    <n v="753415"/>
    <n v="640406.5308349299"/>
    <n v="352486.90192623774"/>
    <x v="536"/>
    <n v="43.26"/>
  </r>
  <r>
    <s v=" 31-12-2017"/>
    <x v="7"/>
    <s v=" Monthly"/>
    <n v="22.05"/>
    <n v="4676789"/>
    <n v="1031232"/>
    <n v="719512.45925047901"/>
    <n v="326373.72689704876"/>
    <x v="537"/>
    <n v="45.44"/>
  </r>
  <r>
    <s v=" 31-01-2018"/>
    <x v="7"/>
    <s v=" Monthly"/>
    <n v="10.59"/>
    <n v="5001436"/>
    <n v="529652"/>
    <n v="937716.13777514361"/>
    <n v="276457.3393233323"/>
    <x v="538"/>
    <n v="42.29"/>
  </r>
  <r>
    <s v=" 28-02-2018"/>
    <x v="7"/>
    <s v=" Monthly"/>
    <n v="17.43"/>
    <n v="4840912"/>
    <n v="843771"/>
    <n v="652071.24133254308"/>
    <n v="303565.65831589949"/>
    <x v="539"/>
    <n v="44.25"/>
  </r>
  <r>
    <s v=" 31-03-2018"/>
    <x v="7"/>
    <s v=" Monthly"/>
    <n v="12.5"/>
    <n v="4786117"/>
    <n v="598265"/>
    <n v="786261.07239976292"/>
    <n v="316456.532084279"/>
    <x v="540"/>
    <n v="41.21"/>
  </r>
  <r>
    <s v=" 30-04-2018"/>
    <x v="7"/>
    <s v=" Monthly"/>
    <n v="23.72"/>
    <n v="4614001"/>
    <n v="1094441"/>
    <n v="654663.82171992888"/>
    <n v="282021.0756007841"/>
    <x v="541"/>
    <n v="45.49"/>
  </r>
  <r>
    <s v=" 31-05-2018"/>
    <x v="7"/>
    <s v=" Monthly"/>
    <n v="11.25"/>
    <n v="5007325"/>
    <n v="563324"/>
    <n v="962507.84651597857"/>
    <n v="297486.85531010141"/>
    <x v="542"/>
    <n v="42.35"/>
  </r>
  <r>
    <s v=" 30-06-2018"/>
    <x v="7"/>
    <s v=" Monthly"/>
    <n v="15.44"/>
    <n v="4860036"/>
    <n v="750390"/>
    <n v="683079.15395479347"/>
    <n v="359673.10764684214"/>
    <x v="543"/>
    <n v="43.06"/>
  </r>
  <r>
    <s v=" 31-07-2018"/>
    <x v="7"/>
    <s v=" Monthly"/>
    <n v="12.57"/>
    <n v="4867627"/>
    <n v="611861"/>
    <n v="730196.74618643802"/>
    <n v="345100.20759705687"/>
    <x v="544"/>
    <n v="41.64"/>
  </r>
  <r>
    <s v=" 31-08-2018"/>
    <x v="7"/>
    <s v=" Monthly"/>
    <n v="25.09"/>
    <n v="4691544"/>
    <n v="1177108"/>
    <n v="647361.72385593131"/>
    <n v="243503.48535501151"/>
    <x v="545"/>
    <n v="46.76"/>
  </r>
  <r>
    <s v=" 30-09-2018"/>
    <x v="7"/>
    <s v=" Monthly"/>
    <n v="14.01"/>
    <n v="5060749"/>
    <n v="709011"/>
    <n v="1018184.1171567794"/>
    <n v="315787.4896769083"/>
    <x v="546"/>
    <n v="43.86"/>
  </r>
  <r>
    <s v=" 31-10-2018"/>
    <x v="7"/>
    <s v=" Monthly"/>
    <n v="18.670000000000002"/>
    <n v="4842527"/>
    <n v="904100"/>
    <n v="801762.93514703377"/>
    <n v="360657.95535680279"/>
    <x v="547"/>
    <n v="44.29"/>
  </r>
  <r>
    <s v=" 30-11-2018"/>
    <x v="7"/>
    <s v=" Monthly"/>
    <n v="17.34"/>
    <n v="4765000"/>
    <n v="826251"/>
    <n v="873398.88054411008"/>
    <n v="359022.75150918023"/>
    <x v="548"/>
    <n v="42.8"/>
  </r>
  <r>
    <s v=" 31-12-2018"/>
    <x v="7"/>
    <s v=" Monthly"/>
    <n v="25.59"/>
    <n v="4636216"/>
    <n v="1186408"/>
    <n v="840395.36416323297"/>
    <n v="189985.80109660962"/>
    <x v="549"/>
    <n v="46.18"/>
  </r>
  <r>
    <s v=" 31-01-2019"/>
    <x v="7"/>
    <s v=" Monthly"/>
    <n v="14"/>
    <n v="5057731"/>
    <n v="708082"/>
    <n v="1082604.2092489698"/>
    <n v="210095.64618781692"/>
    <x v="550"/>
    <n v="43.51"/>
  </r>
  <r>
    <s v=" 28-02-2019"/>
    <x v="7"/>
    <s v=" Monthly"/>
    <n v="21.05"/>
    <n v="4759841"/>
    <n v="1001947"/>
    <n v="820438.66277469089"/>
    <n v="295643.11369128712"/>
    <x v="551"/>
    <n v="44.53"/>
  </r>
  <r>
    <s v=" 31-03-2019"/>
    <x v="7"/>
    <s v=" Monthly"/>
    <n v="16.010000000000002"/>
    <n v="4719152"/>
    <n v="755536"/>
    <n v="947494.49883240717"/>
    <n v="312483.0159980607"/>
    <x v="552"/>
    <n v="41.43"/>
  </r>
  <r>
    <s v=" 30-04-2019"/>
    <x v="7"/>
    <s v=" Monthly"/>
    <n v="27.78"/>
    <n v="4521365"/>
    <n v="1256035"/>
    <n v="813123.54964972218"/>
    <n v="264613.06781602011"/>
    <x v="553"/>
    <n v="46.07"/>
  </r>
  <r>
    <s v=" 31-05-2019"/>
    <x v="7"/>
    <s v=" Monthly"/>
    <n v="14.54"/>
    <n v="5249186"/>
    <n v="763232"/>
    <n v="1123161.5648949167"/>
    <n v="297749.27629784675"/>
    <x v="554"/>
    <n v="45.12"/>
  </r>
  <r>
    <s v=" 30-06-2019"/>
    <x v="7"/>
    <s v=" Monthly"/>
    <n v="23.08"/>
    <n v="4745178"/>
    <n v="1095187"/>
    <n v="871210.86946847499"/>
    <n v="347643.4523142075"/>
    <x v="555"/>
    <n v="45.23"/>
  </r>
  <r>
    <s v=" 31-07-2019"/>
    <x v="7"/>
    <s v=" Monthly"/>
    <n v="16.22"/>
    <n v="4826560"/>
    <n v="782868"/>
    <n v="1027994.1608405424"/>
    <n v="353970.40911386244"/>
    <x v="556"/>
    <n v="42.17"/>
  </r>
  <r>
    <s v=" 31-08-2019"/>
    <x v="7"/>
    <s v=" Monthly"/>
    <n v="30.94"/>
    <n v="4558306"/>
    <n v="1410340"/>
    <n v="856405.84825216269"/>
    <n v="282725.68180820445"/>
    <x v="557"/>
    <n v="48.23"/>
  </r>
  <r>
    <s v=" 30-09-2019"/>
    <x v="7"/>
    <s v=" Monthly"/>
    <n v="16.29"/>
    <n v="5137903"/>
    <n v="836964"/>
    <n v="1244159.7544756487"/>
    <n v="372869.58678555622"/>
    <x v="558"/>
    <n v="44.76"/>
  </r>
  <r>
    <s v=" 31-10-2019"/>
    <x v="7"/>
    <s v=" Monthly"/>
    <n v="24.17"/>
    <n v="4798831"/>
    <n v="1159877"/>
    <n v="959122.7263426946"/>
    <n v="421401.73297540052"/>
    <x v="559"/>
    <n v="46.07"/>
  </r>
  <r>
    <s v=" 30-11-2019"/>
    <x v="7"/>
    <s v=" Monthly"/>
    <n v="16.59"/>
    <n v="4875762"/>
    <n v="808889"/>
    <n v="1099650.7179028082"/>
    <n v="413502.80342752259"/>
    <x v="560"/>
    <n v="42.48"/>
  </r>
  <r>
    <s v=" 31-12-2019"/>
    <x v="7"/>
    <s v=" Monthly"/>
    <n v="29.56"/>
    <n v="4603482"/>
    <n v="1360789"/>
    <n v="896117.5153708423"/>
    <n v="311262.50307013496"/>
    <x v="561"/>
    <n v="47.4"/>
  </r>
  <r>
    <s v=" 31-01-2020"/>
    <x v="7"/>
    <s v=" Monthly"/>
    <n v="16.21"/>
    <n v="5062293"/>
    <n v="820598"/>
    <n v="1221387.5546112526"/>
    <n v="337028.30920509237"/>
    <x v="562"/>
    <n v="43.74"/>
  </r>
  <r>
    <s v=" 29-02-2020"/>
    <x v="7"/>
    <s v=" Monthly"/>
    <n v="27.19"/>
    <n v="4570108"/>
    <n v="1242612"/>
    <n v="940834.86638337583"/>
    <n v="392043.46370895492"/>
    <x v="563"/>
    <n v="45.37"/>
  </r>
  <r>
    <s v=" 31-03-2020"/>
    <x v="7"/>
    <s v=" Monthly"/>
    <n v="23.92"/>
    <n v="4366148"/>
    <n v="1044383"/>
    <n v="1152078.8599150127"/>
    <n v="394808.51649325632"/>
    <x v="564"/>
    <n v="41.4"/>
  </r>
  <r>
    <s v=" 30-04-2020"/>
    <x v="7"/>
    <s v=" Monthly"/>
    <n v="41.61"/>
    <n v="4041050"/>
    <n v="1681481"/>
    <n v="1076691.7579745038"/>
    <n v="296254.45352612343"/>
    <x v="565"/>
    <n v="49.85"/>
  </r>
  <r>
    <s v=" 31-05-2020"/>
    <x v="7"/>
    <s v=" Monthly"/>
    <n v="23.7"/>
    <n v="4424785"/>
    <n v="1048674"/>
    <n v="1500044.227392351"/>
    <n v="395153.07746343658"/>
    <x v="566"/>
    <n v="41.69"/>
  </r>
  <r>
    <s v=" 30-06-2020"/>
    <x v="7"/>
    <s v=" Monthly"/>
    <n v="25.8"/>
    <n v="4594282"/>
    <n v="1185325"/>
    <n v="1184085.0682177052"/>
    <n v="440114.95001829957"/>
    <x v="567"/>
    <n v="44.43"/>
  </r>
  <r>
    <s v=" 31-07-2020"/>
    <x v="7"/>
    <s v=" Monthly"/>
    <n v="17.62"/>
    <n v="4440170"/>
    <n v="782358"/>
    <n v="1184953.0204653116"/>
    <n v="435701.21523693338"/>
    <x v="568"/>
    <n v="38.61"/>
  </r>
  <r>
    <s v=" 31-08-2020"/>
    <x v="7"/>
    <s v=" Monthly"/>
    <n v="32.01"/>
    <n v="4594011"/>
    <n v="1470543"/>
    <n v="903136.50613959343"/>
    <n v="349198.78298304154"/>
    <x v="569"/>
    <n v="48.31"/>
  </r>
  <r>
    <s v=" 30-09-2020"/>
    <x v="7"/>
    <s v=" Monthly"/>
    <n v="13.32"/>
    <n v="4728711"/>
    <n v="629864"/>
    <n v="1300321.0518418779"/>
    <n v="401677.48970587878"/>
    <x v="570"/>
    <n v="38.93"/>
  </r>
  <r>
    <s v=" 31-10-2020"/>
    <x v="7"/>
    <s v=" Monthly"/>
    <n v="30.51"/>
    <n v="4222454"/>
    <n v="1288271"/>
    <n v="831001.11555256334"/>
    <n v="557836.75573382783"/>
    <x v="571"/>
    <n v="43.29"/>
  </r>
  <r>
    <s v=" 30-11-2020"/>
    <x v="7"/>
    <s v=" Monthly"/>
    <n v="17.170000000000002"/>
    <n v="4691436"/>
    <n v="805520"/>
    <n v="1151090.034665769"/>
    <n v="571710.45552273351"/>
    <x v="572"/>
    <n v="40.28"/>
  </r>
  <r>
    <s v=" 31-12-2020"/>
    <x v="7"/>
    <s v=" Monthly"/>
    <n v="29.01"/>
    <n v="4274940"/>
    <n v="1240160"/>
    <n v="909191.01039973064"/>
    <n v="509256.66562352603"/>
    <x v="573"/>
    <n v="42.74"/>
  </r>
  <r>
    <s v=" 31-01-2021"/>
    <x v="7"/>
    <s v=" Monthly"/>
    <n v="11.07"/>
    <n v="4949138"/>
    <n v="547870"/>
    <n v="1140869.3031199193"/>
    <n v="382123.39549701131"/>
    <x v="574"/>
    <n v="39.43"/>
  </r>
  <r>
    <s v=" 28-02-2021"/>
    <x v="7"/>
    <s v=" Monthly"/>
    <n v="29.8"/>
    <n v="4273138"/>
    <n v="1273395"/>
    <n v="725769.79093597573"/>
    <n v="439926.99941264268"/>
    <x v="575"/>
    <n v="43.06"/>
  </r>
  <r>
    <s v=" 31-03-2021"/>
    <x v="7"/>
    <s v=" Monthly"/>
    <n v="21.52"/>
    <n v="4834960"/>
    <n v="1040483"/>
    <n v="1109107.4372807927"/>
    <n v="503680.45927954145"/>
    <x v="576"/>
    <n v="43.49"/>
  </r>
  <r>
    <s v=" 30-04-2021"/>
    <x v="7"/>
    <s v=" Monthly"/>
    <n v="31"/>
    <n v="4435071"/>
    <n v="1374872"/>
    <n v="1061070.3311842377"/>
    <n v="467707.47855728219"/>
    <x v="577"/>
    <n v="45.3"/>
  </r>
  <r>
    <s v=" 31-05-2021"/>
    <x v="7"/>
    <s v=" Monthly"/>
    <n v="20.420000000000002"/>
    <n v="4330493"/>
    <n v="884287"/>
    <n v="1280731.4993552712"/>
    <n v="366548.84637934185"/>
    <x v="578"/>
    <n v="38.28"/>
  </r>
  <r>
    <s v=" 30-06-2021"/>
    <x v="7"/>
    <s v=" Monthly"/>
    <n v="29.7"/>
    <n v="4305061"/>
    <n v="1278603"/>
    <n v="1003220.3498065813"/>
    <n v="294589.56861635728"/>
    <x v="579"/>
    <n v="43"/>
  </r>
  <r>
    <s v=" 31-07-2021"/>
    <x v="7"/>
    <s v=" Monthly"/>
    <n v="21"/>
    <n v="4559615"/>
    <n v="957519"/>
    <n v="1195988.2049419745"/>
    <n v="332403.03470744658"/>
    <x v="580"/>
    <n v="40.450000000000003"/>
  </r>
  <r>
    <s v=" 31-08-2021"/>
    <x v="7"/>
    <s v=" Monthly"/>
    <n v="33.57"/>
    <n v="4454763"/>
    <n v="1495464"/>
    <n v="1029059.7614825922"/>
    <n v="310843.69426999794"/>
    <x v="581"/>
    <n v="46.92"/>
  </r>
  <r>
    <s v=" 30-09-2021"/>
    <x v="7"/>
    <s v=" Monthly"/>
    <n v="15.42"/>
    <n v="4717705"/>
    <n v="727470"/>
    <n v="1355542.7284447777"/>
    <n v="341680.20108487963"/>
    <x v="582"/>
    <n v="38.950000000000003"/>
  </r>
  <r>
    <s v=" 31-10-2021"/>
    <x v="7"/>
    <s v=" Monthly"/>
    <n v="35.770000000000003"/>
    <n v="4189421"/>
    <n v="1498556"/>
    <n v="915891.81853343325"/>
    <n v="472184.93115470762"/>
    <x v="583"/>
    <n v="45.47"/>
  </r>
  <r>
    <s v=" 30-11-2021"/>
    <x v="7"/>
    <s v=" Monthly"/>
    <n v="23.1"/>
    <n v="4527422"/>
    <n v="1045834"/>
    <n v="1323756.74556003"/>
    <n v="563177.24098403647"/>
    <x v="584"/>
    <n v="40.97"/>
  </r>
  <r>
    <s v=" 31-12-2021"/>
    <x v="7"/>
    <s v=" Monthly"/>
    <n v="30.56"/>
    <n v="4667989"/>
    <n v="1426537"/>
    <n v="1129210.8236680089"/>
    <n v="520004.47212172986"/>
    <x v="585"/>
    <n v="46.69"/>
  </r>
  <r>
    <s v=" 31-01-2022"/>
    <x v="7"/>
    <s v=" Monthly"/>
    <n v="18.46"/>
    <n v="4802705"/>
    <n v="886579"/>
    <n v="1337339.1471004025"/>
    <n v="410341.91271667246"/>
    <x v="586"/>
    <n v="40.840000000000003"/>
  </r>
  <r>
    <s v=" 28-02-2022"/>
    <x v="7"/>
    <s v=" Monthly"/>
    <n v="35.76"/>
    <n v="4191860"/>
    <n v="1499009"/>
    <n v="1021807.0441301207"/>
    <n v="350632.10437047546"/>
    <x v="587"/>
    <n v="45.16"/>
  </r>
  <r>
    <s v=" 31-03-2022"/>
    <x v="7"/>
    <s v=" Monthly"/>
    <n v="18.059999999999999"/>
    <n v="4479089"/>
    <n v="808923"/>
    <n v="1355848.4132390362"/>
    <n v="416056.59552205837"/>
    <x v="588"/>
    <n v="37.770000000000003"/>
  </r>
  <r>
    <s v=" 30-04-2022"/>
    <x v="7"/>
    <s v=" Monthly"/>
    <n v="31.51"/>
    <n v="4496478"/>
    <n v="1416840"/>
    <n v="973000.62397171091"/>
    <n v="493299.71435450384"/>
    <x v="589"/>
    <n v="45.28"/>
  </r>
  <r>
    <s v=" 31-01-2016"/>
    <x v="8"/>
    <s v=" Monthly"/>
    <n v="3.27"/>
    <n v="2000786"/>
    <n v="65426"/>
    <n v="1283688.1871915131"/>
    <n v="491203.45616519899"/>
    <x v="590"/>
    <n v="41.24"/>
  </r>
  <r>
    <s v=" 29-02-2016"/>
    <x v="8"/>
    <s v=" Monthly"/>
    <n v="3.57"/>
    <n v="1970430"/>
    <n v="70344"/>
    <n v="430904.65615745395"/>
    <n v="812462.0106196804"/>
    <x v="591"/>
    <n v="40.68"/>
  </r>
  <r>
    <s v=" 31-03-2016"/>
    <x v="8"/>
    <s v=" Monthly"/>
    <n v="5.85"/>
    <n v="2100552"/>
    <n v="122882"/>
    <n v="178512.19684723616"/>
    <n v="776994.23747810035"/>
    <x v="592"/>
    <n v="44.34"/>
  </r>
  <r>
    <s v=" 30-04-2016"/>
    <x v="8"/>
    <s v=" Monthly"/>
    <n v="3.18"/>
    <n v="1765170"/>
    <n v="56132"/>
    <n v="139571.05905417085"/>
    <n v="734225.54716077214"/>
    <x v="593"/>
    <n v="36.18"/>
  </r>
  <r>
    <s v=" 31-05-2016"/>
    <x v="8"/>
    <s v=" Monthly"/>
    <n v="4.38"/>
    <n v="2032688"/>
    <n v="89032"/>
    <n v="81163.717716251238"/>
    <n v="216071.57930170686"/>
    <x v="594"/>
    <n v="42.11"/>
  </r>
  <r>
    <s v=" 30-06-2016"/>
    <x v="8"/>
    <s v=" Monthly"/>
    <n v="1.1200000000000001"/>
    <n v="2027298"/>
    <n v="22706"/>
    <n v="86671.51531487536"/>
    <n v="58076.688505241094"/>
    <x v="595"/>
    <n v="40.549999999999997"/>
  </r>
  <r>
    <s v=" 31-07-2016"/>
    <x v="8"/>
    <s v=" Monthly"/>
    <n v="9.24"/>
    <n v="2018840"/>
    <n v="186541"/>
    <n v="41895.654594462605"/>
    <n v="60870.281723896871"/>
    <x v="596"/>
    <n v="43.91"/>
  </r>
  <r>
    <s v=" 31-08-2016"/>
    <x v="8"/>
    <s v=" Monthly"/>
    <n v="3.85"/>
    <n v="1865352"/>
    <n v="71816"/>
    <n v="143147.39637833877"/>
    <n v="91425.33012078132"/>
    <x v="597"/>
    <n v="38.24"/>
  </r>
  <r>
    <s v=" 30-09-2016"/>
    <x v="8"/>
    <s v=" Monthly"/>
    <n v="1.9"/>
    <n v="2044719"/>
    <n v="38850"/>
    <n v="93215.418913501635"/>
    <n v="100169.90766737027"/>
    <x v="598"/>
    <n v="41.02"/>
  </r>
  <r>
    <s v=" 31-10-2016"/>
    <x v="8"/>
    <s v=" Monthly"/>
    <n v="0.57999999999999996"/>
    <n v="2012823"/>
    <n v="11674"/>
    <n v="55159.62567405049"/>
    <n v="98261.628371084618"/>
    <x v="599"/>
    <n v="39.770000000000003"/>
  </r>
  <r>
    <s v=" 30-11-2016"/>
    <x v="8"/>
    <s v=" Monthly"/>
    <n v="4.24"/>
    <n v="2092519"/>
    <n v="88723"/>
    <n v="24719.687702215146"/>
    <n v="57546.40597867615"/>
    <x v="600"/>
    <n v="42.86"/>
  </r>
  <r>
    <s v=" 31-12-2016"/>
    <x v="8"/>
    <s v=" Monthly"/>
    <n v="1.37"/>
    <n v="2054390"/>
    <n v="28145"/>
    <n v="69522.006310664539"/>
    <n v="54598.603153658121"/>
    <x v="601"/>
    <n v="40.78"/>
  </r>
  <r>
    <s v=" 31-01-2017"/>
    <x v="8"/>
    <s v=" Monthly"/>
    <n v="1.69"/>
    <n v="2104469"/>
    <n v="35566"/>
    <n v="40558.10189319936"/>
    <n v="50660.570718538722"/>
    <x v="602"/>
    <n v="41.84"/>
  </r>
  <r>
    <s v=" 28-02-2017"/>
    <x v="8"/>
    <s v=" Monthly"/>
    <n v="2.33"/>
    <n v="2084263"/>
    <n v="48563"/>
    <n v="37063.630567959801"/>
    <n v="44096.113652008818"/>
    <x v="603"/>
    <n v="41.65"/>
  </r>
  <r>
    <s v=" 31-03-2017"/>
    <x v="8"/>
    <s v=" Monthly"/>
    <n v="2.67"/>
    <n v="2223547"/>
    <n v="59369"/>
    <n v="45113.189170387937"/>
    <n v="24961.391720544474"/>
    <x v="604"/>
    <n v="44.51"/>
  </r>
  <r>
    <s v=" 30-04-2017"/>
    <x v="8"/>
    <s v=" Monthly"/>
    <n v="0"/>
    <n v="2064632"/>
    <n v="0"/>
    <n v="55092.25675111638"/>
    <n v="10960.302931584658"/>
    <x v="605"/>
    <n v="40.159999999999997"/>
  </r>
  <r>
    <s v=" 31-05-2017"/>
    <x v="8"/>
    <s v=" Monthly"/>
    <n v="1.95"/>
    <n v="2095865"/>
    <n v="40869"/>
    <n v="16527.677025334913"/>
    <n v="33519.25015905116"/>
    <x v="606"/>
    <n v="41.51"/>
  </r>
  <r>
    <s v=" 30-06-2017"/>
    <x v="8"/>
    <s v=" Monthly"/>
    <n v="1.23"/>
    <n v="2073500"/>
    <n v="25504"/>
    <n v="33566.603107600473"/>
    <n v="35734.599948777803"/>
    <x v="607"/>
    <n v="40.700000000000003"/>
  </r>
  <r>
    <s v=" 31-07-2017"/>
    <x v="8"/>
    <s v=" Monthly"/>
    <n v="2.58"/>
    <n v="2015874"/>
    <n v="52010"/>
    <n v="27922.78093228014"/>
    <n v="35084.0055056364"/>
    <x v="608"/>
    <n v="40.049999999999997"/>
  </r>
  <r>
    <s v=" 31-08-2017"/>
    <x v="8"/>
    <s v=" Monthly"/>
    <n v="0.69"/>
    <n v="2093342"/>
    <n v="14444"/>
    <n v="44783.834279684044"/>
    <n v="20311.73466614783"/>
    <x v="609"/>
    <n v="40.729999999999997"/>
  </r>
  <r>
    <s v=" 30-09-2017"/>
    <x v="8"/>
    <s v=" Monthly"/>
    <n v="4.9000000000000004"/>
    <n v="2112658"/>
    <n v="103520"/>
    <n v="23545.950283905215"/>
    <n v="22845.168967097525"/>
    <x v="610"/>
    <n v="42.86"/>
  </r>
  <r>
    <s v=" 31-10-2017"/>
    <x v="8"/>
    <s v=" Monthly"/>
    <n v="4.6399999999999997"/>
    <n v="2022287"/>
    <n v="93834"/>
    <n v="79527.785085171563"/>
    <n v="51304.802551442226"/>
    <x v="611"/>
    <n v="40.840000000000003"/>
  </r>
  <r>
    <s v=" 30-11-2017"/>
    <x v="8"/>
    <s v=" Monthly"/>
    <n v="14.4"/>
    <n v="2129469"/>
    <n v="306644"/>
    <n v="89542.135525551479"/>
    <n v="50070.024157175292"/>
    <x v="612"/>
    <n v="47.83"/>
  </r>
  <r>
    <s v=" 31-12-2017"/>
    <x v="8"/>
    <s v=" Monthly"/>
    <n v="11.11"/>
    <n v="2111612"/>
    <n v="234600"/>
    <n v="241513.44065766543"/>
    <n v="133832.90075247252"/>
    <x v="613"/>
    <n v="45.6"/>
  </r>
  <r>
    <s v=" 31-01-2018"/>
    <x v="8"/>
    <s v=" Monthly"/>
    <n v="12.77"/>
    <n v="2033763"/>
    <n v="259712"/>
    <n v="236674.03219729965"/>
    <n v="125679.06615025183"/>
    <x v="614"/>
    <n v="44.68"/>
  </r>
  <r>
    <s v=" 28-02-2018"/>
    <x v="8"/>
    <s v=" Monthly"/>
    <n v="8.81"/>
    <n v="1938777"/>
    <n v="170806"/>
    <n v="252800.60965918988"/>
    <n v="126110.74918563594"/>
    <x v="615"/>
    <n v="40.68"/>
  </r>
  <r>
    <s v=" 31-03-2018"/>
    <x v="8"/>
    <s v=" Monthly"/>
    <n v="15.1"/>
    <n v="2001643"/>
    <n v="302248"/>
    <n v="195404.38289775696"/>
    <n v="49334.435692756684"/>
    <x v="616"/>
    <n v="45.04"/>
  </r>
  <r>
    <s v=" 30-04-2018"/>
    <x v="8"/>
    <s v=" Monthly"/>
    <n v="16.96"/>
    <n v="2040394"/>
    <n v="346051"/>
    <n v="270194.91486932704"/>
    <n v="78886.886297474251"/>
    <x v="617"/>
    <n v="46.86"/>
  </r>
  <r>
    <s v=" 31-05-2018"/>
    <x v="8"/>
    <s v=" Monthly"/>
    <n v="13.81"/>
    <n v="2030015"/>
    <n v="280345"/>
    <n v="323294.17446079809"/>
    <n v="89242.777821710464"/>
    <x v="618"/>
    <n v="44.84"/>
  </r>
  <r>
    <s v=" 30-06-2018"/>
    <x v="8"/>
    <s v=" Monthly"/>
    <n v="11.11"/>
    <n v="1941319"/>
    <n v="215681"/>
    <n v="293229.75233823946"/>
    <n v="79612.259846723551"/>
    <x v="619"/>
    <n v="41.51"/>
  </r>
  <r>
    <s v=" 31-07-2018"/>
    <x v="8"/>
    <s v=" Monthly"/>
    <n v="17.7"/>
    <n v="1956462"/>
    <n v="346294"/>
    <n v="238945.62570147181"/>
    <n v="67361.181272880436"/>
    <x v="620"/>
    <n v="45.11"/>
  </r>
  <r>
    <s v=" 31-08-2018"/>
    <x v="8"/>
    <s v=" Monthly"/>
    <n v="17.09"/>
    <n v="2006877"/>
    <n v="342975"/>
    <n v="314089.48771044152"/>
    <n v="80378.508820493749"/>
    <x v="621"/>
    <n v="45.85"/>
  </r>
  <r>
    <s v=" 30-09-2018"/>
    <x v="8"/>
    <s v=" Monthly"/>
    <n v="14.53"/>
    <n v="2085719"/>
    <n v="303055"/>
    <n v="334309.34631313244"/>
    <n v="78255.681953420572"/>
    <x v="622"/>
    <n v="46.15"/>
  </r>
  <r>
    <s v=" 31-10-2018"/>
    <x v="8"/>
    <s v=" Monthly"/>
    <n v="12.44"/>
    <n v="1982012"/>
    <n v="246562"/>
    <n v="312431.30389393971"/>
    <n v="66670.534341712395"/>
    <x v="623"/>
    <n v="42.74"/>
  </r>
  <r>
    <s v=" 30-11-2018"/>
    <x v="8"/>
    <s v=" Monthly"/>
    <n v="19.32"/>
    <n v="2094338"/>
    <n v="404626"/>
    <n v="266322.79116818192"/>
    <n v="45276.823280657365"/>
    <x v="624"/>
    <n v="48.94"/>
  </r>
  <r>
    <s v=" 31-12-2018"/>
    <x v="8"/>
    <s v=" Monthly"/>
    <n v="18.670000000000002"/>
    <n v="2013285"/>
    <n v="375880"/>
    <n v="363135.03735045454"/>
    <n v="90265.122338052723"/>
    <x v="625"/>
    <n v="46.58"/>
  </r>
  <r>
    <s v=" 31-01-2019"/>
    <x v="8"/>
    <s v=" Monthly"/>
    <n v="14.29"/>
    <n v="2052608"/>
    <n v="293318"/>
    <n v="372056.51120513637"/>
    <n v="88748.665420177771"/>
    <x v="626"/>
    <n v="44.99"/>
  </r>
  <r>
    <s v=" 28-02-2019"/>
    <x v="8"/>
    <s v=" Monthly"/>
    <n v="13.33"/>
    <n v="1988122"/>
    <n v="265017"/>
    <n v="316939.55336154089"/>
    <n v="92177.301603878557"/>
    <x v="627"/>
    <n v="43.03"/>
  </r>
  <r>
    <s v=" 31-03-2019"/>
    <x v="8"/>
    <s v=" Monthly"/>
    <n v="18.55"/>
    <n v="1957550"/>
    <n v="363126"/>
    <n v="280593.76600846229"/>
    <n v="54948.881600149536"/>
    <x v="628"/>
    <n v="45.01"/>
  </r>
  <r>
    <s v=" 30-04-2019"/>
    <x v="8"/>
    <s v=" Monthly"/>
    <n v="19.18"/>
    <n v="1988817"/>
    <n v="381455"/>
    <n v="338366.32980253868"/>
    <n v="72358.538639235892"/>
    <x v="629"/>
    <n v="46.01"/>
  </r>
  <r>
    <s v=" 31-05-2019"/>
    <x v="8"/>
    <s v=" Monthly"/>
    <n v="13.68"/>
    <n v="2045761"/>
    <n v="279860"/>
    <n v="368528.39894076157"/>
    <n v="61547.14912054981"/>
    <x v="630"/>
    <n v="44.23"/>
  </r>
  <r>
    <s v=" 30-06-2019"/>
    <x v="8"/>
    <s v=" Monthly"/>
    <n v="11.43"/>
    <n v="1957081"/>
    <n v="223694"/>
    <n v="306460.51968222845"/>
    <n v="74230.021145395454"/>
    <x v="631"/>
    <n v="41.18"/>
  </r>
  <r>
    <s v=" 31-07-2019"/>
    <x v="8"/>
    <s v=" Monthly"/>
    <n v="20.59"/>
    <n v="1916824"/>
    <n v="394674"/>
    <n v="248523.95590466852"/>
    <n v="74316.923264292796"/>
    <x v="632"/>
    <n v="44.91"/>
  </r>
  <r>
    <s v=" 31-08-2019"/>
    <x v="8"/>
    <s v=" Monthly"/>
    <n v="18.559999999999999"/>
    <n v="1969248"/>
    <n v="365492"/>
    <n v="350828.98677140055"/>
    <n v="109654.33133274474"/>
    <x v="633"/>
    <n v="44.91"/>
  </r>
  <r>
    <s v=" 30-09-2019"/>
    <x v="8"/>
    <s v=" Monthly"/>
    <n v="15.98"/>
    <n v="2039804"/>
    <n v="325961"/>
    <n v="361093.09603142017"/>
    <n v="97339.844747356023"/>
    <x v="634"/>
    <n v="45.02"/>
  </r>
  <r>
    <s v=" 31-10-2019"/>
    <x v="8"/>
    <s v=" Monthly"/>
    <n v="15.81"/>
    <n v="1946957"/>
    <n v="307814"/>
    <n v="336500.62880942604"/>
    <n v="87195.38121859885"/>
    <x v="635"/>
    <n v="42.81"/>
  </r>
  <r>
    <s v=" 30-11-2019"/>
    <x v="8"/>
    <s v=" Monthly"/>
    <n v="22.86"/>
    <n v="2024409"/>
    <n v="462780"/>
    <n v="316419.98864282778"/>
    <n v="27520.845438520493"/>
    <x v="636"/>
    <n v="48.5"/>
  </r>
  <r>
    <s v=" 31-12-2019"/>
    <x v="8"/>
    <s v=" Monthly"/>
    <n v="19.46"/>
    <n v="1922821"/>
    <n v="374181"/>
    <n v="418871.99659284833"/>
    <n v="88465.510734376585"/>
    <x v="637"/>
    <n v="44.05"/>
  </r>
  <r>
    <s v=" 31-01-2020"/>
    <x v="8"/>
    <s v=" Monthly"/>
    <n v="16.670000000000002"/>
    <n v="2041035"/>
    <n v="340241"/>
    <n v="387588.29897785449"/>
    <n v="89891.52865793927"/>
    <x v="638"/>
    <n v="45.11"/>
  </r>
  <r>
    <s v=" 29-02-2020"/>
    <x v="8"/>
    <s v=" Monthly"/>
    <n v="15.42"/>
    <n v="1952464"/>
    <n v="301070"/>
    <n v="354445.18969335634"/>
    <n v="92484.782210249599"/>
    <x v="639"/>
    <n v="42.45"/>
  </r>
  <r>
    <s v=" 31-03-2020"/>
    <x v="8"/>
    <s v=" Monthly"/>
    <n v="17.71"/>
    <n v="1800426"/>
    <n v="318855"/>
    <n v="317082.5569080069"/>
    <n v="48607.142039560727"/>
    <x v="640"/>
    <n v="40.17"/>
  </r>
  <r>
    <s v=" 30-04-2020"/>
    <x v="8"/>
    <s v=" Monthly"/>
    <n v="2.13"/>
    <n v="984171"/>
    <n v="20963"/>
    <n v="318323.26707240206"/>
    <n v="41206.064075628754"/>
    <x v="641"/>
    <n v="18.43"/>
  </r>
  <r>
    <s v=" 31-05-2020"/>
    <x v="8"/>
    <s v=" Monthly"/>
    <n v="25.64"/>
    <n v="1732050"/>
    <n v="444098"/>
    <n v="110171.08012172062"/>
    <n v="174427.80824043549"/>
    <x v="642"/>
    <n v="42.62"/>
  </r>
  <r>
    <s v=" 30-06-2020"/>
    <x v="8"/>
    <s v=" Monthly"/>
    <n v="12.85"/>
    <n v="1981244"/>
    <n v="254590"/>
    <n v="343919.92403651617"/>
    <n v="258155.93337314529"/>
    <x v="643"/>
    <n v="41.53"/>
  </r>
  <r>
    <s v=" 31-07-2020"/>
    <x v="8"/>
    <s v=" Monthly"/>
    <n v="24.06"/>
    <n v="2013770"/>
    <n v="484513"/>
    <n v="281388.97721095488"/>
    <n v="263255.35865463078"/>
    <x v="644"/>
    <n v="48.36"/>
  </r>
  <r>
    <s v=" 31-08-2020"/>
    <x v="8"/>
    <s v=" Monthly"/>
    <n v="14.05"/>
    <n v="1801879"/>
    <n v="253164"/>
    <n v="423575.79316328641"/>
    <n v="231478.14279953743"/>
    <x v="645"/>
    <n v="38.17"/>
  </r>
  <r>
    <s v=" 30-09-2020"/>
    <x v="8"/>
    <s v=" Monthly"/>
    <n v="11.36"/>
    <n v="2008871"/>
    <n v="228208"/>
    <n v="304287.53794898593"/>
    <n v="161533.67369427028"/>
    <x v="646"/>
    <n v="41.2"/>
  </r>
  <r>
    <s v=" 31-10-2020"/>
    <x v="8"/>
    <s v=" Monthly"/>
    <n v="13.42"/>
    <n v="1913360"/>
    <n v="256773"/>
    <n v="251031.86138469575"/>
    <n v="159256.23376356147"/>
    <x v="647"/>
    <n v="40.1"/>
  </r>
  <r>
    <s v=" 30-11-2020"/>
    <x v="8"/>
    <s v=" Monthly"/>
    <n v="15.57"/>
    <n v="1760074"/>
    <n v="274044"/>
    <n v="255050.65841540869"/>
    <n v="107798.01484915825"/>
    <x v="648"/>
    <n v="37.770000000000003"/>
  </r>
  <r>
    <s v=" 31-12-2020"/>
    <x v="8"/>
    <s v=" Monthly"/>
    <n v="7.02"/>
    <n v="1953491"/>
    <n v="137135"/>
    <n v="268345.99752462259"/>
    <n v="45393.846101574512"/>
    <x v="649"/>
    <n v="38"/>
  </r>
  <r>
    <s v=" 31-01-2021"/>
    <x v="8"/>
    <s v=" Monthly"/>
    <n v="11.43"/>
    <n v="2019761"/>
    <n v="230859"/>
    <n v="176498.29925738677"/>
    <n v="76615.998260928114"/>
    <x v="650"/>
    <n v="41.18"/>
  </r>
  <r>
    <s v=" 28-02-2021"/>
    <x v="8"/>
    <s v=" Monthly"/>
    <n v="15.5"/>
    <n v="1867240"/>
    <n v="289422"/>
    <n v="214550.78977721601"/>
    <n v="82728.791201901477"/>
    <x v="651"/>
    <n v="39.840000000000003"/>
  </r>
  <r>
    <s v=" 31-03-2021"/>
    <x v="8"/>
    <s v=" Monthly"/>
    <n v="13.84"/>
    <n v="1706608"/>
    <n v="236195"/>
    <n v="266960.63693316479"/>
    <n v="92695.037222170606"/>
    <x v="652"/>
    <n v="35.65"/>
  </r>
  <r>
    <s v=" 30-04-2021"/>
    <x v="8"/>
    <s v=" Monthly"/>
    <n v="10.53"/>
    <n v="1789783"/>
    <n v="188464"/>
    <n v="245424.69107994944"/>
    <n v="56294.784605549321"/>
    <x v="653"/>
    <n v="35.950000000000003"/>
  </r>
  <r>
    <s v=" 31-05-2021"/>
    <x v="8"/>
    <s v=" Monthly"/>
    <n v="6.85"/>
    <n v="2026996"/>
    <n v="138849"/>
    <n v="205552.20732398483"/>
    <n v="57145.261875426033"/>
    <x v="654"/>
    <n v="39.04"/>
  </r>
  <r>
    <s v=" 30-06-2021"/>
    <x v="8"/>
    <s v=" Monthly"/>
    <n v="17.190000000000001"/>
    <n v="1750982"/>
    <n v="300994"/>
    <n v="158859.96219719545"/>
    <n v="53666.75759262043"/>
    <x v="655"/>
    <n v="37.869999999999997"/>
  </r>
  <r>
    <s v=" 31-07-2021"/>
    <x v="8"/>
    <s v=" Monthly"/>
    <n v="14.62"/>
    <n v="1806499"/>
    <n v="264110"/>
    <n v="258353.78865915863"/>
    <n v="96429.461088993281"/>
    <x v="656"/>
    <n v="37.83"/>
  </r>
  <r>
    <s v=" 31-08-2021"/>
    <x v="8"/>
    <s v=" Monthly"/>
    <n v="4.03"/>
    <n v="1867380"/>
    <n v="75255"/>
    <n v="262383.13659774757"/>
    <n v="90709.309589177981"/>
    <x v="657"/>
    <n v="34.729999999999997"/>
  </r>
  <r>
    <s v=" 30-09-2021"/>
    <x v="8"/>
    <s v=" Monthly"/>
    <n v="7.94"/>
    <n v="1721976"/>
    <n v="136725"/>
    <n v="131393.44097932428"/>
    <n v="135710.67039560643"/>
    <x v="658"/>
    <n v="33.33"/>
  </r>
  <r>
    <s v=" 31-10-2021"/>
    <x v="8"/>
    <s v=" Monthly"/>
    <n v="14.58"/>
    <n v="1732702"/>
    <n v="252628"/>
    <n v="135125.5322937973"/>
    <n v="108133.40371525142"/>
    <x v="659"/>
    <n v="36.090000000000003"/>
  </r>
  <r>
    <s v=" 30-11-2021"/>
    <x v="8"/>
    <s v=" Monthly"/>
    <n v="13.29"/>
    <n v="1684046"/>
    <n v="223810"/>
    <n v="217377.25968813917"/>
    <n v="127609.03174042115"/>
    <x v="660"/>
    <n v="34.5"/>
  </r>
  <r>
    <s v=" 31-12-2021"/>
    <x v="8"/>
    <s v=" Monthly"/>
    <n v="9.35"/>
    <n v="1763174"/>
    <n v="164857"/>
    <n v="221880.17790644174"/>
    <n v="68011.360782734904"/>
    <x v="661"/>
    <n v="34.49"/>
  </r>
  <r>
    <s v=" 31-01-2022"/>
    <x v="8"/>
    <s v=" Monthly"/>
    <n v="14.4"/>
    <n v="1638014"/>
    <n v="235874"/>
    <n v="181963.9533719325"/>
    <n v="75498.019584438443"/>
    <x v="662"/>
    <n v="33.880000000000003"/>
  </r>
  <r>
    <s v=" 28-02-2022"/>
    <x v="8"/>
    <s v=" Monthly"/>
    <n v="12.41"/>
    <n v="1620270"/>
    <n v="201076"/>
    <n v="219700.98601157975"/>
    <n v="45458.098266095403"/>
    <x v="663"/>
    <n v="32.700000000000003"/>
  </r>
  <r>
    <s v=" 31-03-2022"/>
    <x v="8"/>
    <s v=" Monthly"/>
    <n v="11.3"/>
    <n v="1545537"/>
    <n v="174646"/>
    <n v="206663.49580347392"/>
    <n v="46564.743636939384"/>
    <x v="664"/>
    <n v="30.75"/>
  </r>
  <r>
    <s v=" 30-04-2022"/>
    <x v="8"/>
    <s v=" Monthly"/>
    <n v="0"/>
    <n v="1732013"/>
    <n v="0"/>
    <n v="184251.24874104216"/>
    <n v="37763.753648604303"/>
    <x v="665"/>
    <n v="30.51"/>
  </r>
  <r>
    <s v=" 31-01-2016"/>
    <x v="9"/>
    <s v=" Monthly"/>
    <n v="11.52"/>
    <n v="2456244"/>
    <n v="282959"/>
    <n v="55275.374622312644"/>
    <n v="108505.81060338105"/>
    <x v="666"/>
    <n v="42.68"/>
  </r>
  <r>
    <s v=" 29-02-2016"/>
    <x v="9"/>
    <s v=" Monthly"/>
    <n v="18.62"/>
    <n v="2299744"/>
    <n v="428212"/>
    <n v="214653.91238669379"/>
    <n v="170111.21456788786"/>
    <x v="667"/>
    <n v="43.36"/>
  </r>
  <r>
    <s v=" 31-03-2016"/>
    <x v="9"/>
    <s v=" Monthly"/>
    <n v="11.52"/>
    <n v="2413465"/>
    <n v="278031"/>
    <n v="364144.5737160081"/>
    <n v="209280.84218167467"/>
    <x v="668"/>
    <n v="41.77"/>
  </r>
  <r>
    <s v=" 30-04-2016"/>
    <x v="9"/>
    <s v=" Monthly"/>
    <n v="5.29"/>
    <n v="2619857"/>
    <n v="138590"/>
    <n v="303865.07211480243"/>
    <n v="186960.27887256516"/>
    <x v="669"/>
    <n v="42.27"/>
  </r>
  <r>
    <s v=" 31-05-2016"/>
    <x v="9"/>
    <s v=" Monthly"/>
    <n v="22.68"/>
    <n v="2366341"/>
    <n v="536686"/>
    <n v="188172.52163444072"/>
    <n v="163644.38459226975"/>
    <x v="670"/>
    <n v="46.67"/>
  </r>
  <r>
    <s v=" 30-06-2016"/>
    <x v="9"/>
    <s v=" Monthly"/>
    <n v="21.38"/>
    <n v="2427365"/>
    <n v="518971"/>
    <n v="432131.95649033214"/>
    <n v="228176.13199978991"/>
    <x v="671"/>
    <n v="47"/>
  </r>
  <r>
    <s v=" 31-07-2016"/>
    <x v="9"/>
    <s v=" Monthly"/>
    <n v="17.04"/>
    <n v="2416967"/>
    <n v="411851"/>
    <n v="492919.28694709961"/>
    <n v="228267.76202717738"/>
    <x v="672"/>
    <n v="44.25"/>
  </r>
  <r>
    <s v=" 31-08-2016"/>
    <x v="9"/>
    <s v=" Monthly"/>
    <n v="25"/>
    <n v="2664982"/>
    <n v="666246"/>
    <n v="436171.48608412984"/>
    <n v="212583.10628134149"/>
    <x v="673"/>
    <n v="53.86"/>
  </r>
  <r>
    <s v=" 30-09-2016"/>
    <x v="9"/>
    <s v=" Monthly"/>
    <n v="26.74"/>
    <n v="2256905"/>
    <n v="603496"/>
    <n v="597223.6458252389"/>
    <n v="149496.23025329123"/>
    <x v="674"/>
    <n v="46.6"/>
  </r>
  <r>
    <s v=" 31-10-2016"/>
    <x v="9"/>
    <s v=" Monthly"/>
    <n v="25.76"/>
    <n v="2304905"/>
    <n v="593744"/>
    <n v="601614.29374757165"/>
    <n v="140884.9312134491"/>
    <x v="675"/>
    <n v="46.87"/>
  </r>
  <r>
    <s v=" 30-11-2016"/>
    <x v="9"/>
    <s v=" Monthly"/>
    <n v="34.33"/>
    <n v="2157865"/>
    <n v="740795"/>
    <n v="596105.08812427148"/>
    <n v="132960.60306746338"/>
    <x v="676"/>
    <n v="49.51"/>
  </r>
  <r>
    <s v=" 31-12-2016"/>
    <x v="9"/>
    <s v=" Monthly"/>
    <n v="22.89"/>
    <n v="2722685"/>
    <n v="623223"/>
    <n v="697388.0264372814"/>
    <n v="83738.590365439813"/>
    <x v="677"/>
    <n v="53.09"/>
  </r>
  <r>
    <s v=" 31-01-2017"/>
    <x v="9"/>
    <s v=" Monthly"/>
    <n v="25"/>
    <n v="2240329"/>
    <n v="560082"/>
    <n v="645472.50793118437"/>
    <n v="93981.49333551756"/>
    <x v="678"/>
    <n v="44.82"/>
  </r>
  <r>
    <s v=" 28-02-2017"/>
    <x v="9"/>
    <s v=" Monthly"/>
    <n v="7.05"/>
    <n v="2450978"/>
    <n v="172794"/>
    <n v="585699.15237935528"/>
    <n v="106030.12243350848"/>
    <x v="679"/>
    <n v="39.49"/>
  </r>
  <r>
    <s v=" 31-03-2017"/>
    <x v="9"/>
    <s v=" Monthly"/>
    <n v="22.7"/>
    <n v="2426854"/>
    <n v="550896"/>
    <n v="296665.54571380652"/>
    <n v="247172.44645025121"/>
    <x v="680"/>
    <n v="46.92"/>
  </r>
  <r>
    <s v=" 30-04-2017"/>
    <x v="9"/>
    <s v=" Monthly"/>
    <n v="19.54"/>
    <n v="2676450"/>
    <n v="522978"/>
    <n v="474626.86371414189"/>
    <n v="284262.39497614908"/>
    <x v="681"/>
    <n v="49.62"/>
  </r>
  <r>
    <s v=" 31-05-2017"/>
    <x v="9"/>
    <s v=" Monthly"/>
    <n v="9.85"/>
    <n v="2304774"/>
    <n v="227020"/>
    <n v="508472.65911424253"/>
    <n v="281342.98233539111"/>
    <x v="682"/>
    <n v="38.06"/>
  </r>
  <r>
    <s v=" 30-06-2017"/>
    <x v="9"/>
    <s v=" Monthly"/>
    <n v="8.7899999999999991"/>
    <n v="2367608"/>
    <n v="208113"/>
    <n v="311455.79773427278"/>
    <n v="220746.12536363726"/>
    <x v="683"/>
    <n v="38.57"/>
  </r>
  <r>
    <s v=" 31-07-2017"/>
    <x v="9"/>
    <s v=" Monthly"/>
    <n v="7.78"/>
    <n v="2361216"/>
    <n v="183703"/>
    <n v="239115.83932028181"/>
    <n v="175340.77824449778"/>
    <x v="684"/>
    <n v="37.96"/>
  </r>
  <r>
    <s v=" 31-08-2017"/>
    <x v="9"/>
    <s v=" Monthly"/>
    <n v="6.31"/>
    <n v="2734692"/>
    <n v="172559"/>
    <n v="200326.85179608455"/>
    <n v="176035.90157271916"/>
    <x v="685"/>
    <n v="43.19"/>
  </r>
  <r>
    <s v=" 30-09-2017"/>
    <x v="9"/>
    <s v=" Monthly"/>
    <n v="13.44"/>
    <n v="2391408"/>
    <n v="321405"/>
    <n v="180889.35553882536"/>
    <n v="69573.390982595971"/>
    <x v="686"/>
    <n v="40.799999999999997"/>
  </r>
  <r>
    <s v=" 31-10-2017"/>
    <x v="9"/>
    <s v=" Monthly"/>
    <n v="10.99"/>
    <n v="2424483"/>
    <n v="266451"/>
    <n v="279250.30666164763"/>
    <n v="88668.451159819568"/>
    <x v="687"/>
    <n v="40.14"/>
  </r>
  <r>
    <s v=" 30-11-2017"/>
    <x v="9"/>
    <s v=" Monthly"/>
    <n v="12.86"/>
    <n v="2498696"/>
    <n v="321332"/>
    <n v="270290.7919984943"/>
    <n v="83025.141137544313"/>
    <x v="688"/>
    <n v="42.17"/>
  </r>
  <r>
    <s v=" 31-12-2017"/>
    <x v="9"/>
    <s v=" Monthly"/>
    <n v="12.76"/>
    <n v="2693199"/>
    <n v="343652"/>
    <n v="306019.63759954827"/>
    <n v="86628.851051696605"/>
    <x v="689"/>
    <n v="45.31"/>
  </r>
  <r>
    <s v=" 31-01-2018"/>
    <x v="9"/>
    <s v=" Monthly"/>
    <n v="6.87"/>
    <n v="2435760"/>
    <n v="167337"/>
    <n v="332362.2912798645"/>
    <n v="37350.688816097267"/>
    <x v="690"/>
    <n v="38.31"/>
  </r>
  <r>
    <s v=" 28-02-2018"/>
    <x v="9"/>
    <s v=" Monthly"/>
    <n v="15.89"/>
    <n v="2258418"/>
    <n v="358863"/>
    <n v="216844.58738395933"/>
    <n v="102069.82312139081"/>
    <x v="691"/>
    <n v="39.25"/>
  </r>
  <r>
    <s v=" 31-03-2018"/>
    <x v="9"/>
    <s v=" Monthly"/>
    <n v="14.35"/>
    <n v="2529950"/>
    <n v="363048"/>
    <n v="316257.47621518775"/>
    <n v="127565.37014909"/>
    <x v="692"/>
    <n v="43.09"/>
  </r>
  <r>
    <s v=" 30-04-2018"/>
    <x v="9"/>
    <s v=" Monthly"/>
    <n v="10.14"/>
    <n v="2786778"/>
    <n v="282579"/>
    <n v="349010.8428645563"/>
    <n v="128571.54869311897"/>
    <x v="693"/>
    <n v="45.15"/>
  </r>
  <r>
    <s v=" 31-05-2018"/>
    <x v="9"/>
    <s v=" Monthly"/>
    <n v="7.98"/>
    <n v="2511807"/>
    <n v="200442"/>
    <n v="302508.55285936687"/>
    <n v="94466.523849136036"/>
    <x v="694"/>
    <n v="39.659999999999997"/>
  </r>
  <r>
    <s v=" 30-06-2018"/>
    <x v="9"/>
    <s v=" Monthly"/>
    <n v="11.44"/>
    <n v="2296539"/>
    <n v="262724"/>
    <n v="231061.96585781005"/>
    <n v="75321.807543880481"/>
    <x v="695"/>
    <n v="37.61"/>
  </r>
  <r>
    <s v=" 31-07-2018"/>
    <x v="9"/>
    <s v=" Monthly"/>
    <n v="8.4600000000000009"/>
    <n v="2515607"/>
    <n v="212820"/>
    <n v="253225.38975734299"/>
    <n v="72648.136853824937"/>
    <x v="696"/>
    <n v="39.770000000000003"/>
  </r>
  <r>
    <s v=" 31-08-2018"/>
    <x v="9"/>
    <s v=" Monthly"/>
    <n v="6.99"/>
    <n v="2759042"/>
    <n v="192857"/>
    <n v="224941.61692720291"/>
    <n v="65961.254132149261"/>
    <x v="697"/>
    <n v="42.84"/>
  </r>
  <r>
    <s v=" 30-09-2018"/>
    <x v="9"/>
    <s v=" Monthly"/>
    <n v="13.01"/>
    <n v="2378621"/>
    <n v="309459"/>
    <n v="202482.38507816085"/>
    <n v="34949.976494171184"/>
    <x v="698"/>
    <n v="39.409999999999997"/>
  </r>
  <r>
    <s v=" 31-10-2018"/>
    <x v="9"/>
    <s v=" Monthly"/>
    <n v="12.92"/>
    <n v="2170451"/>
    <n v="280422"/>
    <n v="277366.01552344824"/>
    <n v="68571.165720837336"/>
    <x v="699"/>
    <n v="35.85"/>
  </r>
  <r>
    <s v=" 30-11-2018"/>
    <x v="9"/>
    <s v=" Monthly"/>
    <n v="10.58"/>
    <n v="2409452"/>
    <n v="254920"/>
    <n v="279505.20465703448"/>
    <n v="64505.187968673599"/>
    <x v="700"/>
    <n v="38.68"/>
  </r>
  <r>
    <s v=" 31-12-2018"/>
    <x v="9"/>
    <s v=" Monthly"/>
    <n v="8.24"/>
    <n v="2703612"/>
    <n v="222778"/>
    <n v="262295.56139711034"/>
    <n v="63397.601083123678"/>
    <x v="701"/>
    <n v="42.21"/>
  </r>
  <r>
    <s v=" 31-01-2019"/>
    <x v="9"/>
    <s v=" Monthly"/>
    <n v="14.6"/>
    <n v="2453894"/>
    <n v="358269"/>
    <n v="234633.26841913309"/>
    <n v="26928.355488366913"/>
    <x v="702"/>
    <n v="41.08"/>
  </r>
  <r>
    <s v=" 28-02-2019"/>
    <x v="9"/>
    <s v=" Monthly"/>
    <n v="13.3"/>
    <n v="2366325"/>
    <n v="314721"/>
    <n v="321178.28052573989"/>
    <n v="76271.148040699336"/>
    <x v="703"/>
    <n v="38.950000000000003"/>
  </r>
  <r>
    <s v=" 31-03-2019"/>
    <x v="9"/>
    <s v=" Monthly"/>
    <n v="13.73"/>
    <n v="2582126"/>
    <n v="354526"/>
    <n v="316658.18415772193"/>
    <n v="75031.38955152627"/>
    <x v="704"/>
    <n v="42.62"/>
  </r>
  <r>
    <s v=" 30-04-2019"/>
    <x v="9"/>
    <s v=" Monthly"/>
    <n v="8.73"/>
    <n v="2828192"/>
    <n v="246901"/>
    <n v="343165.65524731658"/>
    <n v="74747.26766910158"/>
    <x v="705"/>
    <n v="44.04"/>
  </r>
  <r>
    <s v=" 31-05-2019"/>
    <x v="9"/>
    <s v=" Monthly"/>
    <n v="12.78"/>
    <n v="2495186"/>
    <n v="318885"/>
    <n v="275780.39657419495"/>
    <n v="59840.208885379347"/>
    <x v="706"/>
    <n v="40.57"/>
  </r>
  <r>
    <s v=" 30-06-2019"/>
    <x v="9"/>
    <s v=" Monthly"/>
    <n v="12.09"/>
    <n v="2423742"/>
    <n v="293030"/>
    <n v="305953.61897225847"/>
    <n v="64701.525389141912"/>
    <x v="707"/>
    <n v="39.020000000000003"/>
  </r>
  <r>
    <s v=" 31-07-2019"/>
    <x v="9"/>
    <s v=" Monthly"/>
    <n v="13.67"/>
    <n v="2549315"/>
    <n v="348491"/>
    <n v="296907.08569167752"/>
    <n v="61351.203774445908"/>
    <x v="708"/>
    <n v="41.71"/>
  </r>
  <r>
    <s v=" 31-08-2019"/>
    <x v="9"/>
    <s v=" Monthly"/>
    <n v="11.32"/>
    <n v="2778624"/>
    <n v="314540"/>
    <n v="333015.82570750325"/>
    <n v="39521.837757558787"/>
    <x v="709"/>
    <n v="44.17"/>
  </r>
  <r>
    <s v=" 30-09-2019"/>
    <x v="9"/>
    <s v=" Monthly"/>
    <n v="20.190000000000001"/>
    <n v="2244333"/>
    <n v="453131"/>
    <n v="320082.74771225097"/>
    <n v="32502.698750937143"/>
    <x v="710"/>
    <n v="39.56"/>
  </r>
  <r>
    <s v=" 31-10-2019"/>
    <x v="9"/>
    <s v=" Monthly"/>
    <n v="19.27"/>
    <n v="2477621"/>
    <n v="477438"/>
    <n v="413216.52431367524"/>
    <n v="83074.452125321302"/>
    <x v="711"/>
    <n v="43.08"/>
  </r>
  <r>
    <s v=" 30-11-2019"/>
    <x v="9"/>
    <s v=" Monthly"/>
    <n v="14.73"/>
    <n v="2415724"/>
    <n v="355836"/>
    <n v="458171.55729410256"/>
    <n v="85960.43956713994"/>
    <x v="712"/>
    <n v="39.69"/>
  </r>
  <r>
    <s v=" 31-01-2020"/>
    <x v="9"/>
    <s v=" Monthly"/>
    <n v="22.19"/>
    <n v="2373488"/>
    <n v="526677"/>
    <n v="386536.66718823079"/>
    <n v="103760.62461719001"/>
    <x v="713"/>
    <n v="42.56"/>
  </r>
  <r>
    <s v=" 29-02-2020"/>
    <x v="9"/>
    <s v=" Monthly"/>
    <n v="21.23"/>
    <n v="2163397"/>
    <n v="459289"/>
    <n v="484634.9001564692"/>
    <n v="106827.39521710898"/>
    <x v="714"/>
    <n v="38.25"/>
  </r>
  <r>
    <s v=" 31-03-2020"/>
    <x v="9"/>
    <s v=" Monthly"/>
    <n v="16"/>
    <n v="2361004"/>
    <n v="377761"/>
    <n v="466892.77004694077"/>
    <n v="101249.35196834544"/>
    <x v="715"/>
    <n v="39.06"/>
  </r>
  <r>
    <s v=" 31-05-2020"/>
    <x v="9"/>
    <s v=" Monthly"/>
    <n v="20.87"/>
    <n v="2309058"/>
    <n v="481900"/>
    <n v="404500.53101408225"/>
    <n v="96998.625363173531"/>
    <x v="716"/>
    <n v="40.39"/>
  </r>
  <r>
    <s v=" 30-06-2020"/>
    <x v="9"/>
    <s v=" Monthly"/>
    <n v="18.97"/>
    <n v="2049617"/>
    <n v="388812"/>
    <n v="458680.15930422465"/>
    <n v="69707.878286805993"/>
    <x v="717"/>
    <n v="34.94"/>
  </r>
  <r>
    <s v=" 31-07-2020"/>
    <x v="9"/>
    <s v=" Monthly"/>
    <n v="12.16"/>
    <n v="2455781"/>
    <n v="298623"/>
    <n v="409772.44779126736"/>
    <n v="79197.453485078018"/>
    <x v="718"/>
    <n v="38.54"/>
  </r>
  <r>
    <s v=" 31-08-2020"/>
    <x v="9"/>
    <s v=" Monthly"/>
    <n v="9.86"/>
    <n v="2398006"/>
    <n v="236443"/>
    <n v="331967.83433738019"/>
    <n v="87989.463816539283"/>
    <x v="719"/>
    <n v="36.6"/>
  </r>
  <r>
    <s v=" 30-09-2020"/>
    <x v="9"/>
    <s v=" Monthly"/>
    <n v="16.670000000000002"/>
    <n v="2276081"/>
    <n v="379423"/>
    <n v="265100.450301214"/>
    <n v="93738.560909315071"/>
    <x v="720"/>
    <n v="37.5"/>
  </r>
  <r>
    <s v=" 31-10-2020"/>
    <x v="9"/>
    <s v=" Monthly"/>
    <n v="18.989999999999998"/>
    <n v="2103975"/>
    <n v="399545"/>
    <n v="345126.23509036418"/>
    <n v="107313.93057927287"/>
    <x v="721"/>
    <n v="35.590000000000003"/>
  </r>
  <r>
    <s v=" 30-11-2020"/>
    <x v="9"/>
    <s v=" Monthly"/>
    <n v="6.19"/>
    <n v="2061655"/>
    <n v="127616"/>
    <n v="383219.37052710925"/>
    <n v="91571.540919482795"/>
    <x v="722"/>
    <n v="30.05"/>
  </r>
  <r>
    <s v=" 31-01-2021"/>
    <x v="9"/>
    <s v=" Monthly"/>
    <n v="20.350000000000001"/>
    <n v="2250612"/>
    <n v="458000"/>
    <n v="204297.01115813275"/>
    <n v="164685.6909071948"/>
    <x v="723"/>
    <n v="38.479999999999997"/>
  </r>
  <r>
    <s v=" 28-02-2021"/>
    <x v="9"/>
    <s v=" Monthly"/>
    <n v="13.41"/>
    <n v="2016760"/>
    <n v="270448"/>
    <n v="381889.10334743984"/>
    <n v="210285.27571405272"/>
    <x v="724"/>
    <n v="31.66"/>
  </r>
  <r>
    <s v=" 31-03-2021"/>
    <x v="9"/>
    <s v=" Monthly"/>
    <n v="9.33"/>
    <n v="2097497"/>
    <n v="195696"/>
    <n v="303880.33100423194"/>
    <n v="217652.17595007722"/>
    <x v="725"/>
    <n v="31.38"/>
  </r>
  <r>
    <s v=" 30-04-2021"/>
    <x v="9"/>
    <s v=" Monthly"/>
    <n v="10.53"/>
    <n v="2700551"/>
    <n v="284368"/>
    <n v="228151.29930126958"/>
    <n v="171744.16587609277"/>
    <x v="726"/>
    <n v="40.86"/>
  </r>
  <r>
    <s v=" 31-05-2021"/>
    <x v="9"/>
    <s v=" Monthly"/>
    <n v="9.0500000000000007"/>
    <n v="2367082"/>
    <n v="214221"/>
    <n v="267502.98979038082"/>
    <n v="95364.714696751835"/>
    <x v="727"/>
    <n v="35.159999999999997"/>
  </r>
  <r>
    <s v=" 30-06-2021"/>
    <x v="9"/>
    <s v=" Monthly"/>
    <n v="6.67"/>
    <n v="2264323"/>
    <n v="151030"/>
    <n v="230205.59693711423"/>
    <n v="76818.264643043716"/>
    <x v="728"/>
    <n v="32.71"/>
  </r>
  <r>
    <s v=" 31-07-2021"/>
    <x v="9"/>
    <s v=" Monthly"/>
    <n v="14.98"/>
    <n v="2295211"/>
    <n v="343823"/>
    <n v="174782.67908113427"/>
    <n v="63948.059714691517"/>
    <x v="729"/>
    <n v="36.32"/>
  </r>
  <r>
    <s v=" 31-08-2021"/>
    <x v="9"/>
    <s v=" Monthly"/>
    <n v="11.71"/>
    <n v="2653998"/>
    <n v="310783"/>
    <n v="293110.90372434026"/>
    <n v="112074.93874297342"/>
    <x v="730"/>
    <n v="40.36"/>
  </r>
  <r>
    <s v=" 30-09-2021"/>
    <x v="9"/>
    <s v=" Monthly"/>
    <n v="21.34"/>
    <n v="2315040"/>
    <n v="494030"/>
    <n v="305481.37111730204"/>
    <n v="108252.34136571469"/>
    <x v="731"/>
    <n v="39.44"/>
  </r>
  <r>
    <s v=" 31-10-2021"/>
    <x v="9"/>
    <s v=" Monthly"/>
    <n v="21.92"/>
    <n v="2120544"/>
    <n v="464823"/>
    <n v="437465.41133519064"/>
    <n v="146557.74577127688"/>
    <x v="732"/>
    <n v="36.32"/>
  </r>
  <r>
    <s v=" 30-11-2021"/>
    <x v="9"/>
    <s v=" Monthly"/>
    <n v="22.71"/>
    <n v="2331779"/>
    <n v="529547"/>
    <n v="456615.72340055718"/>
    <n v="110470.69912858409"/>
    <x v="733"/>
    <n v="40.270000000000003"/>
  </r>
  <r>
    <s v=" 31-12-2021"/>
    <x v="9"/>
    <s v=" Monthly"/>
    <n v="11.54"/>
    <n v="2886120"/>
    <n v="333058"/>
    <n v="507667.61702016712"/>
    <n v="117782.27684662168"/>
    <x v="734"/>
    <n v="43.45"/>
  </r>
  <r>
    <s v=" 31-01-2022"/>
    <x v="9"/>
    <s v=" Monthly"/>
    <n v="16.190000000000001"/>
    <n v="2251958"/>
    <n v="364592"/>
    <n v="385440.88510605012"/>
    <n v="110387.08728818297"/>
    <x v="735"/>
    <n v="35.71"/>
  </r>
  <r>
    <s v=" 28-02-2022"/>
    <x v="9"/>
    <s v=" Monthly"/>
    <n v="9.85"/>
    <n v="2228509"/>
    <n v="219508"/>
    <n v="370846.66553181503"/>
    <n v="109912.33699714081"/>
    <x v="736"/>
    <n v="32.799999999999997"/>
  </r>
  <r>
    <s v=" 31-03-2022"/>
    <x v="9"/>
    <s v=" Monthly"/>
    <n v="21.62"/>
    <n v="2265948"/>
    <n v="489898"/>
    <n v="264909.59965954447"/>
    <n v="133948.48020917756"/>
    <x v="737"/>
    <n v="38.28"/>
  </r>
  <r>
    <s v=" 30-04-2022"/>
    <x v="9"/>
    <s v=" Monthly"/>
    <n v="12.94"/>
    <n v="2522748"/>
    <n v="326444"/>
    <n v="422401.47989786335"/>
    <n v="157011.51548307209"/>
    <x v="738"/>
    <n v="38.29"/>
  </r>
  <r>
    <s v=" 31-01-2016"/>
    <x v="10"/>
    <s v=" Monthly"/>
    <n v="13.02"/>
    <n v="5758593"/>
    <n v="749769"/>
    <n v="355231.24396935897"/>
    <n v="166063.2509227097"/>
    <x v="739"/>
    <n v="37.369999999999997"/>
  </r>
  <r>
    <s v=" 29-02-2016"/>
    <x v="10"/>
    <s v=" Monthly"/>
    <n v="9.83"/>
    <n v="7053871"/>
    <n v="693396"/>
    <n v="631407.67319080757"/>
    <n v="268009.73811275314"/>
    <x v="740"/>
    <n v="44.06"/>
  </r>
  <r>
    <s v=" 31-03-2016"/>
    <x v="10"/>
    <s v=" Monthly"/>
    <n v="6.52"/>
    <n v="6651470"/>
    <n v="433676"/>
    <n v="674799.50195724226"/>
    <n v="237143.01700496103"/>
    <x v="741"/>
    <n v="39.979999999999997"/>
  </r>
  <r>
    <s v=" 30-04-2016"/>
    <x v="10"/>
    <s v=" Monthly"/>
    <n v="5.44"/>
    <n v="7966546"/>
    <n v="433380"/>
    <n v="506013.05058717262"/>
    <n v="269346.82523370069"/>
    <x v="742"/>
    <n v="47.23"/>
  </r>
  <r>
    <s v=" 31-05-2016"/>
    <x v="10"/>
    <s v=" Monthly"/>
    <n v="10.91"/>
    <n v="6013866"/>
    <n v="656113"/>
    <n v="455169.91517615179"/>
    <n v="149731.5997536105"/>
    <x v="743"/>
    <n v="37.76"/>
  </r>
  <r>
    <s v=" 30-06-2016"/>
    <x v="10"/>
    <s v=" Monthly"/>
    <n v="5.09"/>
    <n v="7251741"/>
    <n v="369114"/>
    <n v="595830.07455284544"/>
    <n v="186005.57928213448"/>
    <x v="744"/>
    <n v="42.64"/>
  </r>
  <r>
    <s v=" 31-07-2016"/>
    <x v="10"/>
    <s v=" Monthly"/>
    <n v="1.85"/>
    <n v="7150109"/>
    <n v="132277"/>
    <n v="437128.82236585359"/>
    <n v="179864.63598752482"/>
    <x v="745"/>
    <n v="40.56"/>
  </r>
  <r>
    <s v=" 31-08-2016"/>
    <x v="10"/>
    <s v=" Monthly"/>
    <n v="7.49"/>
    <n v="7692566"/>
    <n v="576173"/>
    <n v="223732.54670975608"/>
    <n v="248135.00048626593"/>
    <x v="746"/>
    <n v="46.19"/>
  </r>
  <r>
    <s v=" 30-09-2016"/>
    <x v="10"/>
    <s v=" Monthly"/>
    <n v="4.46"/>
    <n v="6937521"/>
    <n v="309413"/>
    <n v="470440.86401292682"/>
    <n v="299192.85039132979"/>
    <x v="747"/>
    <n v="40.25"/>
  </r>
  <r>
    <s v=" 31-10-2016"/>
    <x v="10"/>
    <s v=" Monthly"/>
    <n v="3.44"/>
    <n v="7299252"/>
    <n v="251094"/>
    <n v="357721.35920387798"/>
    <n v="284651.17817179923"/>
    <x v="748"/>
    <n v="41.8"/>
  </r>
  <r>
    <s v=" 30-11-2016"/>
    <x v="10"/>
    <s v=" Monthly"/>
    <n v="0.72"/>
    <n v="7298964"/>
    <n v="52553"/>
    <n v="283082.20776116336"/>
    <n v="232029.91174615905"/>
    <x v="749"/>
    <n v="40.56"/>
  </r>
  <r>
    <s v=" 31-12-2016"/>
    <x v="10"/>
    <s v=" Monthly"/>
    <n v="0.77"/>
    <n v="7863807"/>
    <n v="60551"/>
    <n v="121711.762328349"/>
    <n v="173630.91348254404"/>
    <x v="750"/>
    <n v="43.62"/>
  </r>
  <r>
    <s v=" 31-01-2017"/>
    <x v="10"/>
    <s v=" Monthly"/>
    <n v="3.31"/>
    <n v="7038602"/>
    <n v="232978"/>
    <n v="78899.228698504696"/>
    <n v="150835.17296524622"/>
    <x v="751"/>
    <n v="39.979999999999997"/>
  </r>
  <r>
    <s v=" 28-02-2017"/>
    <x v="10"/>
    <s v=" Monthly"/>
    <n v="2.38"/>
    <n v="7285603"/>
    <n v="173397"/>
    <n v="186754.3686095514"/>
    <n v="163935.57906014271"/>
    <x v="752"/>
    <n v="40.9"/>
  </r>
  <r>
    <s v=" 31-03-2017"/>
    <x v="10"/>
    <s v=" Monthly"/>
    <n v="0"/>
    <n v="7138318"/>
    <n v="0"/>
    <n v="177404.2105828654"/>
    <n v="96019.661025810608"/>
    <x v="753"/>
    <n v="39.03"/>
  </r>
  <r>
    <s v=" 30-04-2017"/>
    <x v="10"/>
    <s v=" Monthly"/>
    <n v="0.35"/>
    <n v="7572661"/>
    <n v="26504"/>
    <n v="53221.263174859618"/>
    <n v="135881.003080489"/>
    <x v="754"/>
    <n v="41.46"/>
  </r>
  <r>
    <s v=" 31-05-2017"/>
    <x v="10"/>
    <s v=" Monthly"/>
    <n v="1.75"/>
    <n v="7130551"/>
    <n v="124785"/>
    <n v="34519.178952457885"/>
    <n v="103866.07623963946"/>
    <x v="755"/>
    <n v="39.5"/>
  </r>
  <r>
    <s v=" 30-06-2017"/>
    <x v="10"/>
    <s v=" Monthly"/>
    <n v="3.67"/>
    <n v="7415602"/>
    <n v="272153"/>
    <n v="97705.253685737363"/>
    <n v="115951.1169034481"/>
    <x v="756"/>
    <n v="41.81"/>
  </r>
  <r>
    <s v=" 31-07-2017"/>
    <x v="10"/>
    <s v=" Monthly"/>
    <n v="0.51"/>
    <n v="6793196"/>
    <n v="34645"/>
    <n v="219818.67610572118"/>
    <n v="114446.12530949069"/>
    <x v="757"/>
    <n v="37"/>
  </r>
  <r>
    <s v=" 31-08-2017"/>
    <x v="10"/>
    <s v=" Monthly"/>
    <n v="1.18"/>
    <n v="7312124"/>
    <n v="86283"/>
    <n v="90197.102831716358"/>
    <n v="155851.66555202287"/>
    <x v="758"/>
    <n v="40"/>
  </r>
  <r>
    <s v=" 30-09-2017"/>
    <x v="10"/>
    <s v=" Monthly"/>
    <n v="8.1999999999999993"/>
    <n v="7091669"/>
    <n v="581517"/>
    <n v="87457.230849514905"/>
    <n v="146897.50022562119"/>
    <x v="759"/>
    <n v="41.67"/>
  </r>
  <r>
    <s v=" 31-10-2017"/>
    <x v="10"/>
    <s v=" Monthly"/>
    <n v="7.36"/>
    <n v="7312875"/>
    <n v="538228"/>
    <n v="433299.06925485446"/>
    <n v="304630.741508751"/>
    <x v="760"/>
    <n v="42.48"/>
  </r>
  <r>
    <s v=" 30-11-2017"/>
    <x v="10"/>
    <s v=" Monthly"/>
    <n v="5.7"/>
    <n v="6838769"/>
    <n v="389810"/>
    <n v="506749.32077645633"/>
    <n v="291616.44683918147"/>
    <x v="761"/>
    <n v="38.94"/>
  </r>
  <r>
    <s v=" 31-12-2017"/>
    <x v="10"/>
    <s v=" Monthly"/>
    <n v="6.19"/>
    <n v="7207751"/>
    <n v="446160"/>
    <n v="424891.7962329369"/>
    <n v="299321.42185506265"/>
    <x v="762"/>
    <n v="41.16"/>
  </r>
  <r>
    <s v=" 31-01-2018"/>
    <x v="10"/>
    <s v=" Monthly"/>
    <n v="4.76"/>
    <n v="7183570"/>
    <n v="341938"/>
    <n v="439779.53886988107"/>
    <n v="91537.281553211636"/>
    <x v="763"/>
    <n v="40.31"/>
  </r>
  <r>
    <s v=" 28-02-2018"/>
    <x v="10"/>
    <s v=" Monthly"/>
    <n v="5.99"/>
    <n v="7328725"/>
    <n v="438991"/>
    <n v="371290.4616609643"/>
    <n v="88882.146620422252"/>
    <x v="764"/>
    <n v="41.57"/>
  </r>
  <r>
    <s v=" 31-03-2018"/>
    <x v="10"/>
    <s v=" Monthly"/>
    <n v="6.19"/>
    <n v="7004467"/>
    <n v="433577"/>
    <n v="418680.83849828923"/>
    <n v="69782.199524183845"/>
    <x v="765"/>
    <n v="39.729999999999997"/>
  </r>
  <r>
    <s v=" 30-04-2018"/>
    <x v="10"/>
    <s v=" Monthly"/>
    <n v="8.9"/>
    <n v="6921262"/>
    <n v="615992"/>
    <n v="429108.15154948673"/>
    <n v="69229.630571759131"/>
    <x v="766"/>
    <n v="40.33"/>
  </r>
  <r>
    <s v=" 31-05-2018"/>
    <x v="10"/>
    <s v=" Monthly"/>
    <n v="7.45"/>
    <n v="7141579"/>
    <n v="532048"/>
    <n v="559926.845464846"/>
    <n v="115080.88652560092"/>
    <x v="767"/>
    <n v="40.869999999999997"/>
  </r>
  <r>
    <s v=" 30-06-2018"/>
    <x v="10"/>
    <s v=" Monthly"/>
    <n v="7.93"/>
    <n v="7239300"/>
    <n v="574076"/>
    <n v="540411.65363945381"/>
    <n v="109429.88388859207"/>
    <x v="768"/>
    <n v="41.55"/>
  </r>
  <r>
    <s v=" 31-07-2018"/>
    <x v="10"/>
    <s v=" Monthly"/>
    <n v="9.1999999999999993"/>
    <n v="6963289"/>
    <n v="640623"/>
    <n v="563976.69609183609"/>
    <n v="110809.28218040519"/>
    <x v="769"/>
    <n v="40.43"/>
  </r>
  <r>
    <s v=" 31-08-2018"/>
    <x v="10"/>
    <s v=" Monthly"/>
    <n v="7.96"/>
    <n v="7005921"/>
    <n v="557671"/>
    <n v="617629.10882755078"/>
    <n v="50941.712257305102"/>
    <x v="770"/>
    <n v="40.04"/>
  </r>
  <r>
    <s v=" 30-09-2018"/>
    <x v="10"/>
    <s v=" Monthly"/>
    <n v="5.88"/>
    <n v="7149328"/>
    <n v="420380"/>
    <n v="575658.43264826515"/>
    <n v="59450.032051692695"/>
    <x v="771"/>
    <n v="39.869999999999997"/>
  </r>
  <r>
    <s v=" 31-10-2018"/>
    <x v="10"/>
    <s v=" Monthly"/>
    <n v="7.32"/>
    <n v="7405022"/>
    <n v="542048"/>
    <n v="466963.52979447955"/>
    <n v="105800.16125170582"/>
    <x v="772"/>
    <n v="41.84"/>
  </r>
  <r>
    <s v=" 30-11-2018"/>
    <x v="10"/>
    <s v=" Monthly"/>
    <n v="8.5500000000000007"/>
    <n v="6951215"/>
    <n v="594329"/>
    <n v="519522.65893834387"/>
    <n v="105426.18922880269"/>
    <x v="773"/>
    <n v="39.71"/>
  </r>
  <r>
    <s v=" 31-12-2018"/>
    <x v="10"/>
    <s v=" Monthly"/>
    <n v="9.7799999999999994"/>
    <n v="6970551"/>
    <n v="681720"/>
    <n v="571887.09768150316"/>
    <n v="108543.4751221499"/>
    <x v="774"/>
    <n v="40.270000000000003"/>
  </r>
  <r>
    <s v=" 31-01-2019"/>
    <x v="10"/>
    <s v=" Monthly"/>
    <n v="6.2"/>
    <n v="7056831"/>
    <n v="437524"/>
    <n v="648770.12930445094"/>
    <n v="88122.892903000291"/>
    <x v="775"/>
    <n v="39.130000000000003"/>
  </r>
  <r>
    <s v=" 28-02-2019"/>
    <x v="10"/>
    <s v=" Monthly"/>
    <n v="5.45"/>
    <n v="7483195"/>
    <n v="407834"/>
    <n v="500897.83879133523"/>
    <n v="144088.14691112994"/>
    <x v="776"/>
    <n v="41.08"/>
  </r>
  <r>
    <s v=" 31-03-2019"/>
    <x v="10"/>
    <s v=" Monthly"/>
    <n v="11.88"/>
    <n v="6879839"/>
    <n v="817325"/>
    <n v="435753.15163740056"/>
    <n v="147590.73104184298"/>
    <x v="777"/>
    <n v="40.43"/>
  </r>
  <r>
    <s v=" 30-04-2019"/>
    <x v="10"/>
    <s v=" Monthly"/>
    <n v="10.71"/>
    <n v="7220330"/>
    <n v="773297"/>
    <n v="702853.4454912201"/>
    <n v="257476.78257760318"/>
    <x v="778"/>
    <n v="41.77"/>
  </r>
  <r>
    <s v=" 31-05-2019"/>
    <x v="10"/>
    <s v=" Monthly"/>
    <n v="7.11"/>
    <n v="7035762"/>
    <n v="500243"/>
    <n v="752163.93364736601"/>
    <n v="230376.68279382621"/>
    <x v="779"/>
    <n v="39.04"/>
  </r>
  <r>
    <s v=" 30-06-2019"/>
    <x v="10"/>
    <s v=" Monthly"/>
    <n v="8.4600000000000009"/>
    <n v="7319780"/>
    <n v="619253"/>
    <n v="575819.28009420983"/>
    <n v="267097.68914789875"/>
    <x v="780"/>
    <n v="41.12"/>
  </r>
  <r>
    <s v=" 31-07-2019"/>
    <x v="10"/>
    <s v=" Monthly"/>
    <n v="9.98"/>
    <n v="6958399"/>
    <n v="694448"/>
    <n v="606222.88402826292"/>
    <n v="153093.587070618"/>
    <x v="781"/>
    <n v="39.659999999999997"/>
  </r>
  <r>
    <s v=" 31-08-2019"/>
    <x v="10"/>
    <s v=" Monthly"/>
    <n v="12.06"/>
    <n v="7015356"/>
    <n v="846052"/>
    <n v="667980.46520847885"/>
    <n v="156134.89458674475"/>
    <x v="782"/>
    <n v="40.83"/>
  </r>
  <r>
    <s v=" 30-09-2019"/>
    <x v="10"/>
    <s v=" Monthly"/>
    <n v="6.38"/>
    <n v="7673454"/>
    <n v="489566"/>
    <n v="792630.53956254362"/>
    <n v="117444.49840398232"/>
    <x v="783"/>
    <n v="41.86"/>
  </r>
  <r>
    <s v=" 31-10-2019"/>
    <x v="10"/>
    <s v=" Monthly"/>
    <n v="6.57"/>
    <n v="7761238"/>
    <n v="509913"/>
    <n v="580485.36186876299"/>
    <n v="209237.70989912481"/>
    <x v="784"/>
    <n v="42.33"/>
  </r>
  <r>
    <s v=" 30-11-2019"/>
    <x v="10"/>
    <s v=" Monthly"/>
    <n v="8.07"/>
    <n v="7279631"/>
    <n v="587466"/>
    <n v="531084.70856062882"/>
    <n v="206992.78965139514"/>
    <x v="785"/>
    <n v="40.26"/>
  </r>
  <r>
    <s v=" 31-12-2019"/>
    <x v="10"/>
    <s v=" Monthly"/>
    <n v="15.15"/>
    <n v="6873439"/>
    <n v="1041326"/>
    <n v="570551.61256818858"/>
    <n v="182580.96233759195"/>
    <x v="786"/>
    <n v="41.09"/>
  </r>
  <r>
    <s v=" 31-01-2020"/>
    <x v="10"/>
    <s v=" Monthly"/>
    <n v="6.16"/>
    <n v="7868736"/>
    <n v="484714"/>
    <n v="900093.68377045658"/>
    <n v="276759.72259097733"/>
    <x v="787"/>
    <n v="42.43"/>
  </r>
  <r>
    <s v=" 29-02-2020"/>
    <x v="10"/>
    <s v=" Monthly"/>
    <n v="9.06"/>
    <n v="7932402"/>
    <n v="718676"/>
    <n v="609327.905131137"/>
    <n v="363935.73405910237"/>
    <x v="788"/>
    <n v="44.05"/>
  </r>
  <r>
    <s v=" 31-03-2020"/>
    <x v="10"/>
    <s v=" Monthly"/>
    <n v="5.01"/>
    <n v="7157454"/>
    <n v="358588"/>
    <n v="685871.57153934101"/>
    <n v="367933.78543903411"/>
    <x v="789"/>
    <n v="37.96"/>
  </r>
  <r>
    <s v=" 30-04-2020"/>
    <x v="10"/>
    <s v=" Monthly"/>
    <n v="41.72"/>
    <n v="4280434"/>
    <n v="1785797"/>
    <n v="456773.07146180223"/>
    <n v="311775.46607574355"/>
    <x v="790"/>
    <n v="36.92"/>
  </r>
  <r>
    <s v=" 31-05-2020"/>
    <x v="10"/>
    <s v=" Monthly"/>
    <n v="55.1"/>
    <n v="3315038"/>
    <n v="1826586"/>
    <n v="1387089.8214385405"/>
    <n v="792753.8804021714"/>
    <x v="791"/>
    <n v="37.03"/>
  </r>
  <r>
    <s v=" 30-06-2020"/>
    <x v="10"/>
    <s v=" Monthly"/>
    <n v="21.53"/>
    <n v="6375114"/>
    <n v="1372562"/>
    <n v="1694737.146431562"/>
    <n v="829975.10601157532"/>
    <x v="792"/>
    <n v="40.65"/>
  </r>
  <r>
    <s v=" 31-07-2020"/>
    <x v="10"/>
    <s v=" Monthly"/>
    <n v="8.36"/>
    <n v="6907458"/>
    <n v="577463"/>
    <n v="1469214.5439294684"/>
    <n v="829308.61134952423"/>
    <x v="793"/>
    <n v="37.630000000000003"/>
  </r>
  <r>
    <s v=" 31-08-2020"/>
    <x v="10"/>
    <s v=" Monthly"/>
    <n v="6.35"/>
    <n v="7093468"/>
    <n v="450435"/>
    <n v="844988.46317884047"/>
    <n v="603372.33724263369"/>
    <x v="794"/>
    <n v="37.72"/>
  </r>
  <r>
    <s v=" 30-09-2020"/>
    <x v="10"/>
    <s v=" Monthly"/>
    <n v="7.79"/>
    <n v="7640366"/>
    <n v="595185"/>
    <n v="568801.03895365214"/>
    <n v="592927.78548071813"/>
    <x v="795"/>
    <n v="41.18"/>
  </r>
  <r>
    <s v=" 31-10-2020"/>
    <x v="10"/>
    <s v=" Monthly"/>
    <n v="11.32"/>
    <n v="7999884"/>
    <n v="905587"/>
    <n v="587269.81168609567"/>
    <n v="563201.96638136322"/>
    <x v="796"/>
    <n v="44.73"/>
  </r>
  <r>
    <s v=" 30-11-2020"/>
    <x v="10"/>
    <s v=" Monthly"/>
    <n v="8.17"/>
    <n v="7201406"/>
    <n v="588355"/>
    <n v="810091.84350582864"/>
    <n v="293083.82252806192"/>
    <x v="797"/>
    <n v="38.79"/>
  </r>
  <r>
    <s v=" 31-12-2020"/>
    <x v="10"/>
    <s v=" Monthly"/>
    <n v="9.86"/>
    <n v="7359442"/>
    <n v="725641"/>
    <n v="654876.05305174855"/>
    <n v="224491.40558493044"/>
    <x v="798"/>
    <n v="40.299999999999997"/>
  </r>
  <r>
    <s v=" 31-01-2021"/>
    <x v="10"/>
    <s v=" Monthly"/>
    <n v="8.5299999999999994"/>
    <n v="7634206"/>
    <n v="651198"/>
    <n v="704411.51591552445"/>
    <n v="227669.8910415303"/>
    <x v="799"/>
    <n v="41.1"/>
  </r>
  <r>
    <s v=" 28-02-2021"/>
    <x v="10"/>
    <s v=" Monthly"/>
    <n v="10.82"/>
    <n v="7921963"/>
    <n v="857156"/>
    <n v="667162.05477465736"/>
    <n v="137848.44789430767"/>
    <x v="800"/>
    <n v="43.65"/>
  </r>
  <r>
    <s v=" 31-03-2021"/>
    <x v="10"/>
    <s v=" Monthly"/>
    <n v="12.77"/>
    <n v="7227462"/>
    <n v="922947"/>
    <n v="800157.81643239711"/>
    <n v="121019.3582517154"/>
    <x v="801"/>
    <n v="40.619999999999997"/>
  </r>
  <r>
    <s v=" 30-04-2021"/>
    <x v="10"/>
    <s v=" Monthly"/>
    <n v="14.13"/>
    <n v="7295292"/>
    <n v="1030825"/>
    <n v="886110.24492971902"/>
    <n v="134172.22899390763"/>
    <x v="802"/>
    <n v="41.56"/>
  </r>
  <r>
    <s v=" 31-05-2021"/>
    <x v="10"/>
    <s v=" Monthly"/>
    <n v="12.04"/>
    <n v="7157235"/>
    <n v="861731"/>
    <n v="987410.57347891573"/>
    <n v="155045.41609749963"/>
    <x v="803"/>
    <n v="39.71"/>
  </r>
  <r>
    <s v=" 30-06-2021"/>
    <x v="10"/>
    <s v=" Monthly"/>
    <n v="9.91"/>
    <n v="8483224"/>
    <n v="840687"/>
    <n v="899434.87204367458"/>
    <n v="131421.58514502359"/>
    <x v="804"/>
    <n v="45.85"/>
  </r>
  <r>
    <s v=" 31-07-2021"/>
    <x v="10"/>
    <s v=" Monthly"/>
    <n v="8.4600000000000009"/>
    <n v="7743077"/>
    <n v="655064"/>
    <n v="858311.36161310226"/>
    <n v="115742.57066806138"/>
    <x v="805"/>
    <n v="41.09"/>
  </r>
  <r>
    <s v=" 31-08-2021"/>
    <x v="10"/>
    <s v=" Monthly"/>
    <n v="15.1"/>
    <n v="7542013"/>
    <n v="1138844"/>
    <n v="716038.20848393068"/>
    <n v="142075.28246460197"/>
    <x v="806"/>
    <n v="43.05"/>
  </r>
  <r>
    <s v=" 30-09-2021"/>
    <x v="10"/>
    <s v=" Monthly"/>
    <n v="11.46"/>
    <n v="7544093"/>
    <n v="864553"/>
    <n v="1012002.2625451791"/>
    <n v="272962.47593877377"/>
    <x v="807"/>
    <n v="41.2"/>
  </r>
  <r>
    <s v=" 31-10-2021"/>
    <x v="10"/>
    <s v=" Monthly"/>
    <n v="18.23"/>
    <n v="7649686"/>
    <n v="1394538"/>
    <n v="908787.77876355371"/>
    <n v="283910.49784943037"/>
    <x v="808"/>
    <n v="45.13"/>
  </r>
  <r>
    <s v=" 30-11-2021"/>
    <x v="10"/>
    <s v=" Monthly"/>
    <n v="10.69"/>
    <n v="7514891"/>
    <n v="803342"/>
    <n v="1248812.9336290662"/>
    <n v="381426.83867984591"/>
    <x v="809"/>
    <n v="40.5"/>
  </r>
  <r>
    <s v=" 31-12-2021"/>
    <x v="10"/>
    <s v=" Monthly"/>
    <n v="17.079999999999998"/>
    <n v="7432780"/>
    <n v="1269519"/>
    <n v="936983.28008871968"/>
    <n v="389931.15425021958"/>
    <x v="810"/>
    <n v="43.05"/>
  </r>
  <r>
    <s v=" 31-01-2022"/>
    <x v="10"/>
    <s v=" Monthly"/>
    <n v="5.13"/>
    <n v="8086279"/>
    <n v="414826"/>
    <n v="1169758.2840266158"/>
    <n v="426214.98298257968"/>
    <x v="811"/>
    <n v="40.840000000000003"/>
  </r>
  <r>
    <s v=" 28-02-2022"/>
    <x v="10"/>
    <s v=" Monthly"/>
    <n v="13.85"/>
    <n v="8088717"/>
    <n v="1120287"/>
    <n v="641305.68520798464"/>
    <n v="541278.45920281124"/>
    <x v="812"/>
    <n v="44.89"/>
  </r>
  <r>
    <s v=" 31-03-2022"/>
    <x v="10"/>
    <s v=" Monthly"/>
    <n v="14"/>
    <n v="7329960"/>
    <n v="1026194"/>
    <n v="976592.6055623953"/>
    <n v="550734.61800351844"/>
    <x v="813"/>
    <n v="40.659999999999997"/>
  </r>
  <r>
    <s v=" 30-04-2022"/>
    <x v="10"/>
    <s v=" Monthly"/>
    <n v="12.85"/>
    <n v="7635292"/>
    <n v="981135"/>
    <n v="1011313.5816687185"/>
    <n v="516980.38380441652"/>
    <x v="814"/>
    <n v="41.7"/>
  </r>
  <r>
    <s v=" 31-01-2016"/>
    <x v="11"/>
    <s v=" Monthly"/>
    <n v="4.42"/>
    <n v="14637441"/>
    <n v="646975"/>
    <n v="990188.57450061548"/>
    <n v="278564.26250901725"/>
    <x v="815"/>
    <n v="51.3"/>
  </r>
  <r>
    <s v=" 29-02-2016"/>
    <x v="11"/>
    <s v=" Monthly"/>
    <n v="4.8499999999999996"/>
    <n v="14583090"/>
    <n v="707280"/>
    <n v="749939.07235018467"/>
    <n v="200969.81767019967"/>
    <x v="816"/>
    <n v="51.27"/>
  </r>
  <r>
    <s v=" 31-03-2016"/>
    <x v="11"/>
    <s v=" Monthly"/>
    <n v="2.4700000000000002"/>
    <n v="14030453"/>
    <n v="346552"/>
    <n v="720077.72170505533"/>
    <n v="200437.93799811063"/>
    <x v="817"/>
    <n v="48.05"/>
  </r>
  <r>
    <s v=" 30-04-2016"/>
    <x v="11"/>
    <s v=" Monthly"/>
    <n v="2.76"/>
    <n v="14253810"/>
    <n v="393405"/>
    <n v="458609.7165115166"/>
    <n v="293902.94256809243"/>
    <x v="818"/>
    <n v="48.88"/>
  </r>
  <r>
    <s v=" 31-05-2016"/>
    <x v="11"/>
    <s v=" Monthly"/>
    <n v="8.58"/>
    <n v="14707637"/>
    <n v="1261915"/>
    <n v="412966.41495345498"/>
    <n v="220297.46275162286"/>
    <x v="819"/>
    <n v="53.57"/>
  </r>
  <r>
    <s v=" 30-06-2016"/>
    <x v="11"/>
    <s v=" Monthly"/>
    <n v="2.62"/>
    <n v="14859834"/>
    <n v="389328"/>
    <n v="1007230.4244860365"/>
    <n v="536807.48252458894"/>
    <x v="820"/>
    <n v="50.73"/>
  </r>
  <r>
    <s v=" 31-07-2016"/>
    <x v="11"/>
    <s v=" Monthly"/>
    <n v="2.4"/>
    <n v="15093524"/>
    <n v="362245"/>
    <n v="574698.72734581097"/>
    <n v="607390.25381644047"/>
    <x v="821"/>
    <n v="51.34"/>
  </r>
  <r>
    <s v=" 31-08-2016"/>
    <x v="11"/>
    <s v=" Monthly"/>
    <n v="2.0299999999999998"/>
    <n v="14453326"/>
    <n v="293403"/>
    <n v="425981.11820374324"/>
    <n v="618507.26013022172"/>
    <x v="822"/>
    <n v="48.9"/>
  </r>
  <r>
    <s v=" 30-09-2016"/>
    <x v="11"/>
    <s v=" Monthly"/>
    <n v="3.39"/>
    <n v="16136233"/>
    <n v="547018"/>
    <n v="333176.43546112295"/>
    <n v="384931.57395191508"/>
    <x v="823"/>
    <n v="55.28"/>
  </r>
  <r>
    <s v=" 31-10-2016"/>
    <x v="11"/>
    <s v=" Monthly"/>
    <n v="4.43"/>
    <n v="15537123"/>
    <n v="688295"/>
    <n v="482865.53063833684"/>
    <n v="190124.30882101724"/>
    <x v="824"/>
    <n v="53.72"/>
  </r>
  <r>
    <s v=" 30-11-2016"/>
    <x v="11"/>
    <s v=" Monthly"/>
    <n v="5.36"/>
    <n v="14036958"/>
    <n v="752381"/>
    <n v="626666.15919150098"/>
    <n v="187533.49837037554"/>
    <x v="825"/>
    <n v="48.94"/>
  </r>
  <r>
    <s v=" 31-12-2016"/>
    <x v="11"/>
    <s v=" Monthly"/>
    <n v="3.51"/>
    <n v="15783823"/>
    <n v="554012"/>
    <n v="714666.54775745026"/>
    <n v="185951.34023551742"/>
    <x v="826"/>
    <n v="53.88"/>
  </r>
  <r>
    <s v=" 31-01-2017"/>
    <x v="11"/>
    <s v=" Monthly"/>
    <n v="5.93"/>
    <n v="15753216"/>
    <n v="934166"/>
    <n v="602208.36432723503"/>
    <n v="167148.01005583006"/>
    <x v="827"/>
    <n v="55.07"/>
  </r>
  <r>
    <s v=" 28-02-2017"/>
    <x v="11"/>
    <s v=" Monthly"/>
    <n v="3.87"/>
    <n v="15467427"/>
    <n v="598589"/>
    <n v="834578.7092981704"/>
    <n v="224951.8295073483"/>
    <x v="828"/>
    <n v="52.84"/>
  </r>
  <r>
    <s v=" 31-03-2017"/>
    <x v="11"/>
    <s v=" Monthly"/>
    <n v="3.03"/>
    <n v="13609914"/>
    <n v="412380"/>
    <n v="669385.91278945107"/>
    <n v="252782.44829051325"/>
    <x v="829"/>
    <n v="46.02"/>
  </r>
  <r>
    <s v=" 30-04-2017"/>
    <x v="11"/>
    <s v=" Monthly"/>
    <n v="0.6"/>
    <n v="15843899"/>
    <n v="95063"/>
    <n v="489481.77383683529"/>
    <n v="278052.18574027071"/>
    <x v="830"/>
    <n v="52.19"/>
  </r>
  <r>
    <s v=" 31-05-2017"/>
    <x v="11"/>
    <s v=" Monthly"/>
    <n v="0.78"/>
    <n v="15514006"/>
    <n v="121009"/>
    <n v="213388.63215105055"/>
    <n v="304033.63369772461"/>
    <x v="831"/>
    <n v="51.12"/>
  </r>
  <r>
    <s v=" 30-06-2017"/>
    <x v="11"/>
    <s v=" Monthly"/>
    <n v="0.94"/>
    <n v="14571995"/>
    <n v="136977"/>
    <n v="148722.88964531515"/>
    <n v="276979.06346873642"/>
    <x v="832"/>
    <n v="48.02"/>
  </r>
  <r>
    <s v=" 31-07-2017"/>
    <x v="11"/>
    <s v=" Monthly"/>
    <n v="1.45"/>
    <n v="13208069"/>
    <n v="191517"/>
    <n v="140500.76689359453"/>
    <n v="233978.72518306444"/>
    <x v="833"/>
    <n v="43.68"/>
  </r>
  <r>
    <s v=" 31-08-2017"/>
    <x v="11"/>
    <s v=" Monthly"/>
    <n v="0.17"/>
    <n v="16513005"/>
    <n v="28072"/>
    <n v="176212.13006807835"/>
    <n v="61304.209752921088"/>
    <x v="834"/>
    <n v="53.82"/>
  </r>
  <r>
    <s v=" 30-09-2017"/>
    <x v="11"/>
    <s v=" Monthly"/>
    <n v="0.8"/>
    <n v="14833779"/>
    <n v="118670"/>
    <n v="72514.039020423501"/>
    <n v="90712.219133760576"/>
    <x v="835"/>
    <n v="48.58"/>
  </r>
  <r>
    <s v=" 31-10-2017"/>
    <x v="11"/>
    <s v=" Monthly"/>
    <n v="0.38"/>
    <n v="15705312"/>
    <n v="59680"/>
    <n v="104823.21170612705"/>
    <n v="94301.867975317189"/>
    <x v="836"/>
    <n v="51.14"/>
  </r>
  <r>
    <s v=" 30-11-2017"/>
    <x v="11"/>
    <s v=" Monthly"/>
    <n v="1.68"/>
    <n v="14318608"/>
    <n v="240553"/>
    <n v="73222.963511838112"/>
    <n v="93298.410907652593"/>
    <x v="837"/>
    <n v="47.17"/>
  </r>
  <r>
    <s v=" 31-12-2017"/>
    <x v="11"/>
    <s v=" Monthly"/>
    <n v="2.29"/>
    <n v="14103091"/>
    <n v="322961"/>
    <n v="190353.9890535514"/>
    <n v="103549.70369862966"/>
    <x v="838"/>
    <n v="46.68"/>
  </r>
  <r>
    <s v=" 31-01-2018"/>
    <x v="11"/>
    <s v=" Monthly"/>
    <n v="0.95"/>
    <n v="15227837"/>
    <n v="144664"/>
    <n v="283178.89671606541"/>
    <n v="125991.89130842951"/>
    <x v="839"/>
    <n v="49.64"/>
  </r>
  <r>
    <s v=" 28-02-2018"/>
    <x v="11"/>
    <s v=" Monthly"/>
    <n v="2.41"/>
    <n v="15009921"/>
    <n v="361739"/>
    <n v="186218.4690148196"/>
    <n v="146935.74227707315"/>
    <x v="840"/>
    <n v="49.59"/>
  </r>
  <r>
    <s v=" 31-03-2018"/>
    <x v="11"/>
    <s v=" Monthly"/>
    <n v="3.63"/>
    <n v="13593222"/>
    <n v="493434"/>
    <n v="309082.84070444584"/>
    <n v="150087.14442142547"/>
    <x v="841"/>
    <n v="45.41"/>
  </r>
  <r>
    <s v=" 30-04-2018"/>
    <x v="11"/>
    <s v=" Monthly"/>
    <n v="0.98"/>
    <n v="14314823"/>
    <n v="140285"/>
    <n v="438128.65221133374"/>
    <n v="167311.27013563344"/>
    <x v="842"/>
    <n v="46.47"/>
  </r>
  <r>
    <s v=" 31-05-2018"/>
    <x v="11"/>
    <s v=" Monthly"/>
    <n v="0.88"/>
    <n v="14901557"/>
    <n v="131134"/>
    <n v="229638.0956634001"/>
    <n v="226203.18881742907"/>
    <x v="843"/>
    <n v="48.25"/>
  </r>
  <r>
    <s v=" 30-06-2018"/>
    <x v="11"/>
    <s v=" Monthly"/>
    <n v="2.0099999999999998"/>
    <n v="14816106"/>
    <n v="297804"/>
    <n v="160685.22869902002"/>
    <n v="210078.75345424231"/>
    <x v="844"/>
    <n v="48.45"/>
  </r>
  <r>
    <s v=" 31-07-2018"/>
    <x v="11"/>
    <s v=" Monthly"/>
    <n v="2.91"/>
    <n v="12860192"/>
    <n v="374232"/>
    <n v="256668.368609706"/>
    <n v="197665.92647540502"/>
    <x v="845"/>
    <n v="42.38"/>
  </r>
  <r>
    <s v=" 31-08-2018"/>
    <x v="11"/>
    <s v=" Monthly"/>
    <n v="0.6"/>
    <n v="13843390"/>
    <n v="83060"/>
    <n v="338962.91058291181"/>
    <n v="118779.65837525613"/>
    <x v="846"/>
    <n v="44.49"/>
  </r>
  <r>
    <s v=" 30-09-2018"/>
    <x v="11"/>
    <s v=" Monthly"/>
    <n v="0.38"/>
    <n v="14419564"/>
    <n v="54794"/>
    <n v="159830.87317487353"/>
    <n v="180839.76748636633"/>
    <x v="847"/>
    <n v="46.17"/>
  </r>
  <r>
    <s v=" 31-10-2018"/>
    <x v="11"/>
    <s v=" Monthly"/>
    <n v="1.65"/>
    <n v="13943696"/>
    <n v="230071"/>
    <n v="86305.061952462056"/>
    <n v="173532.17933746771"/>
    <x v="848"/>
    <n v="45.15"/>
  </r>
  <r>
    <s v=" 30-11-2018"/>
    <x v="11"/>
    <s v=" Monthly"/>
    <n v="1.44"/>
    <n v="12931767"/>
    <n v="186217"/>
    <n v="186941.21858573859"/>
    <n v="179988.60085558076"/>
    <x v="849"/>
    <n v="41.72"/>
  </r>
  <r>
    <s v=" 31-12-2018"/>
    <x v="11"/>
    <s v=" Monthly"/>
    <n v="0.65"/>
    <n v="13040378"/>
    <n v="84762"/>
    <n v="186434.26557572157"/>
    <n v="102797.39646768445"/>
    <x v="850"/>
    <n v="41.67"/>
  </r>
  <r>
    <s v=" 31-01-2019"/>
    <x v="11"/>
    <s v=" Monthly"/>
    <n v="0.98"/>
    <n v="14335721"/>
    <n v="140490"/>
    <n v="115263.67967271646"/>
    <n v="101663.5284038291"/>
    <x v="851"/>
    <n v="45.89"/>
  </r>
  <r>
    <s v=" 28-02-2019"/>
    <x v="11"/>
    <s v=" Monthly"/>
    <n v="1.78"/>
    <n v="13551873"/>
    <n v="241223"/>
    <n v="132922.10390181493"/>
    <n v="60481.791521952298"/>
    <x v="852"/>
    <n v="43.67"/>
  </r>
  <r>
    <s v=" 31-03-2019"/>
    <x v="11"/>
    <s v=" Monthly"/>
    <n v="0.85"/>
    <n v="11927951"/>
    <n v="101388"/>
    <n v="208732.73117054446"/>
    <n v="86991.763825135873"/>
    <x v="853"/>
    <n v="38.020000000000003"/>
  </r>
  <r>
    <s v=" 30-04-2019"/>
    <x v="11"/>
    <s v=" Monthly"/>
    <n v="0.24"/>
    <n v="12715644"/>
    <n v="30518"/>
    <n v="133591.41935116332"/>
    <n v="89234.41533960063"/>
    <x v="854"/>
    <n v="40.22"/>
  </r>
  <r>
    <s v=" 31-05-2019"/>
    <x v="11"/>
    <s v=" Monthly"/>
    <n v="5.46"/>
    <n v="13911444"/>
    <n v="759565"/>
    <n v="61440.025805348996"/>
    <n v="106263.98760082851"/>
    <x v="855"/>
    <n v="46.36"/>
  </r>
  <r>
    <s v=" 30-06-2019"/>
    <x v="11"/>
    <s v=" Monthly"/>
    <n v="5.98"/>
    <n v="12888498"/>
    <n v="770732"/>
    <n v="550127.5077416047"/>
    <n v="412118.71294612001"/>
    <x v="856"/>
    <n v="43.12"/>
  </r>
  <r>
    <s v=" 31-07-2019"/>
    <x v="11"/>
    <s v=" Monthly"/>
    <n v="0.52"/>
    <n v="12169803"/>
    <n v="63283"/>
    <n v="704550.65232248139"/>
    <n v="426875.84119023313"/>
    <x v="857"/>
    <n v="38.42"/>
  </r>
  <r>
    <s v=" 31-08-2019"/>
    <x v="11"/>
    <s v=" Monthly"/>
    <n v="0.37"/>
    <n v="12686467"/>
    <n v="46940"/>
    <n v="255663.2956967444"/>
    <n v="561922.00630634779"/>
    <x v="858"/>
    <n v="39.93"/>
  </r>
  <r>
    <s v=" 30-09-2019"/>
    <x v="11"/>
    <s v=" Monthly"/>
    <n v="3.15"/>
    <n v="13750519"/>
    <n v="433141"/>
    <n v="109556.98870902332"/>
    <n v="409656.74984726822"/>
    <x v="859"/>
    <n v="44.46"/>
  </r>
  <r>
    <s v=" 31-10-2019"/>
    <x v="11"/>
    <s v=" Monthly"/>
    <n v="7.13"/>
    <n v="12803523"/>
    <n v="912891"/>
    <n v="336065.79661270697"/>
    <n v="431855.00207239948"/>
    <x v="860"/>
    <n v="43.1"/>
  </r>
  <r>
    <s v=" 30-11-2019"/>
    <x v="11"/>
    <s v=" Monthly"/>
    <n v="1.19"/>
    <n v="11537212"/>
    <n v="137293"/>
    <n v="739843.438983812"/>
    <n v="400416.17591053998"/>
    <x v="861"/>
    <n v="36.450000000000003"/>
  </r>
  <r>
    <s v=" 31-12-2019"/>
    <x v="11"/>
    <s v=" Monthly"/>
    <n v="0.41"/>
    <n v="12756131"/>
    <n v="52300"/>
    <n v="318058.13169514359"/>
    <n v="516559.43805966008"/>
    <x v="862"/>
    <n v="39.92"/>
  </r>
  <r>
    <s v=" 31-01-2020"/>
    <x v="11"/>
    <s v=" Monthly"/>
    <n v="2.57"/>
    <n v="13938874"/>
    <n v="358229"/>
    <n v="132027.43950854306"/>
    <n v="505444.2703683133"/>
    <x v="863"/>
    <n v="44.52"/>
  </r>
  <r>
    <s v=" 29-02-2020"/>
    <x v="11"/>
    <s v=" Monthly"/>
    <n v="4.1100000000000003"/>
    <n v="12753657"/>
    <n v="524175"/>
    <n v="290368.53185256291"/>
    <n v="402020.54758865584"/>
    <x v="864"/>
    <n v="41.33"/>
  </r>
  <r>
    <s v=" 31-03-2020"/>
    <x v="11"/>
    <s v=" Monthly"/>
    <n v="2.39"/>
    <n v="12853818"/>
    <n v="307206"/>
    <n v="454033.05955576885"/>
    <n v="242528.34547631888"/>
    <x v="865"/>
    <n v="40.85"/>
  </r>
  <r>
    <s v=" 30-04-2020"/>
    <x v="11"/>
    <s v=" Monthly"/>
    <n v="33.17"/>
    <n v="9330400"/>
    <n v="3094894"/>
    <n v="351254.11786673067"/>
    <n v="206066.9761138694"/>
    <x v="866"/>
    <n v="43.25"/>
  </r>
  <r>
    <s v=" 31-05-2020"/>
    <x v="11"/>
    <s v=" Monthly"/>
    <n v="23.72"/>
    <n v="10626328"/>
    <n v="2520565"/>
    <n v="2271802.0353600192"/>
    <n v="1592040.9807118275"/>
    <x v="867"/>
    <n v="43.09"/>
  </r>
  <r>
    <s v=" 30-06-2020"/>
    <x v="11"/>
    <s v=" Monthly"/>
    <n v="10.92"/>
    <n v="15396213"/>
    <n v="1681266"/>
    <n v="2445936.1106080059"/>
    <n v="1592796.3879946619"/>
    <x v="868"/>
    <n v="53.37"/>
  </r>
  <r>
    <s v=" 31-07-2020"/>
    <x v="11"/>
    <s v=" Monthly"/>
    <n v="4.6100000000000003"/>
    <n v="13957482"/>
    <n v="643440"/>
    <n v="1910667.0331824017"/>
    <n v="1650672.9126294719"/>
    <x v="869"/>
    <n v="45.11"/>
  </r>
  <r>
    <s v=" 31-08-2020"/>
    <x v="11"/>
    <s v=" Monthly"/>
    <n v="0"/>
    <n v="14448864"/>
    <n v="0"/>
    <n v="1023608.1099547205"/>
    <n v="866500.19124098751"/>
    <x v="870"/>
    <n v="44.48"/>
  </r>
  <r>
    <s v=" 30-09-2020"/>
    <x v="11"/>
    <s v=" Monthly"/>
    <n v="2.68"/>
    <n v="11664790"/>
    <n v="312616"/>
    <n v="307082.43298641616"/>
    <n v="1038967.1625305917"/>
    <x v="871"/>
    <n v="36.840000000000003"/>
  </r>
  <r>
    <s v=" 31-10-2020"/>
    <x v="11"/>
    <s v=" Monthly"/>
    <n v="1.1100000000000001"/>
    <n v="13722339"/>
    <n v="152318"/>
    <n v="310955.92989592481"/>
    <n v="940508.46828674548"/>
    <x v="872"/>
    <n v="42.59"/>
  </r>
  <r>
    <s v=" 30-11-2020"/>
    <x v="11"/>
    <s v=" Monthly"/>
    <n v="2.13"/>
    <n v="13133425"/>
    <n v="279742"/>
    <n v="199909.37896877743"/>
    <n v="598044.08308268641"/>
    <x v="873"/>
    <n v="41.12"/>
  </r>
  <r>
    <s v=" 31-12-2020"/>
    <x v="11"/>
    <s v=" Monthly"/>
    <n v="1.1200000000000001"/>
    <n v="13478754"/>
    <n v="150962"/>
    <n v="255792.21369063322"/>
    <n v="102583.07291535802"/>
    <x v="874"/>
    <n v="41.71"/>
  </r>
  <r>
    <s v=" 31-01-2021"/>
    <x v="11"/>
    <s v=" Monthly"/>
    <n v="3.82"/>
    <n v="13160475"/>
    <n v="502730"/>
    <n v="182411.06410718994"/>
    <n v="119063.86785363418"/>
    <x v="875"/>
    <n v="41.8"/>
  </r>
  <r>
    <s v=" 28-02-2021"/>
    <x v="11"/>
    <s v=" Monthly"/>
    <n v="2.5299999999999998"/>
    <n v="14028978"/>
    <n v="354933"/>
    <n v="406634.31923215697"/>
    <n v="199972.36623647177"/>
    <x v="876"/>
    <n v="43.91"/>
  </r>
  <r>
    <s v=" 31-03-2021"/>
    <x v="11"/>
    <s v=" Monthly"/>
    <n v="0.98"/>
    <n v="13418162"/>
    <n v="131498"/>
    <n v="370443.39576964709"/>
    <n v="196864.2686423579"/>
    <x v="877"/>
    <n v="41.27"/>
  </r>
  <r>
    <s v=" 30-04-2021"/>
    <x v="11"/>
    <s v=" Monthly"/>
    <n v="1.94"/>
    <n v="14396676"/>
    <n v="279296"/>
    <n v="203181.61873089412"/>
    <n v="232645.76023170279"/>
    <x v="878"/>
    <n v="44.65"/>
  </r>
  <r>
    <s v=" 31-05-2021"/>
    <x v="11"/>
    <s v=" Monthly"/>
    <n v="4.29"/>
    <n v="14913774"/>
    <n v="639801"/>
    <n v="256461.68561926822"/>
    <n v="147830.2265053142"/>
    <x v="879"/>
    <n v="47.31"/>
  </r>
  <r>
    <s v=" 30-06-2021"/>
    <x v="11"/>
    <s v=" Monthly"/>
    <n v="2.79"/>
    <n v="15112296"/>
    <n v="421633"/>
    <n v="524799.20568578038"/>
    <n v="264472.63950824959"/>
    <x v="880"/>
    <n v="47.13"/>
  </r>
  <r>
    <s v=" 31-07-2021"/>
    <x v="11"/>
    <s v=" Monthly"/>
    <n v="2.33"/>
    <n v="13784191"/>
    <n v="321172"/>
    <n v="452582.86170573405"/>
    <n v="233370.73151352198"/>
    <x v="881"/>
    <n v="42.72"/>
  </r>
  <r>
    <s v=" 31-08-2021"/>
    <x v="11"/>
    <s v=" Monthly"/>
    <n v="0.83"/>
    <n v="14047211"/>
    <n v="116592"/>
    <n v="360595.25851172023"/>
    <n v="241427.08389886847"/>
    <x v="882"/>
    <n v="42.81"/>
  </r>
  <r>
    <s v=" 30-09-2021"/>
    <x v="11"/>
    <s v=" Monthly"/>
    <n v="3.79"/>
    <n v="13140423"/>
    <n v="498022"/>
    <n v="189792.97755351604"/>
    <n v="170733.38936695195"/>
    <x v="883"/>
    <n v="41.21"/>
  </r>
  <r>
    <s v=" 31-10-2021"/>
    <x v="11"/>
    <s v=" Monthly"/>
    <n v="0.71"/>
    <n v="16020171"/>
    <n v="113743"/>
    <n v="405553.29326605477"/>
    <n v="239312.58151693296"/>
    <x v="884"/>
    <n v="48.61"/>
  </r>
  <r>
    <s v=" 30-11-2021"/>
    <x v="11"/>
    <s v=" Monthly"/>
    <n v="2.4900000000000002"/>
    <n v="12375300"/>
    <n v="308145"/>
    <n v="201286.08797981642"/>
    <n v="282663.50294928032"/>
    <x v="885"/>
    <n v="38.18"/>
  </r>
  <r>
    <s v=" 31-12-2021"/>
    <x v="11"/>
    <s v=" Monthly"/>
    <n v="1.39"/>
    <n v="13243444"/>
    <n v="184084"/>
    <n v="276087.32639394491"/>
    <n v="252703.51838499948"/>
    <x v="886"/>
    <n v="40.340000000000003"/>
  </r>
  <r>
    <s v=" 31-01-2022"/>
    <x v="11"/>
    <s v=" Monthly"/>
    <n v="3.57"/>
    <n v="12988257"/>
    <n v="463681"/>
    <n v="211684.99791818345"/>
    <n v="187115.54932866927"/>
    <x v="887"/>
    <n v="40.39"/>
  </r>
  <r>
    <s v=" 28-02-2022"/>
    <x v="11"/>
    <s v=" Monthly"/>
    <n v="1.71"/>
    <n v="15067401"/>
    <n v="257653"/>
    <n v="388082.19937545498"/>
    <n v="166718.749406405"/>
    <x v="888"/>
    <n v="45.9"/>
  </r>
  <r>
    <s v=" 31-03-2022"/>
    <x v="11"/>
    <s v=" Monthly"/>
    <n v="1.65"/>
    <n v="13925674"/>
    <n v="229774"/>
    <n v="296781.75981263648"/>
    <n v="172219.21416467233"/>
    <x v="889"/>
    <n v="42.33"/>
  </r>
  <r>
    <s v=" 30-04-2022"/>
    <x v="11"/>
    <s v=" Monthly"/>
    <n v="1.56"/>
    <n v="13128522"/>
    <n v="204805"/>
    <n v="249876.32794379094"/>
    <n v="168328.84580491949"/>
    <x v="890"/>
    <n v="39.81"/>
  </r>
  <r>
    <s v=" 31-01-2016"/>
    <x v="12"/>
    <s v=" Monthly"/>
    <n v="20.6"/>
    <n v="5300277"/>
    <n v="1091857"/>
    <n v="218326.39838313728"/>
    <n v="88568.693730623418"/>
    <x v="891"/>
    <n v="47.47"/>
  </r>
  <r>
    <s v=" 29-02-2016"/>
    <x v="12"/>
    <s v=" Monthly"/>
    <n v="23.68"/>
    <n v="5462975"/>
    <n v="1293632"/>
    <n v="829797.81951494107"/>
    <n v="506483.68727888388"/>
    <x v="892"/>
    <n v="50.86"/>
  </r>
  <r>
    <s v=" 31-03-2016"/>
    <x v="12"/>
    <s v=" Monthly"/>
    <n v="26.37"/>
    <n v="5077492"/>
    <n v="1338935"/>
    <n v="1154481.7458544823"/>
    <n v="571614.46318008809"/>
    <x v="893"/>
    <n v="48.95"/>
  </r>
  <r>
    <s v=" 30-04-2016"/>
    <x v="12"/>
    <s v=" Monthly"/>
    <n v="17.39"/>
    <n v="5514386"/>
    <n v="958952"/>
    <n v="1283599.0237563446"/>
    <n v="580867.4151394146"/>
    <x v="894"/>
    <n v="47.34"/>
  </r>
  <r>
    <s v=" 31-05-2016"/>
    <x v="12"/>
    <s v=" Monthly"/>
    <n v="13.1"/>
    <n v="5675443"/>
    <n v="743483"/>
    <n v="1056346.1071269033"/>
    <n v="343783.28444189456"/>
    <x v="895"/>
    <n v="46.28"/>
  </r>
  <r>
    <s v=" 30-06-2016"/>
    <x v="12"/>
    <s v=" Monthly"/>
    <n v="6.56"/>
    <n v="5537808"/>
    <n v="363280"/>
    <n v="837341.93213807093"/>
    <n v="281248.4173584056"/>
    <x v="896"/>
    <n v="41.95"/>
  </r>
  <r>
    <s v=" 31-07-2016"/>
    <x v="12"/>
    <s v=" Monthly"/>
    <n v="12.7"/>
    <n v="5161522"/>
    <n v="655513"/>
    <n v="505498.57964142121"/>
    <n v="377718.47070599801"/>
    <x v="897"/>
    <n v="41.81"/>
  </r>
  <r>
    <s v=" 31-08-2016"/>
    <x v="12"/>
    <s v=" Monthly"/>
    <n v="18.329999999999998"/>
    <n v="5779460"/>
    <n v="1059375"/>
    <n v="610508.6738924263"/>
    <n v="339176.63324542349"/>
    <x v="898"/>
    <n v="50"/>
  </r>
  <r>
    <s v=" 30-09-2016"/>
    <x v="12"/>
    <s v=" Monthly"/>
    <n v="5.52"/>
    <n v="5593516"/>
    <n v="308762"/>
    <n v="924715.10216772789"/>
    <n v="386747.12691512523"/>
    <x v="899"/>
    <n v="41.79"/>
  </r>
  <r>
    <s v=" 31-10-2016"/>
    <x v="12"/>
    <s v=" Monthly"/>
    <n v="1.21"/>
    <n v="5741752"/>
    <n v="69475"/>
    <n v="493547.93065031839"/>
    <n v="448472.78962380707"/>
    <x v="900"/>
    <n v="40.99"/>
  </r>
  <r>
    <s v=" 30-11-2016"/>
    <x v="12"/>
    <s v=" Monthly"/>
    <n v="17.399999999999999"/>
    <n v="4842570"/>
    <n v="842607"/>
    <n v="196696.87919509551"/>
    <n v="503559.67977778229"/>
    <x v="901"/>
    <n v="41.31"/>
  </r>
  <r>
    <s v=" 31-12-2016"/>
    <x v="12"/>
    <s v=" Monthly"/>
    <n v="20.92"/>
    <n v="5677441"/>
    <n v="1187721"/>
    <n v="648833.96375852858"/>
    <n v="570507.36446856486"/>
    <x v="902"/>
    <n v="50.54"/>
  </r>
  <r>
    <s v=" 31-01-2017"/>
    <x v="12"/>
    <s v=" Monthly"/>
    <n v="12.27"/>
    <n v="5589822"/>
    <n v="685871"/>
    <n v="1026054.8891275586"/>
    <n v="543886.3154795228"/>
    <x v="903"/>
    <n v="44.81"/>
  </r>
  <r>
    <s v=" 28-02-2017"/>
    <x v="12"/>
    <s v=" Monthly"/>
    <n v="7.67"/>
    <n v="5489803"/>
    <n v="421068"/>
    <n v="787926.16673826752"/>
    <n v="523871.54927178932"/>
    <x v="904"/>
    <n v="41.78"/>
  </r>
  <r>
    <s v=" 31-03-2017"/>
    <x v="12"/>
    <s v=" Monthly"/>
    <n v="11.64"/>
    <n v="5006907"/>
    <n v="582804"/>
    <n v="531125.45002148021"/>
    <n v="424542.5894432856"/>
    <x v="905"/>
    <n v="39.78"/>
  </r>
  <r>
    <s v=" 30-04-2017"/>
    <x v="12"/>
    <s v=" Monthly"/>
    <n v="4.05"/>
    <n v="5612425"/>
    <n v="227303"/>
    <n v="567300.43500644411"/>
    <n v="290390.92355673236"/>
    <x v="906"/>
    <n v="41.03"/>
  </r>
  <r>
    <s v=" 31-05-2017"/>
    <x v="12"/>
    <s v=" Monthly"/>
    <n v="10.23"/>
    <n v="5074510"/>
    <n v="519122"/>
    <n v="329302.2305019332"/>
    <n v="290318.12599365663"/>
    <x v="907"/>
    <n v="39.61"/>
  </r>
  <r>
    <s v=" 30-06-2017"/>
    <x v="12"/>
    <s v=" Monthly"/>
    <n v="4.76"/>
    <n v="5265340"/>
    <n v="250630"/>
    <n v="462176.06915057992"/>
    <n v="226789.530351486"/>
    <x v="908"/>
    <n v="38.71"/>
  </r>
  <r>
    <s v=" 31-07-2017"/>
    <x v="12"/>
    <s v=" Monthly"/>
    <n v="8.52"/>
    <n v="4912673"/>
    <n v="418560"/>
    <n v="314093.82074517396"/>
    <n v="255852.52267424317"/>
    <x v="909"/>
    <n v="37.57"/>
  </r>
  <r>
    <s v=" 31-08-2017"/>
    <x v="12"/>
    <s v=" Monthly"/>
    <n v="4.41"/>
    <n v="5648257"/>
    <n v="249088"/>
    <n v="387220.14622355218"/>
    <n v="174829.88576848313"/>
    <x v="910"/>
    <n v="41.3"/>
  </r>
  <r>
    <s v=" 30-09-2017"/>
    <x v="12"/>
    <s v=" Monthly"/>
    <n v="5.54"/>
    <n v="5029347"/>
    <n v="278626"/>
    <n v="290527.64386706561"/>
    <n v="157845.29535961067"/>
    <x v="911"/>
    <n v="37.17"/>
  </r>
  <r>
    <s v=" 31-10-2017"/>
    <x v="12"/>
    <s v=" Monthly"/>
    <n v="11.6"/>
    <n v="5465402"/>
    <n v="633987"/>
    <n v="282196.49316011963"/>
    <n v="100225.28216500516"/>
    <x v="912"/>
    <n v="43.13"/>
  </r>
  <r>
    <s v=" 30-11-2017"/>
    <x v="12"/>
    <s v=" Monthly"/>
    <n v="11.52"/>
    <n v="5253238"/>
    <n v="605173"/>
    <n v="528449.84794803581"/>
    <n v="218310.7110288172"/>
    <x v="913"/>
    <n v="41.38"/>
  </r>
  <r>
    <s v=" 31-12-2017"/>
    <x v="12"/>
    <s v=" Monthly"/>
    <n v="13.42"/>
    <n v="5048010"/>
    <n v="677443"/>
    <n v="582156.05438441073"/>
    <n v="207994.11200815855"/>
    <x v="914"/>
    <n v="40.6"/>
  </r>
  <r>
    <s v=" 31-01-2018"/>
    <x v="12"/>
    <s v=" Monthly"/>
    <n v="6.56"/>
    <n v="5041669"/>
    <n v="330733"/>
    <n v="648856.91631532321"/>
    <n v="215036.89975459018"/>
    <x v="915"/>
    <n v="37.54"/>
  </r>
  <r>
    <s v=" 28-02-2018"/>
    <x v="12"/>
    <s v=" Monthly"/>
    <n v="7.42"/>
    <n v="5522167"/>
    <n v="409745"/>
    <n v="426170.17489459692"/>
    <n v="196781.4948933087"/>
    <x v="916"/>
    <n v="41.46"/>
  </r>
  <r>
    <s v=" 31-03-2018"/>
    <x v="12"/>
    <s v=" Monthly"/>
    <n v="11.21"/>
    <n v="5069678"/>
    <n v="568311"/>
    <n v="414672.55246837909"/>
    <n v="191965.46087501012"/>
    <x v="917"/>
    <n v="39.65"/>
  </r>
  <r>
    <s v=" 30-04-2018"/>
    <x v="12"/>
    <s v=" Monthly"/>
    <n v="5.91"/>
    <n v="5061784"/>
    <n v="299151"/>
    <n v="522219.46574051364"/>
    <n v="204187.32009443641"/>
    <x v="918"/>
    <n v="37.32"/>
  </r>
  <r>
    <s v=" 31-05-2018"/>
    <x v="12"/>
    <s v=" Monthly"/>
    <n v="4.97"/>
    <n v="5195194"/>
    <n v="258201"/>
    <n v="366071.53972215403"/>
    <n v="156667.4815632049"/>
    <x v="919"/>
    <n v="37.89"/>
  </r>
  <r>
    <s v=" 30-06-2018"/>
    <x v="12"/>
    <s v=" Monthly"/>
    <n v="8.99"/>
    <n v="5543620"/>
    <n v="498371"/>
    <n v="290562.16191664618"/>
    <n v="168325.44500431512"/>
    <x v="920"/>
    <n v="42.18"/>
  </r>
  <r>
    <s v=" 31-07-2018"/>
    <x v="12"/>
    <s v=" Monthly"/>
    <n v="8.3800000000000008"/>
    <n v="5003177"/>
    <n v="419266"/>
    <n v="436028.34857499378"/>
    <n v="186708.42413893118"/>
    <x v="921"/>
    <n v="37.78"/>
  </r>
  <r>
    <s v=" 30-09-2018"/>
    <x v="12"/>
    <s v=" Monthly"/>
    <n v="3.68"/>
    <n v="5269194"/>
    <n v="193906"/>
    <n v="424294.7045724981"/>
    <n v="135525.57305450016"/>
    <x v="922"/>
    <n v="37.78"/>
  </r>
  <r>
    <s v=" 31-10-2018"/>
    <x v="12"/>
    <s v=" Monthly"/>
    <n v="8.2799999999999994"/>
    <n v="5380921"/>
    <n v="445540"/>
    <n v="263022.61137174943"/>
    <n v="179391.97744036844"/>
    <x v="923"/>
    <n v="40.479999999999997"/>
  </r>
  <r>
    <s v=" 30-11-2018"/>
    <x v="12"/>
    <s v=" Monthly"/>
    <n v="6.8"/>
    <n v="5050544"/>
    <n v="343437"/>
    <n v="390784.78341152484"/>
    <n v="169973.0651956551"/>
    <x v="924"/>
    <n v="37.35"/>
  </r>
  <r>
    <s v=" 31-12-2018"/>
    <x v="12"/>
    <s v=" Monthly"/>
    <n v="9.31"/>
    <n v="4921237"/>
    <n v="458167"/>
    <n v="357641.33502345742"/>
    <n v="171885.00510540404"/>
    <x v="925"/>
    <n v="37.369999999999997"/>
  </r>
  <r>
    <s v=" 31-01-2019"/>
    <x v="12"/>
    <s v=" Monthly"/>
    <n v="6.84"/>
    <n v="5222669"/>
    <n v="357231"/>
    <n v="428009.3005070372"/>
    <n v="123369.11967024891"/>
    <x v="926"/>
    <n v="38.57"/>
  </r>
  <r>
    <s v=" 28-02-2019"/>
    <x v="12"/>
    <s v=" Monthly"/>
    <n v="8.6300000000000008"/>
    <n v="5449506"/>
    <n v="470292"/>
    <n v="378464.49015211116"/>
    <n v="76063.109182715751"/>
    <x v="927"/>
    <n v="41"/>
  </r>
  <r>
    <s v=" 31-03-2019"/>
    <x v="12"/>
    <s v=" Monthly"/>
    <n v="6.47"/>
    <n v="4834731"/>
    <n v="312807"/>
    <n v="442743.74704563332"/>
    <n v="88595.087724065655"/>
    <x v="928"/>
    <n v="35.5"/>
  </r>
  <r>
    <s v=" 30-04-2019"/>
    <x v="12"/>
    <s v=" Monthly"/>
    <n v="9.9700000000000006"/>
    <n v="5119786"/>
    <n v="510443"/>
    <n v="351788.02411369001"/>
    <n v="100540.89983737875"/>
    <x v="929"/>
    <n v="39.020000000000003"/>
  </r>
  <r>
    <s v=" 31-05-2019"/>
    <x v="12"/>
    <s v=" Monthly"/>
    <n v="6.63"/>
    <n v="5184353"/>
    <n v="343723"/>
    <n v="462846.507234107"/>
    <n v="129726.95835375496"/>
    <x v="930"/>
    <n v="38.07"/>
  </r>
  <r>
    <s v=" 30-06-2019"/>
    <x v="12"/>
    <s v=" Monthly"/>
    <n v="9"/>
    <n v="5605625"/>
    <n v="504506"/>
    <n v="379460.05217023205"/>
    <n v="136925.00329504086"/>
    <x v="931"/>
    <n v="42.19"/>
  </r>
  <r>
    <s v=" 31-07-2019"/>
    <x v="12"/>
    <s v=" Monthly"/>
    <n v="4.95"/>
    <n v="4855392"/>
    <n v="240342"/>
    <n v="466992.21565106953"/>
    <n v="135398.54802013817"/>
    <x v="932"/>
    <n v="34.96"/>
  </r>
  <r>
    <s v=" 31-08-2019"/>
    <x v="12"/>
    <s v=" Monthly"/>
    <n v="10.32"/>
    <n v="5233449"/>
    <n v="540092"/>
    <n v="308337.06469532085"/>
    <n v="164516.68537372909"/>
    <x v="933"/>
    <n v="39.9"/>
  </r>
  <r>
    <s v=" 30-09-2019"/>
    <x v="12"/>
    <s v=" Monthly"/>
    <n v="5.35"/>
    <n v="5400501"/>
    <n v="288927"/>
    <n v="470565.51940859621"/>
    <n v="200596.74254699601"/>
    <x v="934"/>
    <n v="38.97"/>
  </r>
  <r>
    <s v=" 31-10-2019"/>
    <x v="12"/>
    <s v=" Monthly"/>
    <n v="9.14"/>
    <n v="5328825"/>
    <n v="487055"/>
    <n v="343418.55582257884"/>
    <n v="214532.99825877551"/>
    <x v="935"/>
    <n v="40.020000000000003"/>
  </r>
  <r>
    <s v=" 30-11-2019"/>
    <x v="12"/>
    <s v=" Monthly"/>
    <n v="5"/>
    <n v="4557907"/>
    <n v="227895"/>
    <n v="443964.06674677366"/>
    <n v="189151.02419932108"/>
    <x v="936"/>
    <n v="32.71"/>
  </r>
  <r>
    <s v=" 31-12-2019"/>
    <x v="12"/>
    <s v=" Monthly"/>
    <n v="10.77"/>
    <n v="5065808"/>
    <n v="545588"/>
    <n v="292715.72002403205"/>
    <n v="182856.79408916525"/>
    <x v="937"/>
    <n v="38.67"/>
  </r>
  <r>
    <s v=" 31-01-2020"/>
    <x v="12"/>
    <s v=" Monthly"/>
    <n v="4.1100000000000003"/>
    <n v="5307026"/>
    <n v="218119"/>
    <n v="469726.31600720959"/>
    <n v="209174.29708339684"/>
    <x v="938"/>
    <n v="37.659999999999997"/>
  </r>
  <r>
    <s v=" 29-02-2020"/>
    <x v="12"/>
    <s v=" Monthly"/>
    <n v="8.91"/>
    <n v="5203579"/>
    <n v="463639"/>
    <n v="293601.19480216282"/>
    <n v="240787.92401434772"/>
    <x v="939"/>
    <n v="38.840000000000003"/>
  </r>
  <r>
    <s v=" 31-03-2020"/>
    <x v="12"/>
    <s v=" Monthly"/>
    <n v="8.85"/>
    <n v="4141953"/>
    <n v="366563"/>
    <n v="412627.65844064881"/>
    <n v="228154.54312453346"/>
    <x v="940"/>
    <n v="30.87"/>
  </r>
  <r>
    <s v=" 30-04-2020"/>
    <x v="12"/>
    <s v=" Monthly"/>
    <n v="10.71"/>
    <n v="1754170"/>
    <n v="187872"/>
    <n v="380382.39753219462"/>
    <n v="177333.06649926957"/>
    <x v="941"/>
    <n v="13.33"/>
  </r>
  <r>
    <s v=" 31-05-2020"/>
    <x v="12"/>
    <s v=" Monthly"/>
    <n v="15"/>
    <n v="4590028"/>
    <n v="688504"/>
    <n v="245625.11925965839"/>
    <n v="150659.72820869647"/>
    <x v="942"/>
    <n v="36.61"/>
  </r>
  <r>
    <s v=" 30-06-2020"/>
    <x v="12"/>
    <s v=" Monthly"/>
    <n v="10.31"/>
    <n v="4945465"/>
    <n v="509877"/>
    <n v="555640.3357778975"/>
    <n v="280073.74559871131"/>
    <x v="943"/>
    <n v="37.35"/>
  </r>
  <r>
    <s v=" 31-07-2020"/>
    <x v="12"/>
    <s v=" Monthly"/>
    <n v="9.3800000000000008"/>
    <n v="5178313"/>
    <n v="485726"/>
    <n v="523606.0007333692"/>
    <n v="280057.2792991593"/>
    <x v="944"/>
    <n v="38.67"/>
  </r>
  <r>
    <s v=" 31-08-2020"/>
    <x v="12"/>
    <s v=" Monthly"/>
    <n v="14.89"/>
    <n v="4849146"/>
    <n v="722038"/>
    <n v="497090.0002200107"/>
    <n v="257986.35646282948"/>
    <x v="945"/>
    <n v="38.520000000000003"/>
  </r>
  <r>
    <s v=" 30-09-2020"/>
    <x v="12"/>
    <s v=" Monthly"/>
    <n v="6.61"/>
    <n v="5089965"/>
    <n v="336447"/>
    <n v="654553.60006600316"/>
    <n v="134326.4431178745"/>
    <x v="946"/>
    <n v="36.82"/>
  </r>
  <r>
    <s v=" 31-10-2020"/>
    <x v="12"/>
    <s v=" Monthly"/>
    <n v="3.59"/>
    <n v="4918738"/>
    <n v="176583"/>
    <n v="431878.98001980095"/>
    <n v="226000.22571237269"/>
    <x v="947"/>
    <n v="34.43"/>
  </r>
  <r>
    <s v=" 30-11-2020"/>
    <x v="12"/>
    <s v=" Monthly"/>
    <n v="6.85"/>
    <n v="4676120"/>
    <n v="320314"/>
    <n v="253171.79400594026"/>
    <n v="268929.63703345699"/>
    <x v="948"/>
    <n v="33.85"/>
  </r>
  <r>
    <s v=" 31-12-2020"/>
    <x v="12"/>
    <s v=" Monthly"/>
    <n v="6.39"/>
    <n v="4988245"/>
    <n v="318749"/>
    <n v="300171.33820178208"/>
    <n v="238660.09458751962"/>
    <x v="949"/>
    <n v="35.9"/>
  </r>
  <r>
    <s v=" 31-01-2021"/>
    <x v="12"/>
    <s v=" Monthly"/>
    <n v="5.4"/>
    <n v="5128313"/>
    <n v="276929"/>
    <n v="313175.70146053459"/>
    <n v="152784.42629830691"/>
    <x v="950"/>
    <n v="36.479999999999997"/>
  </r>
  <r>
    <s v=" 28-02-2021"/>
    <x v="12"/>
    <s v=" Monthly"/>
    <n v="4.43"/>
    <n v="4966612"/>
    <n v="220021"/>
    <n v="287803.01043816039"/>
    <n v="45339.565908842567"/>
    <x v="951"/>
    <n v="34.950000000000003"/>
  </r>
  <r>
    <s v=" 31-03-2021"/>
    <x v="12"/>
    <s v=" Monthly"/>
    <n v="6.63"/>
    <n v="4889337"/>
    <n v="324163"/>
    <n v="240355.60313144809"/>
    <n v="45655.791248927628"/>
    <x v="952"/>
    <n v="35.18"/>
  </r>
  <r>
    <s v=" 30-04-2021"/>
    <x v="12"/>
    <s v=" Monthly"/>
    <n v="8.5"/>
    <n v="5080147"/>
    <n v="431812"/>
    <n v="299020.78093943442"/>
    <n v="65655.423933571466"/>
    <x v="953"/>
    <n v="37.270000000000003"/>
  </r>
  <r>
    <s v=" 31-05-2021"/>
    <x v="12"/>
    <s v=" Monthly"/>
    <n v="21.82"/>
    <n v="4110493"/>
    <n v="896910"/>
    <n v="391974.63428183028"/>
    <n v="98744.769597369828"/>
    <x v="954"/>
    <n v="35.26"/>
  </r>
  <r>
    <s v=" 30-06-2021"/>
    <x v="12"/>
    <s v=" Monthly"/>
    <n v="12.98"/>
    <n v="3920661"/>
    <n v="508902"/>
    <n v="745429.3902845491"/>
    <n v="305295.98271317838"/>
    <x v="955"/>
    <n v="30.18"/>
  </r>
  <r>
    <s v=" 31-07-2021"/>
    <x v="12"/>
    <s v=" Monthly"/>
    <n v="8.4"/>
    <n v="4585176"/>
    <n v="385155"/>
    <n v="579860.21708536474"/>
    <n v="330927.2013436149"/>
    <x v="956"/>
    <n v="33.5"/>
  </r>
  <r>
    <s v=" 31-08-2021"/>
    <x v="12"/>
    <s v=" Monthly"/>
    <n v="8.33"/>
    <n v="4996330"/>
    <n v="416194"/>
    <n v="443566.5651256094"/>
    <n v="340986.3396423285"/>
    <x v="957"/>
    <n v="36.450000000000003"/>
  </r>
  <r>
    <s v=" 30-09-2021"/>
    <x v="12"/>
    <s v=" Monthly"/>
    <n v="10.86"/>
    <n v="4874637"/>
    <n v="529386"/>
    <n v="424405.76953768276"/>
    <n v="177580.57817662583"/>
    <x v="958"/>
    <n v="36.53"/>
  </r>
  <r>
    <s v=" 31-10-2021"/>
    <x v="12"/>
    <s v=" Monthly"/>
    <n v="6.16"/>
    <n v="5171670"/>
    <n v="318575"/>
    <n v="497891.93086130475"/>
    <n v="128685.95840227477"/>
    <x v="959"/>
    <n v="36.79"/>
  </r>
  <r>
    <s v=" 30-11-2021"/>
    <x v="12"/>
    <s v=" Monthly"/>
    <n v="7.94"/>
    <n v="4947253"/>
    <n v="392812"/>
    <n v="372370.0792583914"/>
    <n v="121002.29722749746"/>
    <x v="960"/>
    <n v="35.840000000000003"/>
  </r>
  <r>
    <s v=" 31-12-2021"/>
    <x v="12"/>
    <s v=" Monthly"/>
    <n v="6.79"/>
    <n v="5198200"/>
    <n v="352958"/>
    <n v="386679.4237775174"/>
    <n v="120544.98828935942"/>
    <x v="961"/>
    <n v="37.159999999999997"/>
  </r>
  <r>
    <s v=" 31-01-2022"/>
    <x v="12"/>
    <s v=" Monthly"/>
    <n v="4.43"/>
    <n v="4956720"/>
    <n v="219583"/>
    <n v="363074.42713325517"/>
    <n v="106002.46575545162"/>
    <x v="962"/>
    <n v="34.520000000000003"/>
  </r>
  <r>
    <s v=" 28-02-2022"/>
    <x v="12"/>
    <s v=" Monthly"/>
    <n v="5.75"/>
    <n v="5198445"/>
    <n v="298911"/>
    <n v="262630.42813997652"/>
    <n v="85916.230918896428"/>
    <x v="963"/>
    <n v="36.68"/>
  </r>
  <r>
    <s v=" 31-03-2022"/>
    <x v="12"/>
    <s v=" Monthly"/>
    <n v="7.76"/>
    <n v="5050788"/>
    <n v="391941"/>
    <n v="288026.82844199293"/>
    <n v="87641.702358355105"/>
    <x v="964"/>
    <n v="36.380000000000003"/>
  </r>
  <r>
    <s v=" 30-04-2022"/>
    <x v="12"/>
    <s v=" Monthly"/>
    <n v="5.15"/>
    <n v="5008391"/>
    <n v="257932"/>
    <n v="360766.74853259791"/>
    <n v="104409.8089354564"/>
    <x v="965"/>
    <n v="35.049999999999997"/>
  </r>
  <r>
    <s v=" 31-01-2016"/>
    <x v="13"/>
    <s v=" Monthly"/>
    <n v="2.8"/>
    <n v="18423858"/>
    <n v="515868"/>
    <n v="288782.42455977935"/>
    <n v="86966.316182071139"/>
    <x v="966"/>
    <n v="49.24"/>
  </r>
  <r>
    <s v=" 29-02-2016"/>
    <x v="13"/>
    <s v=" Monthly"/>
    <n v="4.33"/>
    <n v="15217606"/>
    <n v="658922"/>
    <n v="447742.32736793376"/>
    <n v="155928.40144263406"/>
    <x v="967"/>
    <n v="41.24"/>
  </r>
  <r>
    <s v=" 31-03-2016"/>
    <x v="13"/>
    <s v=" Monthly"/>
    <n v="2.91"/>
    <n v="14149192"/>
    <n v="411741"/>
    <n v="595568.09821038006"/>
    <n v="188626.34864705891"/>
    <x v="968"/>
    <n v="37.700000000000003"/>
  </r>
  <r>
    <s v=" 30-04-2016"/>
    <x v="13"/>
    <s v=" Monthly"/>
    <n v="7.98"/>
    <n v="15794944"/>
    <n v="1260437"/>
    <n v="466889.12946311396"/>
    <n v="208132.26142884203"/>
    <x v="969"/>
    <n v="44.31"/>
  </r>
  <r>
    <s v=" 31-05-2016"/>
    <x v="13"/>
    <s v=" Monthly"/>
    <n v="5.26"/>
    <n v="18212768"/>
    <n v="957992"/>
    <n v="1022372.6388389341"/>
    <n v="485835.18433142937"/>
    <x v="970"/>
    <n v="49.52"/>
  </r>
  <r>
    <s v=" 30-06-2016"/>
    <x v="13"/>
    <s v=" Monthly"/>
    <n v="2.63"/>
    <n v="15859289"/>
    <n v="417099"/>
    <n v="977306.19165168016"/>
    <n v="471753.99363347015"/>
    <x v="971"/>
    <n v="41.86"/>
  </r>
  <r>
    <s v=" 31-07-2016"/>
    <x v="13"/>
    <s v=" Monthly"/>
    <n v="10.64"/>
    <n v="13779381"/>
    <n v="1466126"/>
    <n v="585161.15749550401"/>
    <n v="562048.39265825925"/>
    <x v="972"/>
    <n v="39.549999999999997"/>
  </r>
  <r>
    <s v=" 31-08-2016"/>
    <x v="13"/>
    <s v=" Monthly"/>
    <n v="8.34"/>
    <n v="15138404"/>
    <n v="1262543"/>
    <n v="1201836.5472486513"/>
    <n v="603897.34722730902"/>
    <x v="973"/>
    <n v="42.27"/>
  </r>
  <r>
    <s v=" 30-09-2016"/>
    <x v="13"/>
    <s v=" Monthly"/>
    <n v="7.11"/>
    <n v="16795529"/>
    <n v="1194162"/>
    <n v="1244331.0641745953"/>
    <n v="603770.49301669956"/>
    <x v="974"/>
    <n v="46.17"/>
  </r>
  <r>
    <s v=" 31-10-2016"/>
    <x v="13"/>
    <s v=" Monthly"/>
    <n v="5.78"/>
    <n v="16819538"/>
    <n v="972169"/>
    <n v="1209212.7192523784"/>
    <n v="510653.58843178541"/>
    <x v="975"/>
    <n v="45.49"/>
  </r>
  <r>
    <s v=" 30-11-2016"/>
    <x v="13"/>
    <s v=" Monthly"/>
    <n v="6.17"/>
    <n v="14078543"/>
    <n v="868646"/>
    <n v="1043282.1157757135"/>
    <n v="144212.7285676809"/>
    <x v="976"/>
    <n v="38.15"/>
  </r>
  <r>
    <s v=" 31-12-2016"/>
    <x v="13"/>
    <s v=" Monthly"/>
    <n v="1.37"/>
    <n v="14801361"/>
    <n v="202779"/>
    <n v="921036.83473271399"/>
    <n v="172437.84655191319"/>
    <x v="977"/>
    <n v="38.07"/>
  </r>
  <r>
    <s v=" 31-01-2017"/>
    <x v="13"/>
    <s v=" Monthly"/>
    <n v="2.35"/>
    <n v="16322654"/>
    <n v="383582"/>
    <n v="418256.35041981417"/>
    <n v="448174.74825680646"/>
    <x v="978"/>
    <n v="42.31"/>
  </r>
  <r>
    <s v=" 28-02-2017"/>
    <x v="13"/>
    <s v=" Monthly"/>
    <n v="4.09"/>
    <n v="16490043"/>
    <n v="674443"/>
    <n v="393984.3051259442"/>
    <n v="427237.01488564524"/>
    <x v="979"/>
    <n v="43.44"/>
  </r>
  <r>
    <s v=" 31-03-2017"/>
    <x v="13"/>
    <s v=" Monthly"/>
    <n v="2.44"/>
    <n v="16427527"/>
    <n v="400832"/>
    <n v="590305.3915377832"/>
    <n v="445628.28578028333"/>
    <x v="980"/>
    <n v="42.45"/>
  </r>
  <r>
    <s v=" 30-04-2017"/>
    <x v="13"/>
    <s v=" Monthly"/>
    <n v="1.65"/>
    <n v="14367717"/>
    <n v="237067"/>
    <n v="457674.01746133494"/>
    <n v="196434.51513445468"/>
    <x v="981"/>
    <n v="36.75"/>
  </r>
  <r>
    <s v=" 31-05-2017"/>
    <x v="13"/>
    <s v=" Monthly"/>
    <n v="1.44"/>
    <n v="16411533"/>
    <n v="236326"/>
    <n v="303249.10523840046"/>
    <n v="233255.72646380667"/>
    <x v="982"/>
    <n v="41.8"/>
  </r>
  <r>
    <s v=" 30-06-2017"/>
    <x v="13"/>
    <s v=" Monthly"/>
    <n v="1.72"/>
    <n v="17532197"/>
    <n v="301554"/>
    <n v="256402.93157152011"/>
    <n v="172284.96187882629"/>
    <x v="983"/>
    <n v="44.68"/>
  </r>
  <r>
    <s v=" 31-07-2017"/>
    <x v="13"/>
    <s v=" Monthly"/>
    <n v="0.86"/>
    <n v="16826553"/>
    <n v="144708"/>
    <n v="288008.67947145604"/>
    <n v="135627.89431402503"/>
    <x v="984"/>
    <n v="42.42"/>
  </r>
  <r>
    <s v=" 31-08-2017"/>
    <x v="13"/>
    <s v=" Monthly"/>
    <n v="0.63"/>
    <n v="15348329"/>
    <n v="96694"/>
    <n v="187698.2038414368"/>
    <n v="94960.352660051896"/>
    <x v="985"/>
    <n v="38.520000000000003"/>
  </r>
  <r>
    <s v=" 30-09-2017"/>
    <x v="13"/>
    <s v=" Monthly"/>
    <n v="0.82"/>
    <n v="16286314"/>
    <n v="133548"/>
    <n v="123995.26115243105"/>
    <n v="101415.75951502481"/>
    <x v="986"/>
    <n v="40.86"/>
  </r>
  <r>
    <s v=" 31-10-2017"/>
    <x v="13"/>
    <s v=" Monthly"/>
    <n v="0.18"/>
    <n v="15574666"/>
    <n v="28034"/>
    <n v="130682.17834572931"/>
    <n v="98163.307254263156"/>
    <x v="987"/>
    <n v="38.74"/>
  </r>
  <r>
    <s v=" 30-11-2017"/>
    <x v="13"/>
    <s v=" Monthly"/>
    <n v="3.41"/>
    <n v="15958810"/>
    <n v="544195"/>
    <n v="58828.453503718789"/>
    <n v="79392.838581323536"/>
    <x v="988"/>
    <n v="40.94"/>
  </r>
  <r>
    <s v=" 31-12-2017"/>
    <x v="13"/>
    <s v=" Monthly"/>
    <n v="1.5"/>
    <n v="16740051"/>
    <n v="251101"/>
    <n v="398585.03605111566"/>
    <n v="286477.79890415777"/>
    <x v="989"/>
    <n v="42.02"/>
  </r>
  <r>
    <s v=" 31-01-2018"/>
    <x v="13"/>
    <s v=" Monthly"/>
    <n v="2"/>
    <n v="15316143"/>
    <n v="306323"/>
    <n v="295346.21081533469"/>
    <n v="298813.69550571707"/>
    <x v="990"/>
    <n v="38.549999999999997"/>
  </r>
  <r>
    <s v=" 28-02-2018"/>
    <x v="13"/>
    <s v=" Monthly"/>
    <n v="2.0299999999999998"/>
    <n v="15927347"/>
    <n v="323325"/>
    <n v="303029.9632446004"/>
    <n v="292946.36326379958"/>
    <x v="991"/>
    <n v="40.03"/>
  </r>
  <r>
    <s v=" 31-03-2018"/>
    <x v="13"/>
    <s v=" Monthly"/>
    <n v="4.2699999999999996"/>
    <n v="16238450"/>
    <n v="693382"/>
    <n v="317236.48897338012"/>
    <n v="86185.68966217534"/>
    <x v="992"/>
    <n v="41.67"/>
  </r>
  <r>
    <s v=" 30-04-2018"/>
    <x v="13"/>
    <s v=" Monthly"/>
    <n v="2.76"/>
    <n v="16261153"/>
    <n v="448808"/>
    <n v="580538.34669201402"/>
    <n v="217575.9054392931"/>
    <x v="993"/>
    <n v="40.99"/>
  </r>
  <r>
    <s v=" 31-05-2018"/>
    <x v="13"/>
    <s v=" Monthly"/>
    <n v="1.58"/>
    <n v="15357946"/>
    <n v="242656"/>
    <n v="488327.10400760418"/>
    <n v="230398.36387004302"/>
    <x v="994"/>
    <n v="38.17"/>
  </r>
  <r>
    <s v=" 30-06-2018"/>
    <x v="13"/>
    <s v=" Monthly"/>
    <n v="2"/>
    <n v="15520250"/>
    <n v="310405"/>
    <n v="316357.33120228123"/>
    <n v="270303.91602132481"/>
    <x v="995"/>
    <n v="38.659999999999997"/>
  </r>
  <r>
    <s v=" 31-07-2018"/>
    <x v="13"/>
    <s v=" Monthly"/>
    <n v="3.62"/>
    <n v="15474298"/>
    <n v="560170"/>
    <n v="312190.69936068438"/>
    <n v="160978.88663906098"/>
    <x v="996"/>
    <n v="39.1"/>
  </r>
  <r>
    <s v=" 31-08-2018"/>
    <x v="13"/>
    <s v=" Monthly"/>
    <n v="6.41"/>
    <n v="16271156"/>
    <n v="1042981"/>
    <n v="485776.20980820531"/>
    <n v="201563.43512371881"/>
    <x v="997"/>
    <n v="42.25"/>
  </r>
  <r>
    <s v=" 30-09-2018"/>
    <x v="13"/>
    <s v=" Monthly"/>
    <n v="3.66"/>
    <n v="15114646"/>
    <n v="553196"/>
    <n v="875819.56294246158"/>
    <n v="352139.33890104154"/>
    <x v="998"/>
    <n v="38.04"/>
  </r>
  <r>
    <s v=" 31-10-2018"/>
    <x v="13"/>
    <s v=" Monthly"/>
    <n v="7.31"/>
    <n v="15128954"/>
    <n v="1105927"/>
    <n v="649983.06888273847"/>
    <n v="398353.64318819973"/>
    <x v="999"/>
    <n v="39.49"/>
  </r>
  <r>
    <s v=" 30-11-2018"/>
    <x v="13"/>
    <s v=" Monthly"/>
    <n v="5.97"/>
    <n v="15004515"/>
    <n v="895770"/>
    <n v="969143.82066482143"/>
    <n v="455502.65637755708"/>
    <x v="1000"/>
    <n v="38.53"/>
  </r>
  <r>
    <s v=" 31-12-2018"/>
    <x v="13"/>
    <s v=" Monthly"/>
    <n v="6.98"/>
    <n v="15588737"/>
    <n v="1088094"/>
    <n v="917782.1461994464"/>
    <n v="325245.82971823221"/>
    <x v="1001"/>
    <n v="40.380000000000003"/>
  </r>
  <r>
    <s v=" 31-01-2019"/>
    <x v="13"/>
    <s v=" Monthly"/>
    <n v="4.67"/>
    <n v="15262970"/>
    <n v="712781"/>
    <n v="1037000.4438598338"/>
    <n v="284179.93913868297"/>
    <x v="1002"/>
    <n v="38.49"/>
  </r>
  <r>
    <s v=" 28-02-2019"/>
    <x v="13"/>
    <s v=" Monthly"/>
    <n v="6.33"/>
    <n v="16047857"/>
    <n v="1015829"/>
    <n v="810046.83315795008"/>
    <n v="215644.84141037273"/>
    <x v="1003"/>
    <n v="41.1"/>
  </r>
  <r>
    <s v=" 31-03-2019"/>
    <x v="13"/>
    <s v=" Monthly"/>
    <n v="4.0599999999999996"/>
    <n v="15705488"/>
    <n v="637643"/>
    <n v="954094.34994738491"/>
    <n v="242535.68501148466"/>
    <x v="1004"/>
    <n v="39.19"/>
  </r>
  <r>
    <s v=" 30-04-2019"/>
    <x v="13"/>
    <s v=" Monthly"/>
    <n v="6.3"/>
    <n v="15708503"/>
    <n v="989636"/>
    <n v="732578.40498421551"/>
    <n v="287289.63599505374"/>
    <x v="1005"/>
    <n v="40.049999999999997"/>
  </r>
  <r>
    <s v=" 31-05-2019"/>
    <x v="13"/>
    <s v=" Monthly"/>
    <n v="3.63"/>
    <n v="15349833"/>
    <n v="557199"/>
    <n v="912518.72149526456"/>
    <n v="263670.4788361353"/>
    <x v="1006"/>
    <n v="37.97"/>
  </r>
  <r>
    <s v=" 30-06-2019"/>
    <x v="13"/>
    <s v=" Monthly"/>
    <n v="4.25"/>
    <n v="16294789"/>
    <n v="692529"/>
    <n v="663794.9164485794"/>
    <n v="312235.04422272107"/>
    <x v="1007"/>
    <n v="40.479999999999997"/>
  </r>
  <r>
    <s v=" 31-07-2019"/>
    <x v="13"/>
    <s v=" Monthly"/>
    <n v="3.92"/>
    <n v="16274702"/>
    <n v="637968"/>
    <n v="683908.7749345738"/>
    <n v="253742.88771399512"/>
    <x v="1008"/>
    <n v="40.200000000000003"/>
  </r>
  <r>
    <s v=" 31-08-2019"/>
    <x v="13"/>
    <s v=" Monthly"/>
    <n v="4.9400000000000004"/>
    <n v="16559144"/>
    <n v="818022"/>
    <n v="651750.23248037207"/>
    <n v="207515.70771277498"/>
    <x v="1009"/>
    <n v="41.25"/>
  </r>
  <r>
    <s v=" 30-09-2019"/>
    <x v="13"/>
    <s v=" Monthly"/>
    <n v="3.32"/>
    <n v="16205452"/>
    <n v="538021"/>
    <n v="768140.46974411153"/>
    <n v="100966.17095712533"/>
    <x v="1010"/>
    <n v="39.61"/>
  </r>
  <r>
    <s v=" 31-10-2019"/>
    <x v="13"/>
    <s v=" Monthly"/>
    <n v="2.98"/>
    <n v="17060636"/>
    <n v="508407"/>
    <n v="607056.84092323342"/>
    <n v="166043.99600808759"/>
    <x v="1011"/>
    <n v="41.46"/>
  </r>
  <r>
    <s v=" 30-11-2019"/>
    <x v="13"/>
    <s v=" Monthly"/>
    <n v="2.72"/>
    <n v="16306425"/>
    <n v="443535"/>
    <n v="538001.95227697003"/>
    <n v="173525.27399353244"/>
    <x v="1012"/>
    <n v="39.44"/>
  </r>
  <r>
    <s v=" 31-12-2019"/>
    <x v="13"/>
    <s v=" Monthly"/>
    <n v="2.94"/>
    <n v="16854646"/>
    <n v="495527"/>
    <n v="471875.08568309096"/>
    <n v="154500.01784464801"/>
    <x v="1013"/>
    <n v="40.770000000000003"/>
  </r>
  <r>
    <s v=" 31-01-2020"/>
    <x v="13"/>
    <s v=" Monthly"/>
    <n v="3.66"/>
    <n v="16183702"/>
    <n v="592323"/>
    <n v="488431.42570492724"/>
    <n v="80031.67963903003"/>
    <x v="1014"/>
    <n v="39.35"/>
  </r>
  <r>
    <s v=" 29-02-2020"/>
    <x v="13"/>
    <s v=" Monthly"/>
    <n v="4.42"/>
    <n v="16178044"/>
    <n v="715070"/>
    <n v="561155.52771147818"/>
    <n v="82212.888958813026"/>
    <x v="1015"/>
    <n v="39.57"/>
  </r>
  <r>
    <s v=" 31-03-2020"/>
    <x v="13"/>
    <s v=" Monthly"/>
    <n v="1.19"/>
    <n v="16480441"/>
    <n v="196117"/>
    <n v="668895.65831344342"/>
    <n v="108077.96112100003"/>
    <x v="1016"/>
    <n v="38.9"/>
  </r>
  <r>
    <s v=" 30-04-2020"/>
    <x v="13"/>
    <s v=" Monthly"/>
    <n v="12.5"/>
    <n v="14238959"/>
    <n v="1779870"/>
    <n v="337950.59749403305"/>
    <n v="293259.14805056097"/>
    <x v="1017"/>
    <n v="37.880000000000003"/>
  </r>
  <r>
    <s v=" 31-05-2020"/>
    <x v="13"/>
    <s v=" Monthly"/>
    <n v="22.41"/>
    <n v="13113588"/>
    <n v="2938755"/>
    <n v="1347294.1792482098"/>
    <n v="880594.66420135251"/>
    <x v="1018"/>
    <n v="39.25"/>
  </r>
  <r>
    <s v=" 30-06-2020"/>
    <x v="13"/>
    <s v=" Monthly"/>
    <n v="5.09"/>
    <n v="16745326"/>
    <n v="852337"/>
    <n v="2461316.7537744627"/>
    <n v="1269566.6934125971"/>
    <x v="1019"/>
    <n v="40.89"/>
  </r>
  <r>
    <s v=" 31-07-2020"/>
    <x v="13"/>
    <s v=" Monthly"/>
    <n v="3.12"/>
    <n v="17564717"/>
    <n v="548019"/>
    <n v="1335030.9261323386"/>
    <n v="1549268.1019723751"/>
    <x v="1020"/>
    <n v="41.92"/>
  </r>
  <r>
    <s v=" 31-08-2020"/>
    <x v="13"/>
    <s v=" Monthly"/>
    <n v="4.1900000000000004"/>
    <n v="16678710"/>
    <n v="698838"/>
    <n v="784122.57783970155"/>
    <n v="1383347.5297165478"/>
    <x v="1021"/>
    <n v="40.17"/>
  </r>
  <r>
    <s v=" 30-09-2020"/>
    <x v="13"/>
    <s v=" Monthly"/>
    <n v="1.97"/>
    <n v="16614381"/>
    <n v="327303"/>
    <n v="724423.37335191038"/>
    <n v="1035290.1492090612"/>
    <x v="1022"/>
    <n v="39.020000000000003"/>
  </r>
  <r>
    <s v=" 31-10-2020"/>
    <x v="13"/>
    <s v=" Monthly"/>
    <n v="2.36"/>
    <n v="16604835"/>
    <n v="391874"/>
    <n v="446439.11200557312"/>
    <n v="511326.97367502871"/>
    <x v="1023"/>
    <n v="39.07"/>
  </r>
  <r>
    <s v=" 30-11-2020"/>
    <x v="13"/>
    <s v=" Monthly"/>
    <n v="3.43"/>
    <n v="17833203"/>
    <n v="611679"/>
    <n v="408243.53360167192"/>
    <n v="236611.77879713816"/>
    <x v="1024"/>
    <n v="42.33"/>
  </r>
  <r>
    <s v=" 31-12-2020"/>
    <x v="13"/>
    <s v=" Monthly"/>
    <n v="4.7"/>
    <n v="17361870"/>
    <n v="816008"/>
    <n v="550648.36008050153"/>
    <n v="259530.30097212584"/>
    <x v="1025"/>
    <n v="41.67"/>
  </r>
  <r>
    <s v=" 31-01-2021"/>
    <x v="13"/>
    <s v=" Monthly"/>
    <n v="5.53"/>
    <n v="16425899"/>
    <n v="908352"/>
    <n v="736400.10802415037"/>
    <n v="195600.85116983505"/>
    <x v="1026"/>
    <n v="39.69"/>
  </r>
  <r>
    <s v=" 28-02-2021"/>
    <x v="13"/>
    <s v=" Monthly"/>
    <n v="1.45"/>
    <n v="16110846"/>
    <n v="233607"/>
    <n v="856766.43240724504"/>
    <n v="217078.46556870121"/>
    <x v="1027"/>
    <n v="37.24"/>
  </r>
  <r>
    <s v=" 31-03-2021"/>
    <x v="13"/>
    <s v=" Monthly"/>
    <n v="0.98"/>
    <n v="17514181"/>
    <n v="171639"/>
    <n v="420554.82972217351"/>
    <n v="403448.00154435431"/>
    <x v="1028"/>
    <n v="40.200000000000003"/>
  </r>
  <r>
    <s v=" 30-04-2021"/>
    <x v="13"/>
    <s v=" Monthly"/>
    <n v="1.0900000000000001"/>
    <n v="16536975"/>
    <n v="180253"/>
    <n v="246313.74891665205"/>
    <n v="399939.2544034957"/>
    <x v="1029"/>
    <n v="37.92"/>
  </r>
  <r>
    <s v=" 31-05-2021"/>
    <x v="13"/>
    <s v=" Monthly"/>
    <n v="4.75"/>
    <n v="15844700"/>
    <n v="752623"/>
    <n v="200071.22467499561"/>
    <n v="389294.57185693661"/>
    <x v="1030"/>
    <n v="37.65"/>
  </r>
  <r>
    <s v=" 30-06-2021"/>
    <x v="13"/>
    <s v=" Monthly"/>
    <n v="1.4"/>
    <n v="16156443"/>
    <n v="226190"/>
    <n v="586857.4674024987"/>
    <n v="351964.28665823524"/>
    <x v="1031"/>
    <n v="37.01"/>
  </r>
  <r>
    <s v=" 31-07-2021"/>
    <x v="13"/>
    <s v=" Monthly"/>
    <n v="1.47"/>
    <n v="17718555"/>
    <n v="260463"/>
    <n v="334390.24022074963"/>
    <n v="382865.73321238678"/>
    <x v="1032"/>
    <n v="40.520000000000003"/>
  </r>
  <r>
    <s v=" 31-08-2021"/>
    <x v="13"/>
    <s v=" Monthly"/>
    <n v="3.42"/>
    <n v="17144098"/>
    <n v="586328"/>
    <n v="282641.17206622486"/>
    <n v="383344.80706191174"/>
    <x v="1033"/>
    <n v="39.909999999999997"/>
  </r>
  <r>
    <s v=" 30-09-2021"/>
    <x v="13"/>
    <s v=" Monthly"/>
    <n v="3.05"/>
    <n v="16829442"/>
    <n v="513298"/>
    <n v="495221.95161986741"/>
    <n v="275543.06883538625"/>
    <x v="1034"/>
    <n v="38.950000000000003"/>
  </r>
  <r>
    <s v=" 31-10-2021"/>
    <x v="13"/>
    <s v=" Monthly"/>
    <n v="1.1599999999999999"/>
    <n v="16354585"/>
    <n v="189713"/>
    <n v="507875.18548596022"/>
    <n v="180755.51612807068"/>
    <x v="1035"/>
    <n v="37.04"/>
  </r>
  <r>
    <s v=" 30-11-2021"/>
    <x v="13"/>
    <s v=" Monthly"/>
    <n v="0.94"/>
    <n v="17614485"/>
    <n v="165576"/>
    <n v="285161.65564578807"/>
    <n v="254151.92914129258"/>
    <x v="1036"/>
    <n v="39.72"/>
  </r>
  <r>
    <s v=" 31-12-2021"/>
    <x v="13"/>
    <s v=" Monthly"/>
    <n v="3.35"/>
    <n v="17340069"/>
    <n v="580892"/>
    <n v="201451.69669373642"/>
    <n v="196515.1807829584"/>
    <x v="1037"/>
    <n v="39.99"/>
  </r>
  <r>
    <s v=" 31-01-2022"/>
    <x v="13"/>
    <s v=" Monthly"/>
    <n v="2.82"/>
    <n v="16521800"/>
    <n v="465915"/>
    <n v="467059.90900812089"/>
    <n v="294110.43792119133"/>
    <x v="1038"/>
    <n v="37.81"/>
  </r>
  <r>
    <s v=" 28-02-2022"/>
    <x v="13"/>
    <s v=" Monthly"/>
    <n v="1.88"/>
    <n v="15856775"/>
    <n v="298107"/>
    <n v="466258.47270243627"/>
    <n v="229693.26185590727"/>
    <x v="1039"/>
    <n v="35.869999999999997"/>
  </r>
  <r>
    <s v=" 31-03-2022"/>
    <x v="13"/>
    <s v=" Monthly"/>
    <n v="1.19"/>
    <n v="17233257"/>
    <n v="205076"/>
    <n v="348552.44181073084"/>
    <n v="239618.56658850145"/>
    <x v="1040"/>
    <n v="38.630000000000003"/>
  </r>
  <r>
    <s v=" 30-04-2022"/>
    <x v="13"/>
    <s v=" Monthly"/>
    <n v="1.24"/>
    <n v="17152188"/>
    <n v="212687"/>
    <n v="248118.93254321924"/>
    <n v="127621.46886176463"/>
    <x v="1041"/>
    <n v="38.39"/>
  </r>
  <r>
    <s v=" 31-01-2016"/>
    <x v="14"/>
    <s v=" Monthly"/>
    <n v="4.41"/>
    <n v="23349301"/>
    <n v="1029704"/>
    <n v="223316.57976296576"/>
    <n v="129248.89292938313"/>
    <x v="1042"/>
    <n v="49.81"/>
  </r>
  <r>
    <s v=" 29-02-2016"/>
    <x v="14"/>
    <s v=" Monthly"/>
    <n v="2.27"/>
    <n v="24009199"/>
    <n v="545009"/>
    <n v="787787.77392888966"/>
    <n v="473322.15340609703"/>
    <x v="1043"/>
    <n v="50.02"/>
  </r>
  <r>
    <s v=" 31-03-2016"/>
    <x v="14"/>
    <s v=" Monthly"/>
    <n v="4.2300000000000004"/>
    <n v="24256813"/>
    <n v="1026063"/>
    <n v="617842.63217866689"/>
    <n v="486640.73895455338"/>
    <x v="1044"/>
    <n v="51.47"/>
  </r>
  <r>
    <s v=" 30-04-2016"/>
    <x v="14"/>
    <s v=" Monthly"/>
    <n v="8.48"/>
    <n v="24355586"/>
    <n v="2065354"/>
    <n v="903596.88965360005"/>
    <n v="540322.76566608425"/>
    <x v="1045"/>
    <n v="53.98"/>
  </r>
  <r>
    <s v=" 31-05-2016"/>
    <x v="14"/>
    <s v=" Monthly"/>
    <n v="6.75"/>
    <n v="25381354"/>
    <n v="1713241"/>
    <n v="1716826.8668960799"/>
    <n v="724629.78713616624"/>
    <x v="1046"/>
    <n v="55.12"/>
  </r>
  <r>
    <s v=" 30-06-2016"/>
    <x v="14"/>
    <s v=" Monthly"/>
    <n v="6.23"/>
    <n v="25770672"/>
    <n v="1605513"/>
    <n v="1714316.7600688238"/>
    <n v="710946.85937979887"/>
    <x v="1047"/>
    <n v="55.56"/>
  </r>
  <r>
    <s v=" 31-07-2016"/>
    <x v="14"/>
    <s v=" Monthly"/>
    <n v="6.72"/>
    <n v="26924026"/>
    <n v="1809295"/>
    <n v="1638154.128020647"/>
    <n v="673679.12740090338"/>
    <x v="1048"/>
    <n v="58.24"/>
  </r>
  <r>
    <s v=" 31-08-2016"/>
    <x v="14"/>
    <s v=" Monthly"/>
    <n v="6.16"/>
    <n v="24478824"/>
    <n v="1507896"/>
    <n v="1757952.7384061941"/>
    <n v="117104.39033666198"/>
    <x v="1049"/>
    <n v="52.54"/>
  </r>
  <r>
    <s v=" 30-09-2016"/>
    <x v="14"/>
    <s v=" Monthly"/>
    <n v="3.69"/>
    <n v="26376296"/>
    <n v="973285"/>
    <n v="1582913.0215218582"/>
    <n v="185881.52919652101"/>
    <x v="1050"/>
    <n v="55.06"/>
  </r>
  <r>
    <s v=" 31-10-2016"/>
    <x v="14"/>
    <s v=" Monthly"/>
    <n v="2.62"/>
    <n v="26704911"/>
    <n v="699669"/>
    <n v="1156173.4064565576"/>
    <n v="393049.57071123243"/>
    <x v="1051"/>
    <n v="55.04"/>
  </r>
  <r>
    <s v=" 30-11-2016"/>
    <x v="14"/>
    <s v=" Monthly"/>
    <n v="5.44"/>
    <n v="25674138"/>
    <n v="1396673"/>
    <n v="836620.32193696732"/>
    <n v="462807.00447063713"/>
    <x v="1052"/>
    <n v="54.39"/>
  </r>
  <r>
    <s v=" 31-12-2016"/>
    <x v="14"/>
    <s v=" Monthly"/>
    <n v="4.6100000000000003"/>
    <n v="24664651"/>
    <n v="1137040"/>
    <n v="1228657.1965810901"/>
    <n v="545802.65052015637"/>
    <x v="1053"/>
    <n v="51.71"/>
  </r>
  <r>
    <s v=" 31-01-2017"/>
    <x v="14"/>
    <s v=" Monthly"/>
    <n v="2.84"/>
    <n v="25807027"/>
    <n v="732920"/>
    <n v="1164525.1589743271"/>
    <n v="420495.33728259377"/>
    <x v="1054"/>
    <n v="53.02"/>
  </r>
  <r>
    <s v=" 28-02-2017"/>
    <x v="14"/>
    <s v=" Monthly"/>
    <n v="2.59"/>
    <n v="25901602"/>
    <n v="670851"/>
    <n v="862401.54769229807"/>
    <n v="411637.27000366367"/>
    <x v="1055"/>
    <n v="52.99"/>
  </r>
  <r>
    <s v=" 31-03-2017"/>
    <x v="14"/>
    <s v=" Monthly"/>
    <n v="9.27"/>
    <n v="25629032"/>
    <n v="2375811"/>
    <n v="728316.16430768929"/>
    <n v="277709.88236158231"/>
    <x v="1056"/>
    <n v="56.19"/>
  </r>
  <r>
    <s v=" 30-04-2017"/>
    <x v="14"/>
    <s v=" Monthly"/>
    <n v="4.25"/>
    <n v="25216698"/>
    <n v="1071710"/>
    <n v="1881562.5492923066"/>
    <n v="989480.31127579079"/>
    <x v="1057"/>
    <n v="52.3"/>
  </r>
  <r>
    <s v=" 31-05-2017"/>
    <x v="14"/>
    <s v=" Monthly"/>
    <n v="4.55"/>
    <n v="25999202"/>
    <n v="1182964"/>
    <n v="1314665.7647876921"/>
    <n v="1065644.092798545"/>
    <x v="1058"/>
    <n v="53.99"/>
  </r>
  <r>
    <s v=" 30-06-2017"/>
    <x v="14"/>
    <s v=" Monthly"/>
    <n v="4.49"/>
    <n v="25777081"/>
    <n v="1157391"/>
    <n v="1222474.5294363075"/>
    <n v="1062614.0315398742"/>
    <x v="1059"/>
    <n v="53.4"/>
  </r>
  <r>
    <s v=" 31-07-2017"/>
    <x v="14"/>
    <s v=" Monthly"/>
    <n v="3.27"/>
    <n v="27783238"/>
    <n v="908512"/>
    <n v="1176916.0588308922"/>
    <n v="475199.03628105391"/>
    <x v="1060"/>
    <n v="56.73"/>
  </r>
  <r>
    <s v=" 31-08-2017"/>
    <x v="14"/>
    <s v=" Monthly"/>
    <n v="3.22"/>
    <n v="26053589"/>
    <n v="838926"/>
    <n v="989033.21764926752"/>
    <n v="176655.93626121213"/>
    <x v="1061"/>
    <n v="53.07"/>
  </r>
  <r>
    <s v=" 30-09-2017"/>
    <x v="14"/>
    <s v=" Monthly"/>
    <n v="4.01"/>
    <n v="26670872"/>
    <n v="1069502"/>
    <n v="883958.16529478016"/>
    <n v="181483.49915000383"/>
    <x v="1062"/>
    <n v="54.68"/>
  </r>
  <r>
    <s v=" 31-10-2017"/>
    <x v="14"/>
    <s v=" Monthly"/>
    <n v="3.61"/>
    <n v="26688647"/>
    <n v="963460"/>
    <n v="1013838.849588434"/>
    <n v="207363.95555031541"/>
    <x v="1063"/>
    <n v="54.39"/>
  </r>
  <r>
    <s v=" 30-11-2017"/>
    <x v="14"/>
    <s v=" Monthly"/>
    <n v="2.87"/>
    <n v="27085396"/>
    <n v="777351"/>
    <n v="978573.65487653017"/>
    <n v="140826.98590040259"/>
    <x v="1064"/>
    <n v="54.68"/>
  </r>
  <r>
    <s v=" 31-12-2017"/>
    <x v="14"/>
    <s v=" Monthly"/>
    <n v="2.2999999999999998"/>
    <n v="26885202"/>
    <n v="618360"/>
    <n v="837717.79646295891"/>
    <n v="160680.94672210017"/>
    <x v="1065"/>
    <n v="53.87"/>
  </r>
  <r>
    <s v=" 31-01-2018"/>
    <x v="14"/>
    <s v=" Monthly"/>
    <n v="3.08"/>
    <n v="26961311"/>
    <n v="830408"/>
    <n v="684167.3389388877"/>
    <n v="174304.7409859125"/>
    <x v="1066"/>
    <n v="54.35"/>
  </r>
  <r>
    <s v=" 28-02-2018"/>
    <x v="14"/>
    <s v=" Monthly"/>
    <n v="3.5"/>
    <n v="26765446"/>
    <n v="936791"/>
    <n v="786535.80168166629"/>
    <n v="191480.83511780424"/>
    <x v="1067"/>
    <n v="54.11"/>
  </r>
  <r>
    <s v=" 31-03-2018"/>
    <x v="14"/>
    <s v=" Monthly"/>
    <n v="2.4700000000000002"/>
    <n v="26388024"/>
    <n v="651784"/>
    <n v="891714.44050449983"/>
    <n v="175195.88887714405"/>
    <x v="1068"/>
    <n v="52.69"/>
  </r>
  <r>
    <s v=" 30-04-2018"/>
    <x v="14"/>
    <s v=" Monthly"/>
    <n v="4.2300000000000004"/>
    <n v="26866134"/>
    <n v="1136437"/>
    <n v="723763.13215134991"/>
    <n v="183965.18860005031"/>
    <x v="1069"/>
    <n v="54.53"/>
  </r>
  <r>
    <s v=" 31-05-2018"/>
    <x v="14"/>
    <s v=" Monthly"/>
    <n v="3.4"/>
    <n v="25543215"/>
    <n v="868469"/>
    <n v="1012634.8396454048"/>
    <n v="288930.76570205664"/>
    <x v="1070"/>
    <n v="51.3"/>
  </r>
  <r>
    <s v=" 30-06-2018"/>
    <x v="14"/>
    <s v=" Monthly"/>
    <n v="4.18"/>
    <n v="25435207"/>
    <n v="1063192"/>
    <n v="911718.7518936214"/>
    <n v="287894.73007016123"/>
    <x v="1071"/>
    <n v="51.41"/>
  </r>
  <r>
    <s v=" 31-07-2018"/>
    <x v="14"/>
    <s v=" Monthly"/>
    <n v="3.23"/>
    <n v="24861163"/>
    <n v="803016"/>
    <n v="1017750.0255680863"/>
    <n v="267100.26545458304"/>
    <x v="1072"/>
    <n v="49.67"/>
  </r>
  <r>
    <s v=" 31-08-2018"/>
    <x v="14"/>
    <s v=" Monthly"/>
    <n v="3.32"/>
    <n v="24561056"/>
    <n v="815427"/>
    <n v="867436.20767042576"/>
    <n v="173049.73846579166"/>
    <x v="1073"/>
    <n v="49.02"/>
  </r>
  <r>
    <s v=" 30-09-2018"/>
    <x v="14"/>
    <s v=" Monthly"/>
    <n v="3.28"/>
    <n v="26250561"/>
    <n v="861018"/>
    <n v="831029.76230112766"/>
    <n v="154660.70855378616"/>
    <x v="1074"/>
    <n v="52.28"/>
  </r>
  <r>
    <s v=" 31-10-2018"/>
    <x v="14"/>
    <s v=" Monthly"/>
    <n v="3.49"/>
    <n v="25376699"/>
    <n v="885647"/>
    <n v="852021.52869033825"/>
    <n v="128730.92586148453"/>
    <x v="1075"/>
    <n v="50.56"/>
  </r>
  <r>
    <s v=" 30-11-2018"/>
    <x v="14"/>
    <s v=" Monthly"/>
    <n v="3.62"/>
    <n v="25793662"/>
    <n v="933731"/>
    <n v="875559.35860710137"/>
    <n v="39727.926380932709"/>
    <x v="1076"/>
    <n v="51.37"/>
  </r>
  <r>
    <s v=" 31-12-2018"/>
    <x v="14"/>
    <s v=" Monthly"/>
    <n v="1.94"/>
    <n v="25492138"/>
    <n v="494547"/>
    <n v="916279.50758213038"/>
    <n v="42481.001963328468"/>
    <x v="1077"/>
    <n v="49.81"/>
  </r>
  <r>
    <s v=" 31-01-2019"/>
    <x v="14"/>
    <s v=" Monthly"/>
    <n v="3.96"/>
    <n v="26357273"/>
    <n v="1043748"/>
    <n v="621066.75227463909"/>
    <n v="246558.25554667096"/>
    <x v="1078"/>
    <n v="52.49"/>
  </r>
  <r>
    <s v=" 28-02-2019"/>
    <x v="14"/>
    <s v=" Monthly"/>
    <n v="3.01"/>
    <n v="25615962"/>
    <n v="771040"/>
    <n v="916943.62568239169"/>
    <n v="346362.85645380797"/>
    <x v="1079"/>
    <n v="50.43"/>
  </r>
  <r>
    <s v=" 31-03-2019"/>
    <x v="14"/>
    <s v=" Monthly"/>
    <n v="2.2799999999999998"/>
    <n v="25988958"/>
    <n v="592548"/>
    <n v="814811.08770471741"/>
    <n v="354873.50474849815"/>
    <x v="1080"/>
    <n v="50.69"/>
  </r>
  <r>
    <s v=" 30-04-2019"/>
    <x v="14"/>
    <s v=" Monthly"/>
    <n v="3.08"/>
    <n v="25247404"/>
    <n v="777620"/>
    <n v="659226.92631141515"/>
    <n v="288298.5636002894"/>
    <x v="1081"/>
    <n v="49.56"/>
  </r>
  <r>
    <s v=" 31-05-2019"/>
    <x v="14"/>
    <s v=" Monthly"/>
    <n v="3.67"/>
    <n v="23896869"/>
    <n v="877015"/>
    <n v="742102.07789342455"/>
    <n v="168033.39751443567"/>
    <x v="1082"/>
    <n v="47.11"/>
  </r>
  <r>
    <s v=" 30-06-2019"/>
    <x v="14"/>
    <s v=" Monthly"/>
    <n v="4.34"/>
    <n v="23056509"/>
    <n v="1000652"/>
    <n v="836541.12336802739"/>
    <n v="164943.72434742755"/>
    <x v="1083"/>
    <n v="45.69"/>
  </r>
  <r>
    <s v=" 31-07-2019"/>
    <x v="14"/>
    <s v=" Monthly"/>
    <n v="3.66"/>
    <n v="24843734"/>
    <n v="909281"/>
    <n v="951418.73701040808"/>
    <n v="140416.9936031962"/>
    <x v="1084"/>
    <n v="48.8"/>
  </r>
  <r>
    <s v=" 31-08-2019"/>
    <x v="14"/>
    <s v=" Monthly"/>
    <n v="3.76"/>
    <n v="26835377"/>
    <n v="1009010"/>
    <n v="921922.32110312232"/>
    <n v="125045.94523695114"/>
    <x v="1085"/>
    <n v="52.67"/>
  </r>
  <r>
    <s v=" 30-09-2019"/>
    <x v="14"/>
    <s v=" Monthly"/>
    <n v="4.32"/>
    <n v="24526973"/>
    <n v="1059565"/>
    <n v="982883.69633093663"/>
    <n v="109988.23046871656"/>
    <x v="1086"/>
    <n v="48.34"/>
  </r>
  <r>
    <s v=" 31-10-2019"/>
    <x v="14"/>
    <s v=" Monthly"/>
    <n v="3.81"/>
    <n v="24330242"/>
    <n v="926982"/>
    <n v="1036560.6088992809"/>
    <n v="71273.826491896965"/>
    <x v="1087"/>
    <n v="47.61"/>
  </r>
  <r>
    <s v=" 30-11-2019"/>
    <x v="14"/>
    <s v=" Monthly"/>
    <n v="3.68"/>
    <n v="24881375"/>
    <n v="915635"/>
    <n v="959855.58266978408"/>
    <n v="92144.37526030252"/>
    <x v="1088"/>
    <n v="48.53"/>
  </r>
  <r>
    <s v=" 31-12-2019"/>
    <x v="14"/>
    <s v=" Monthly"/>
    <n v="3.03"/>
    <n v="26357639"/>
    <n v="798636"/>
    <n v="928901.1748009352"/>
    <n v="81328.457078573032"/>
    <x v="1089"/>
    <n v="50.98"/>
  </r>
  <r>
    <s v=" 31-01-2020"/>
    <x v="14"/>
    <s v=" Monthly"/>
    <n v="3.8"/>
    <n v="25881398"/>
    <n v="983493"/>
    <n v="837715.55244028056"/>
    <n v="101541.36632570815"/>
    <x v="1090"/>
    <n v="50.36"/>
  </r>
  <r>
    <s v=" 29-02-2020"/>
    <x v="14"/>
    <s v=" Monthly"/>
    <n v="4.24"/>
    <n v="25293535"/>
    <n v="1072446"/>
    <n v="939759.76573208417"/>
    <n v="115723.14651010856"/>
    <x v="1091"/>
    <n v="49.36"/>
  </r>
  <r>
    <s v=" 31-03-2020"/>
    <x v="14"/>
    <s v=" Monthly"/>
    <n v="5.38"/>
    <n v="23130976"/>
    <n v="1244447"/>
    <n v="1032640.1297196252"/>
    <n v="136413.24073948394"/>
    <x v="1092"/>
    <n v="45.6"/>
  </r>
  <r>
    <s v=" 30-04-2020"/>
    <x v="14"/>
    <s v=" Monthly"/>
    <n v="25.28"/>
    <n v="15014802"/>
    <n v="3795742"/>
    <n v="1180904.9389158874"/>
    <n v="167051.73976864622"/>
    <x v="1093"/>
    <n v="37.42"/>
  </r>
  <r>
    <s v=" 31-05-2020"/>
    <x v="14"/>
    <s v=" Monthly"/>
    <n v="15.69"/>
    <n v="18527244"/>
    <n v="2906925"/>
    <n v="3011290.8816747661"/>
    <n v="1516557.5759024303"/>
    <x v="1094"/>
    <n v="40.85"/>
  </r>
  <r>
    <s v=" 30-06-2020"/>
    <x v="14"/>
    <s v=" Monthly"/>
    <n v="9.1"/>
    <n v="23798442"/>
    <n v="2165658"/>
    <n v="2938234.7645024294"/>
    <n v="1515819.6070745268"/>
    <x v="1095"/>
    <n v="48.58"/>
  </r>
  <r>
    <s v=" 31-07-2020"/>
    <x v="14"/>
    <s v=" Monthly"/>
    <n v="3.16"/>
    <n v="24668199"/>
    <n v="779515"/>
    <n v="2397431.0293507287"/>
    <n v="1575345.4595025384"/>
    <x v="1096"/>
    <n v="47.18"/>
  </r>
  <r>
    <s v=" 31-08-2020"/>
    <x v="14"/>
    <s v=" Monthly"/>
    <n v="4.91"/>
    <n v="24114467"/>
    <n v="1184020"/>
    <n v="1264889.8088052184"/>
    <n v="1036889.4785747131"/>
    <x v="1097"/>
    <n v="46.88"/>
  </r>
  <r>
    <s v=" 30-09-2020"/>
    <x v="14"/>
    <s v=" Monthly"/>
    <n v="3.15"/>
    <n v="25324035"/>
    <n v="797707"/>
    <n v="1208280.9426415656"/>
    <n v="1036189.6642756838"/>
    <x v="1098"/>
    <n v="48.25"/>
  </r>
  <r>
    <s v=" 31-10-2020"/>
    <x v="14"/>
    <s v=" Monthly"/>
    <n v="3.06"/>
    <n v="26049047"/>
    <n v="797101"/>
    <n v="920879.18279246963"/>
    <n v="964842.50293030741"/>
    <x v="1099"/>
    <n v="49.5"/>
  </r>
  <r>
    <s v=" 30-11-2020"/>
    <x v="14"/>
    <s v=" Monthly"/>
    <n v="2.59"/>
    <n v="24566063"/>
    <n v="636261"/>
    <n v="834234.45483774086"/>
    <n v="251947.03602664734"/>
    <x v="1100"/>
    <n v="46.38"/>
  </r>
  <r>
    <s v=" 31-12-2020"/>
    <x v="14"/>
    <s v=" Monthly"/>
    <n v="3.27"/>
    <n v="25341826"/>
    <n v="828678"/>
    <n v="695653.03645132226"/>
    <n v="272693.65579470102"/>
    <x v="1101"/>
    <n v="48.09"/>
  </r>
  <r>
    <s v=" 31-01-2021"/>
    <x v="14"/>
    <s v=" Monthly"/>
    <n v="3.23"/>
    <n v="25267672"/>
    <n v="816146"/>
    <n v="788770.51093539665"/>
    <n v="155145.27416040757"/>
    <x v="1102"/>
    <n v="47.84"/>
  </r>
  <r>
    <s v=" 28-02-2021"/>
    <x v="14"/>
    <s v=" Monthly"/>
    <n v="3.17"/>
    <n v="26170980"/>
    <n v="829620"/>
    <n v="807933.3532806189"/>
    <n v="138610.421865318"/>
    <x v="1103"/>
    <n v="49.44"/>
  </r>
  <r>
    <s v=" 31-03-2021"/>
    <x v="14"/>
    <s v=" Monthly"/>
    <n v="2.78"/>
    <n v="27136050"/>
    <n v="754382"/>
    <n v="823114.00598418573"/>
    <n v="79404.804587179533"/>
    <x v="1104"/>
    <n v="50.97"/>
  </r>
  <r>
    <s v=" 30-04-2021"/>
    <x v="14"/>
    <s v=" Monthly"/>
    <n v="5.53"/>
    <n v="23334618"/>
    <n v="1290404"/>
    <n v="775001.60179525567"/>
    <n v="44511.484263680395"/>
    <x v="1105"/>
    <n v="45.02"/>
  </r>
  <r>
    <s v=" 31-05-2021"/>
    <x v="14"/>
    <s v=" Monthly"/>
    <n v="4.43"/>
    <n v="24326967"/>
    <n v="1077685"/>
    <n v="1135783.2805385767"/>
    <n v="300462.9934882404"/>
    <x v="1106"/>
    <n v="46.31"/>
  </r>
  <r>
    <s v=" 30-06-2021"/>
    <x v="14"/>
    <s v=" Monthly"/>
    <n v="3.22"/>
    <n v="25826420"/>
    <n v="831611"/>
    <n v="1095114.484161573"/>
    <n v="302070.1524057787"/>
    <x v="1107"/>
    <n v="48.46"/>
  </r>
  <r>
    <s v=" 31-07-2021"/>
    <x v="14"/>
    <s v=" Monthly"/>
    <n v="3.19"/>
    <n v="26809344"/>
    <n v="855218"/>
    <n v="910662.0452484719"/>
    <n v="335881.49122472218"/>
    <x v="1108"/>
    <n v="50.2"/>
  </r>
  <r>
    <s v=" 31-08-2021"/>
    <x v="14"/>
    <s v=" Monthly"/>
    <n v="3.38"/>
    <n v="27973080"/>
    <n v="945490"/>
    <n v="871851.2135745415"/>
    <n v="159042.48753120669"/>
    <x v="1109"/>
    <n v="52.39"/>
  </r>
  <r>
    <s v=" 30-09-2021"/>
    <x v="14"/>
    <s v=" Monthly"/>
    <n v="3.45"/>
    <n v="27331532"/>
    <n v="942938"/>
    <n v="923398.36407236243"/>
    <n v="161173.61155497018"/>
    <x v="1110"/>
    <n v="51.13"/>
  </r>
  <r>
    <s v=" 31-10-2021"/>
    <x v="14"/>
    <s v=" Monthly"/>
    <n v="3.46"/>
    <n v="26386667"/>
    <n v="912979"/>
    <n v="937076.10922170873"/>
    <n v="54401.318586695779"/>
    <x v="1111"/>
    <n v="49.28"/>
  </r>
  <r>
    <s v=" 30-11-2021"/>
    <x v="14"/>
    <s v=" Monthly"/>
    <n v="3.62"/>
    <n v="29158698"/>
    <n v="1055545"/>
    <n v="920208.13276651246"/>
    <n v="46134.365033894472"/>
    <x v="1112"/>
    <n v="54.46"/>
  </r>
  <r>
    <s v=" 31-12-2021"/>
    <x v="14"/>
    <s v=" Monthly"/>
    <n v="2.17"/>
    <n v="30465112"/>
    <n v="661093"/>
    <n v="1014943.9398299537"/>
    <n v="80163.449022610919"/>
    <x v="1113"/>
    <n v="55.95"/>
  </r>
  <r>
    <s v=" 31-01-2022"/>
    <x v="14"/>
    <s v=" Monthly"/>
    <n v="3.06"/>
    <n v="27519532"/>
    <n v="842098"/>
    <n v="767248.281948986"/>
    <n v="219170.5773470815"/>
    <x v="1114"/>
    <n v="50.91"/>
  </r>
  <r>
    <s v=" 28-02-2022"/>
    <x v="14"/>
    <s v=" Monthly"/>
    <n v="3.16"/>
    <n v="27059261"/>
    <n v="855073"/>
    <n v="819643.08458469575"/>
    <n v="222956.67407475712"/>
    <x v="1115"/>
    <n v="50.03"/>
  </r>
  <r>
    <s v=" 31-03-2022"/>
    <x v="14"/>
    <s v=" Monthly"/>
    <n v="2.59"/>
    <n v="28220486"/>
    <n v="730911"/>
    <n v="844444.0253754087"/>
    <n v="209815.98828274378"/>
    <x v="1116"/>
    <n v="51.78"/>
  </r>
  <r>
    <s v=" 30-04-2022"/>
    <x v="14"/>
    <s v=" Monthly"/>
    <n v="1.77"/>
    <n v="29711668"/>
    <n v="525897"/>
    <n v="764970.90761262248"/>
    <n v="81132.621983073899"/>
    <x v="1117"/>
    <n v="53.96"/>
  </r>
  <r>
    <s v=" 31-01-2018"/>
    <x v="15"/>
    <s v=" Monthly"/>
    <n v="8.5399999999999991"/>
    <n v="924560"/>
    <n v="78957"/>
    <n v="597619.1722837867"/>
    <n v="154165.88474583425"/>
    <x v="1118"/>
    <n v="60.17"/>
  </r>
  <r>
    <s v=" 28-02-2018"/>
    <x v="15"/>
    <s v=" Monthly"/>
    <n v="7.06"/>
    <n v="931330"/>
    <n v="65752"/>
    <n v="234555.65168513599"/>
    <n v="336182.75293367758"/>
    <x v="1119"/>
    <n v="59.51"/>
  </r>
  <r>
    <s v=" 31-03-2018"/>
    <x v="15"/>
    <s v=" Monthly"/>
    <n v="5.56"/>
    <n v="819920"/>
    <n v="45588"/>
    <n v="116393.09550554078"/>
    <n v="343832.05933592148"/>
    <x v="1120"/>
    <n v="51.43"/>
  </r>
  <r>
    <s v=" 30-04-2018"/>
    <x v="15"/>
    <s v=" Monthly"/>
    <n v="2.1800000000000002"/>
    <n v="962046"/>
    <n v="20973"/>
    <n v="66829.528651662229"/>
    <n v="317552.34913838585"/>
    <x v="1121"/>
    <n v="58.12"/>
  </r>
  <r>
    <s v=" 31-05-2018"/>
    <x v="15"/>
    <s v=" Monthly"/>
    <n v="8.31"/>
    <n v="934494"/>
    <n v="77656"/>
    <n v="34729.958595498669"/>
    <n v="108950.83844218636"/>
    <x v="1122"/>
    <n v="60.08"/>
  </r>
  <r>
    <s v=" 30-06-2018"/>
    <x v="15"/>
    <s v=" Monthly"/>
    <n v="6.09"/>
    <n v="892934"/>
    <n v="54380"/>
    <n v="64778.187578649595"/>
    <n v="54646.829124815747"/>
    <x v="1123"/>
    <n v="55.91"/>
  </r>
  <r>
    <s v=" 31-07-2018"/>
    <x v="15"/>
    <s v=" Monthly"/>
    <n v="2.96"/>
    <n v="919697"/>
    <n v="27223"/>
    <n v="57499.456273594878"/>
    <n v="36758.620556102047"/>
    <x v="1124"/>
    <n v="55.59"/>
  </r>
  <r>
    <s v=" 31-08-2018"/>
    <x v="15"/>
    <s v=" Monthly"/>
    <n v="3.62"/>
    <n v="1019319"/>
    <n v="36899"/>
    <n v="36305.936882078458"/>
    <n v="30916.18314124308"/>
    <x v="1125"/>
    <n v="61.88"/>
  </r>
  <r>
    <s v=" 30-09-2018"/>
    <x v="15"/>
    <s v=" Monthly"/>
    <n v="3.33"/>
    <n v="1042980"/>
    <n v="34731"/>
    <n v="36721.081064623533"/>
    <n v="18485.470269642625"/>
    <x v="1126"/>
    <n v="62.98"/>
  </r>
  <r>
    <s v=" 31-10-2018"/>
    <x v="15"/>
    <s v=" Monthly"/>
    <n v="4.22"/>
    <n v="981834"/>
    <n v="41433"/>
    <n v="35328.024319387056"/>
    <n v="17521.186708216184"/>
    <x v="1127"/>
    <n v="59.69"/>
  </r>
  <r>
    <s v=" 30-11-2018"/>
    <x v="15"/>
    <s v=" Monthly"/>
    <n v="2.63"/>
    <n v="1042413"/>
    <n v="27415"/>
    <n v="39601.507295816118"/>
    <n v="3723.0307800002333"/>
    <x v="1128"/>
    <n v="62.18"/>
  </r>
  <r>
    <s v=" 31-12-2018"/>
    <x v="15"/>
    <s v=" Monthly"/>
    <n v="2.4700000000000002"/>
    <n v="1058629"/>
    <n v="26148"/>
    <n v="31070.952188744835"/>
    <n v="7952.8215281460134"/>
    <x v="1129"/>
    <n v="62.89"/>
  </r>
  <r>
    <s v=" 31-01-2019"/>
    <x v="15"/>
    <s v=" Monthly"/>
    <n v="1.68"/>
    <n v="1123774"/>
    <n v="18879"/>
    <n v="27624.885656623446"/>
    <n v="8366.9418225243753"/>
    <x v="1130"/>
    <n v="66.05"/>
  </r>
  <r>
    <s v=" 28-02-2019"/>
    <x v="15"/>
    <s v=" Monthly"/>
    <n v="6.25"/>
    <n v="1005006"/>
    <n v="62813"/>
    <n v="21502.765696987033"/>
    <n v="9114.7670338189619"/>
    <x v="1131"/>
    <n v="61.81"/>
  </r>
  <r>
    <s v=" 31-03-2019"/>
    <x v="15"/>
    <s v=" Monthly"/>
    <n v="0.52"/>
    <n v="1157078"/>
    <n v="6017"/>
    <n v="50419.929709096104"/>
    <n v="24544.255487732284"/>
    <x v="1132"/>
    <n v="66.900000000000006"/>
  </r>
  <r>
    <s v=" 30-04-2019"/>
    <x v="15"/>
    <s v=" Monthly"/>
    <n v="1.61"/>
    <n v="1018984"/>
    <n v="16406"/>
    <n v="19337.878912728833"/>
    <n v="35377.234397464759"/>
    <x v="1133"/>
    <n v="59.42"/>
  </r>
  <r>
    <s v=" 31-05-2019"/>
    <x v="15"/>
    <s v=" Monthly"/>
    <n v="3.16"/>
    <n v="1119011"/>
    <n v="35361"/>
    <n v="17285.563673818648"/>
    <n v="35055.915044776026"/>
    <x v="1134"/>
    <n v="66.13"/>
  </r>
  <r>
    <s v=" 30-06-2019"/>
    <x v="15"/>
    <s v=" Monthly"/>
    <n v="4.2300000000000004"/>
    <n v="1024797"/>
    <n v="43349"/>
    <n v="29938.369102145592"/>
    <n v="27730.473484908678"/>
    <x v="1135"/>
    <n v="61.09"/>
  </r>
  <r>
    <s v=" 31-07-2019"/>
    <x v="15"/>
    <s v=" Monthly"/>
    <n v="1.03"/>
    <n v="1158510"/>
    <n v="11933"/>
    <n v="39325.810730643672"/>
    <n v="13104.227478428831"/>
    <x v="1136"/>
    <n v="66.67"/>
  </r>
  <r>
    <s v=" 31-08-2019"/>
    <x v="15"/>
    <s v=" Monthly"/>
    <n v="0.52"/>
    <n v="1065725"/>
    <n v="5542"/>
    <n v="20150.843219193102"/>
    <n v="20468.939877980905"/>
    <x v="1137"/>
    <n v="60.86"/>
  </r>
  <r>
    <s v=" 30-09-2019"/>
    <x v="15"/>
    <s v=" Monthly"/>
    <n v="0.24"/>
    <n v="1162159"/>
    <n v="2789"/>
    <n v="9924.6529657579304"/>
    <n v="19524.594754704627"/>
    <x v="1138"/>
    <n v="66.02"/>
  </r>
  <r>
    <s v=" 31-10-2019"/>
    <x v="15"/>
    <s v=" Monthly"/>
    <n v="3.7"/>
    <n v="1080609"/>
    <n v="39983"/>
    <n v="4929.6958897273789"/>
    <n v="18391.138474598403"/>
    <x v="1139"/>
    <n v="63.44"/>
  </r>
  <r>
    <s v=" 30-11-2019"/>
    <x v="15"/>
    <s v=" Monthly"/>
    <n v="1.5"/>
    <n v="1205703"/>
    <n v="18086"/>
    <n v="29467.00876691821"/>
    <n v="22308.96660163016"/>
    <x v="1140"/>
    <n v="69.03"/>
  </r>
  <r>
    <s v=" 31-12-2019"/>
    <x v="15"/>
    <s v=" Monthly"/>
    <n v="1.8"/>
    <n v="1102998"/>
    <n v="19854"/>
    <n v="21500.302630075461"/>
    <n v="21673.171071224246"/>
    <x v="1141"/>
    <n v="63.18"/>
  </r>
  <r>
    <s v=" 31-01-2020"/>
    <x v="15"/>
    <s v=" Monthly"/>
    <n v="0.97"/>
    <n v="1229406"/>
    <n v="11925"/>
    <n v="20347.890789022636"/>
    <n v="21299.231613290012"/>
    <x v="1142"/>
    <n v="69.66"/>
  </r>
  <r>
    <s v=" 29-02-2020"/>
    <x v="15"/>
    <s v=" Monthly"/>
    <n v="2.76"/>
    <n v="1112864"/>
    <n v="30715"/>
    <n v="14451.867236706792"/>
    <n v="8229.6772343809644"/>
    <x v="1143"/>
    <n v="64.06"/>
  </r>
  <r>
    <s v=" 31-03-2020"/>
    <x v="15"/>
    <s v=" Monthly"/>
    <n v="1.28"/>
    <n v="1192616"/>
    <n v="15265"/>
    <n v="25836.060171012039"/>
    <n v="10616.730332672998"/>
    <x v="1144"/>
    <n v="67.459999999999994"/>
  </r>
  <r>
    <s v=" 30-04-2020"/>
    <x v="15"/>
    <s v=" Monthly"/>
    <n v="8.3800000000000008"/>
    <n v="803118"/>
    <n v="67301"/>
    <n v="18436.318051303613"/>
    <n v="12209.038860061295"/>
    <x v="1145"/>
    <n v="48.83"/>
  </r>
  <r>
    <s v=" 31-05-2020"/>
    <x v="15"/>
    <s v=" Monthly"/>
    <n v="3.73"/>
    <n v="992148"/>
    <n v="37007"/>
    <n v="52641.595415391079"/>
    <n v="30353.439905898158"/>
    <x v="1146"/>
    <n v="57.26"/>
  </r>
  <r>
    <s v=" 30-06-2020"/>
    <x v="15"/>
    <s v=" Monthly"/>
    <n v="1.35"/>
    <n v="1150200"/>
    <n v="15528"/>
    <n v="41697.378624617319"/>
    <n v="30243.153654391379"/>
    <x v="1147"/>
    <n v="64.63"/>
  </r>
  <r>
    <s v=" 31-07-2020"/>
    <x v="15"/>
    <s v=" Monthly"/>
    <n v="1.59"/>
    <n v="1186601"/>
    <n v="18867"/>
    <n v="23378.813587385193"/>
    <n v="33251.737264634263"/>
    <x v="1148"/>
    <n v="66.67"/>
  </r>
  <r>
    <s v=" 31-08-2020"/>
    <x v="15"/>
    <s v=" Monthly"/>
    <n v="3.42"/>
    <n v="1106727"/>
    <n v="37850"/>
    <n v="20220.544076215556"/>
    <n v="17791.696689269211"/>
    <x v="1149"/>
    <n v="63.2"/>
  </r>
  <r>
    <s v=" 30-09-2020"/>
    <x v="15"/>
    <s v=" Monthly"/>
    <n v="3.36"/>
    <n v="1229521"/>
    <n v="41312"/>
    <n v="32561.163222864667"/>
    <n v="18402.812788760941"/>
    <x v="1150"/>
    <n v="70"/>
  </r>
  <r>
    <s v=" 31-10-2020"/>
    <x v="15"/>
    <s v=" Monthly"/>
    <n v="4.2"/>
    <n v="1161068"/>
    <n v="48765"/>
    <n v="38686.748966859399"/>
    <n v="11658.063337107589"/>
    <x v="1151"/>
    <n v="66.510000000000005"/>
  </r>
  <r>
    <s v=" 30-11-2020"/>
    <x v="15"/>
    <s v=" Monthly"/>
    <n v="0"/>
    <n v="1173252"/>
    <n v="0"/>
    <n v="45741.52469005782"/>
    <n v="12766.440437800486"/>
    <x v="1152"/>
    <n v="64.23"/>
  </r>
  <r>
    <s v=" 31-12-2020"/>
    <x v="15"/>
    <s v=" Monthly"/>
    <n v="5.33"/>
    <n v="1092520"/>
    <n v="58231"/>
    <n v="13722.457407017346"/>
    <n v="27510.212462273186"/>
    <x v="1153"/>
    <n v="63.03"/>
  </r>
  <r>
    <s v=" 31-01-2021"/>
    <x v="15"/>
    <s v=" Monthly"/>
    <n v="2.56"/>
    <n v="1153015"/>
    <n v="29517"/>
    <n v="44878.437222105204"/>
    <n v="37304.461701917637"/>
    <x v="1154"/>
    <n v="64.459999999999994"/>
  </r>
  <r>
    <s v=" 28-02-2021"/>
    <x v="15"/>
    <s v=" Monthly"/>
    <n v="3.9"/>
    <n v="1101692"/>
    <n v="42966"/>
    <n v="34125.431166631563"/>
    <n v="37900.181170416581"/>
    <x v="1155"/>
    <n v="62.31"/>
  </r>
  <r>
    <s v=" 31-03-2021"/>
    <x v="15"/>
    <s v=" Monthly"/>
    <n v="0.69"/>
    <n v="1232540"/>
    <n v="8505"/>
    <n v="40313.829349989464"/>
    <n v="27659.475619140936"/>
    <x v="1156"/>
    <n v="67.290000000000006"/>
  </r>
  <r>
    <s v=" 30-04-2021"/>
    <x v="15"/>
    <s v=" Monthly"/>
    <n v="1.32"/>
    <n v="1124420"/>
    <n v="14842"/>
    <n v="18047.648804996839"/>
    <n v="21023.249316276459"/>
    <x v="1157"/>
    <n v="61.63"/>
  </r>
  <r>
    <s v=" 31-05-2021"/>
    <x v="15"/>
    <s v=" Monthly"/>
    <n v="5.98"/>
    <n v="1067531"/>
    <n v="63838"/>
    <n v="15803.694641499053"/>
    <n v="19150.574109542638"/>
    <x v="1158"/>
    <n v="61.26"/>
  </r>
  <r>
    <s v=" 30-06-2021"/>
    <x v="15"/>
    <s v=" Monthly"/>
    <n v="2.78"/>
    <n v="1266903"/>
    <n v="35220"/>
    <n v="49427.708392449713"/>
    <n v="33313.522280256511"/>
    <x v="1159"/>
    <n v="70.13"/>
  </r>
  <r>
    <s v=" 31-07-2021"/>
    <x v="15"/>
    <s v=" Monthly"/>
    <n v="0"/>
    <n v="1298307"/>
    <n v="0"/>
    <n v="39482.312517734914"/>
    <n v="28979.473501656172"/>
    <x v="1160"/>
    <n v="69.7"/>
  </r>
  <r>
    <s v=" 31-08-2021"/>
    <x v="15"/>
    <s v=" Monthly"/>
    <n v="0"/>
    <n v="1184245"/>
    <n v="0"/>
    <n v="11844.693755320473"/>
    <n v="36823.934566106531"/>
    <x v="1161"/>
    <n v="63.41"/>
  </r>
  <r>
    <s v=" 30-09-2021"/>
    <x v="15"/>
    <s v=" Monthly"/>
    <n v="1.1000000000000001"/>
    <n v="1274099"/>
    <n v="14015"/>
    <n v="3553.4081265961418"/>
    <n v="25172.794505645052"/>
    <x v="1162"/>
    <n v="68.819999999999993"/>
  </r>
  <r>
    <s v=" 31-10-2021"/>
    <x v="15"/>
    <s v=" Monthly"/>
    <n v="1.72"/>
    <n v="1086009"/>
    <n v="18679"/>
    <n v="10876.522437978841"/>
    <n v="24553.307152880545"/>
    <x v="1163"/>
    <n v="58.88"/>
  </r>
  <r>
    <s v=" 30-11-2021"/>
    <x v="15"/>
    <s v=" Monthly"/>
    <n v="0.41"/>
    <n v="1199426"/>
    <n v="4918"/>
    <n v="16338.256731393652"/>
    <n v="10175.466095611888"/>
    <x v="1164"/>
    <n v="64.02"/>
  </r>
  <r>
    <s v=" 31-12-2021"/>
    <x v="15"/>
    <s v=" Monthly"/>
    <n v="2.0299999999999998"/>
    <n v="1116192"/>
    <n v="22659"/>
    <n v="8344.077019418095"/>
    <n v="10012.422691211408"/>
    <x v="1165"/>
    <n v="60.41"/>
  </r>
  <r>
    <s v=" 31-01-2022"/>
    <x v="15"/>
    <s v=" Monthly"/>
    <n v="0.91"/>
    <n v="1204182"/>
    <n v="10958"/>
    <n v="18364.523105825429"/>
    <n v="11492.286396488988"/>
    <x v="1166"/>
    <n v="64.27"/>
  </r>
  <r>
    <s v=" 28-02-2022"/>
    <x v="15"/>
    <s v=" Monthly"/>
    <n v="0.83"/>
    <n v="1322093"/>
    <n v="10973"/>
    <n v="13179.956931747627"/>
    <n v="11404.617022183895"/>
    <x v="1167"/>
    <n v="70.349999999999994"/>
  </r>
  <r>
    <s v=" 31-03-2022"/>
    <x v="15"/>
    <s v=" Monthly"/>
    <n v="1.89"/>
    <n v="1188495"/>
    <n v="22463"/>
    <n v="11635.087079524288"/>
    <n v="9392.2709954463226"/>
    <x v="1168"/>
    <n v="63.77"/>
  </r>
  <r>
    <s v=" 30-04-2022"/>
    <x v="15"/>
    <s v=" Monthly"/>
    <n v="0.89"/>
    <n v="1167874"/>
    <n v="10394"/>
    <n v="19214.626123857284"/>
    <n v="7680.5152090451093"/>
    <x v="1169"/>
    <n v="61.88"/>
  </r>
  <r>
    <s v=" 31-01-2016"/>
    <x v="16"/>
    <s v=" Monthly"/>
    <n v="6.07"/>
    <n v="12707301"/>
    <n v="771333"/>
    <n v="13040.187837157184"/>
    <n v="8163.2877839113198"/>
    <x v="1170"/>
    <n v="50.1"/>
  </r>
  <r>
    <s v=" 29-02-2016"/>
    <x v="16"/>
    <s v=" Monthly"/>
    <n v="9.08"/>
    <n v="11590176"/>
    <n v="1052388"/>
    <n v="543845.1563511471"/>
    <n v="437874.80559373845"/>
    <x v="1171"/>
    <n v="47.14"/>
  </r>
  <r>
    <s v=" 31-03-2016"/>
    <x v="16"/>
    <s v=" Monthly"/>
    <n v="12.17"/>
    <n v="12813099"/>
    <n v="1559354"/>
    <n v="899825.1469053441"/>
    <n v="527162.72511420702"/>
    <x v="1172"/>
    <n v="53.86"/>
  </r>
  <r>
    <s v=" 30-04-2016"/>
    <x v="16"/>
    <s v=" Monthly"/>
    <n v="7.12"/>
    <n v="11391327"/>
    <n v="811062"/>
    <n v="1361495.3440716034"/>
    <n v="650282.53369045828"/>
    <x v="1173"/>
    <n v="45.21"/>
  </r>
  <r>
    <s v=" 31-05-2016"/>
    <x v="16"/>
    <s v=" Monthly"/>
    <n v="6.79"/>
    <n v="12400315"/>
    <n v="841981"/>
    <n v="976192.00322148087"/>
    <n v="576359.55159855494"/>
    <x v="1174"/>
    <n v="48.96"/>
  </r>
  <r>
    <s v=" 30-06-2016"/>
    <x v="16"/>
    <s v=" Monthly"/>
    <n v="9.57"/>
    <n v="11680161"/>
    <n v="1117791"/>
    <n v="882244.30096644419"/>
    <n v="501985.31443191197"/>
    <x v="1175"/>
    <n v="47.46"/>
  </r>
  <r>
    <s v=" 31-07-2016"/>
    <x v="16"/>
    <s v=" Monthly"/>
    <n v="8.7200000000000006"/>
    <n v="12259361"/>
    <n v="1069016"/>
    <n v="1047126.9902899333"/>
    <n v="354246.48061162583"/>
    <x v="1176"/>
    <n v="49.27"/>
  </r>
  <r>
    <s v=" 31-08-2016"/>
    <x v="16"/>
    <s v=" Monthly"/>
    <n v="10.87"/>
    <n v="11407526"/>
    <n v="1239998"/>
    <n v="1062449.29708698"/>
    <n v="157028.6274934269"/>
    <x v="1177"/>
    <n v="46.88"/>
  </r>
  <r>
    <s v=" 30-09-2016"/>
    <x v="16"/>
    <s v=" Monthly"/>
    <n v="4.7300000000000004"/>
    <n v="11912913"/>
    <n v="563481"/>
    <n v="1186733.3891260941"/>
    <n v="170767.7936827158"/>
    <x v="1178"/>
    <n v="45.73"/>
  </r>
  <r>
    <s v=" 31-10-2016"/>
    <x v="16"/>
    <s v=" Monthly"/>
    <n v="2.79"/>
    <n v="11488244"/>
    <n v="320522"/>
    <n v="750456.71673782822"/>
    <n v="374364.44418221107"/>
    <x v="1179"/>
    <n v="43.15"/>
  </r>
  <r>
    <s v=" 30-11-2016"/>
    <x v="16"/>
    <s v=" Monthly"/>
    <n v="4.95"/>
    <n v="12500208"/>
    <n v="618760"/>
    <n v="449502.41502134845"/>
    <n v="449002.948436465"/>
    <x v="1180"/>
    <n v="47.94"/>
  </r>
  <r>
    <s v=" 31-12-2016"/>
    <x v="16"/>
    <s v=" Monthly"/>
    <n v="6.95"/>
    <n v="11594937"/>
    <n v="805848"/>
    <n v="567982.72450640448"/>
    <n v="447934.34462378756"/>
    <x v="1181"/>
    <n v="45.35"/>
  </r>
  <r>
    <s v=" 31-01-2017"/>
    <x v="16"/>
    <s v=" Monthly"/>
    <n v="4.71"/>
    <n v="11383914"/>
    <n v="536182"/>
    <n v="734488.41735192132"/>
    <n v="300039.9306841708"/>
    <x v="1182"/>
    <n v="43.41"/>
  </r>
  <r>
    <s v=" 28-02-2017"/>
    <x v="16"/>
    <s v=" Monthly"/>
    <n v="2.7"/>
    <n v="11361991"/>
    <n v="306774"/>
    <n v="595673.92520557635"/>
    <n v="203759.21616899027"/>
    <x v="1183"/>
    <n v="42.37"/>
  </r>
  <r>
    <s v=" 31-03-2017"/>
    <x v="16"/>
    <s v=" Monthly"/>
    <n v="1.51"/>
    <n v="12127526"/>
    <n v="183126"/>
    <n v="393443.97756167292"/>
    <n v="244518.90944763768"/>
    <x v="1184"/>
    <n v="44.61"/>
  </r>
  <r>
    <s v=" 30-04-2017"/>
    <x v="16"/>
    <s v=" Monthly"/>
    <n v="2.36"/>
    <n v="11130131"/>
    <n v="262671"/>
    <n v="246221.39326850185"/>
    <n v="235953.56438105524"/>
    <x v="1185"/>
    <n v="41.23"/>
  </r>
  <r>
    <s v=" 31-05-2017"/>
    <x v="16"/>
    <s v=" Monthly"/>
    <n v="7.5"/>
    <n v="10886250"/>
    <n v="816469"/>
    <n v="257736.11798055054"/>
    <n v="206532.81259164037"/>
    <x v="1186"/>
    <n v="42.5"/>
  </r>
  <r>
    <s v=" 30-06-2017"/>
    <x v="16"/>
    <s v=" Monthly"/>
    <n v="2.76"/>
    <n v="12050444"/>
    <n v="332592"/>
    <n v="648849.13539416506"/>
    <n v="344812.35220382951"/>
    <x v="1187"/>
    <n v="44.68"/>
  </r>
  <r>
    <s v=" 31-07-2017"/>
    <x v="16"/>
    <s v=" Monthly"/>
    <n v="3.35"/>
    <n v="11969622"/>
    <n v="400982"/>
    <n v="427469.14061824954"/>
    <n v="370797.15869960689"/>
    <x v="1188"/>
    <n v="44.58"/>
  </r>
  <r>
    <s v=" 31-08-2017"/>
    <x v="16"/>
    <s v=" Monthly"/>
    <n v="2.81"/>
    <n v="11519705"/>
    <n v="323704"/>
    <n v="408928.1421854748"/>
    <n v="370990.82547309005"/>
    <x v="1189"/>
    <n v="42.59"/>
  </r>
  <r>
    <s v=" 30-09-2017"/>
    <x v="16"/>
    <s v=" Monthly"/>
    <n v="4.47"/>
    <n v="11537023"/>
    <n v="515705"/>
    <n v="349271.24265564245"/>
    <n v="189721.98846127826"/>
    <x v="1190"/>
    <n v="43.33"/>
  </r>
  <r>
    <s v=" 31-10-2017"/>
    <x v="16"/>
    <s v=" Monthly"/>
    <n v="10.02"/>
    <n v="11812610"/>
    <n v="1183624"/>
    <n v="465774.87279669271"/>
    <n v="109033.50954812231"/>
    <x v="1191"/>
    <n v="47.03"/>
  </r>
  <r>
    <s v=" 30-11-2017"/>
    <x v="16"/>
    <s v=" Monthly"/>
    <n v="1.79"/>
    <n v="12399082"/>
    <n v="221944"/>
    <n v="968269.26183900773"/>
    <n v="428279.78371681314"/>
    <x v="1192"/>
    <n v="45.16"/>
  </r>
  <r>
    <s v=" 31-12-2017"/>
    <x v="16"/>
    <s v=" Monthly"/>
    <n v="3.04"/>
    <n v="11085675"/>
    <n v="337005"/>
    <n v="445841.57855170232"/>
    <n v="605532.53737774049"/>
    <x v="1193"/>
    <n v="40.83"/>
  </r>
  <r>
    <s v=" 31-01-2018"/>
    <x v="16"/>
    <s v=" Monthly"/>
    <n v="5.72"/>
    <n v="11471431"/>
    <n v="656166"/>
    <n v="369655.97356551065"/>
    <n v="601152.82768928073"/>
    <x v="1194"/>
    <n v="43.38"/>
  </r>
  <r>
    <s v=" 28-02-2018"/>
    <x v="16"/>
    <s v=" Monthly"/>
    <n v="7.08"/>
    <n v="11893474"/>
    <n v="842058"/>
    <n v="570212.99206965312"/>
    <n v="465809.25729222264"/>
    <x v="1195"/>
    <n v="45.57"/>
  </r>
  <r>
    <s v=" 31-03-2018"/>
    <x v="16"/>
    <s v=" Monthly"/>
    <n v="8.1"/>
    <n v="11459020"/>
    <n v="928181"/>
    <n v="760504.49762089597"/>
    <n v="236525.61835523794"/>
    <x v="1196"/>
    <n v="44.32"/>
  </r>
  <r>
    <s v=" 30-04-2018"/>
    <x v="16"/>
    <s v=" Monthly"/>
    <n v="8.56"/>
    <n v="11136878"/>
    <n v="953317"/>
    <n v="877878.04928626877"/>
    <n v="247725.0579669807"/>
    <x v="1197"/>
    <n v="43.22"/>
  </r>
  <r>
    <s v=" 31-05-2018"/>
    <x v="16"/>
    <s v=" Monthly"/>
    <n v="8.89"/>
    <n v="10846870"/>
    <n v="964287"/>
    <n v="930685.3147858805"/>
    <n v="189478.36558257233"/>
    <x v="1198"/>
    <n v="42.18"/>
  </r>
  <r>
    <s v=" 30-06-2018"/>
    <x v="16"/>
    <s v=" Monthly"/>
    <n v="6.33"/>
    <n v="11800153"/>
    <n v="746950"/>
    <n v="954206.49443576403"/>
    <n v="107912.80119322764"/>
    <x v="1199"/>
    <n v="44.56"/>
  </r>
  <r>
    <s v=" 31-07-2018"/>
    <x v="16"/>
    <s v=" Monthly"/>
    <n v="5.69"/>
    <n v="11737293"/>
    <n v="667852"/>
    <n v="809126.94833072915"/>
    <n v="128809.11331607382"/>
    <x v="1200"/>
    <n v="43.96"/>
  </r>
  <r>
    <s v=" 31-08-2018"/>
    <x v="16"/>
    <s v=" Monthly"/>
    <n v="6.91"/>
    <n v="11378245"/>
    <n v="786237"/>
    <n v="710234.48449921864"/>
    <n v="146108.33738574589"/>
    <x v="1201"/>
    <n v="43.1"/>
  </r>
  <r>
    <s v=" 30-09-2018"/>
    <x v="16"/>
    <s v=" Monthly"/>
    <n v="6"/>
    <n v="11236920"/>
    <n v="674215"/>
    <n v="763436.24534976552"/>
    <n v="151316.71847937425"/>
    <x v="1202"/>
    <n v="42.09"/>
  </r>
  <r>
    <s v=" 31-10-2018"/>
    <x v="16"/>
    <s v=" Monthly"/>
    <n v="5.6"/>
    <n v="10618467"/>
    <n v="594634"/>
    <n v="700981.37360492954"/>
    <n v="105980.22458625596"/>
    <x v="1203"/>
    <n v="39.54"/>
  </r>
  <r>
    <s v=" 30-11-2018"/>
    <x v="16"/>
    <s v=" Monthly"/>
    <n v="3.8"/>
    <n v="11613547"/>
    <n v="441315"/>
    <n v="626538.21208147891"/>
    <n v="91372.090663900264"/>
    <x v="1204"/>
    <n v="42.37"/>
  </r>
  <r>
    <s v=" 31-12-2018"/>
    <x v="16"/>
    <s v=" Monthly"/>
    <n v="5.21"/>
    <n v="11306160"/>
    <n v="589051"/>
    <n v="496881.96362444363"/>
    <n v="133638.60817918603"/>
    <x v="1205"/>
    <n v="41.79"/>
  </r>
  <r>
    <s v=" 31-01-2019"/>
    <x v="16"/>
    <s v=" Monthly"/>
    <n v="4.24"/>
    <n v="11392908"/>
    <n v="483059"/>
    <n v="561400.28908733302"/>
    <n v="134303.80167471757"/>
    <x v="1206"/>
    <n v="41.62"/>
  </r>
  <r>
    <s v=" 28-02-2019"/>
    <x v="16"/>
    <s v=" Monthly"/>
    <n v="7.25"/>
    <n v="10834270"/>
    <n v="785485"/>
    <n v="506561.38672619988"/>
    <n v="127723.82593711614"/>
    <x v="1207"/>
    <n v="40.81"/>
  </r>
  <r>
    <s v=" 31-03-2019"/>
    <x v="16"/>
    <s v=" Monthly"/>
    <n v="2.94"/>
    <n v="12072450"/>
    <n v="354930"/>
    <n v="701807.91601785994"/>
    <n v="175528.60249731012"/>
    <x v="1208"/>
    <n v="43.38"/>
  </r>
  <r>
    <s v=" 30-04-2019"/>
    <x v="16"/>
    <s v=" Monthly"/>
    <n v="7.31"/>
    <n v="11014614"/>
    <n v="805168"/>
    <n v="458993.37480535795"/>
    <n v="260934.23707802378"/>
    <x v="1209"/>
    <n v="41.38"/>
  </r>
  <r>
    <s v=" 31-05-2019"/>
    <x v="16"/>
    <s v=" Monthly"/>
    <n v="4.17"/>
    <n v="11155753"/>
    <n v="465195"/>
    <n v="701315.61244160729"/>
    <n v="325555.70019647782"/>
    <x v="1210"/>
    <n v="40.47"/>
  </r>
  <r>
    <s v=" 30-06-2019"/>
    <x v="16"/>
    <s v=" Monthly"/>
    <n v="4.71"/>
    <n v="10965157"/>
    <n v="516459"/>
    <n v="536031.18373248214"/>
    <n v="314066.92671538662"/>
    <x v="1211"/>
    <n v="39.94"/>
  </r>
  <r>
    <s v=" 31-07-2019"/>
    <x v="16"/>
    <s v=" Monthly"/>
    <n v="3.31"/>
    <n v="12009880"/>
    <n v="397527"/>
    <n v="522330.6551197446"/>
    <n v="242193.36979949765"/>
    <x v="1212"/>
    <n v="43.05"/>
  </r>
  <r>
    <s v=" 31-08-2019"/>
    <x v="16"/>
    <s v=" Monthly"/>
    <n v="3.68"/>
    <n v="11727659"/>
    <n v="431578"/>
    <n v="434968.09653592331"/>
    <n v="154609.1484217605"/>
    <x v="1213"/>
    <n v="42.13"/>
  </r>
  <r>
    <s v=" 30-09-2019"/>
    <x v="16"/>
    <s v=" Monthly"/>
    <n v="4.3099999999999996"/>
    <n v="11167721"/>
    <n v="481329"/>
    <n v="432595.02896077698"/>
    <n v="72962.354361293896"/>
    <x v="1214"/>
    <n v="40.32"/>
  </r>
  <r>
    <s v=" 31-10-2019"/>
    <x v="16"/>
    <s v=" Monthly"/>
    <n v="4.28"/>
    <n v="11621527"/>
    <n v="497401"/>
    <n v="466708.80868823308"/>
    <n v="77378.819278970768"/>
    <x v="1215"/>
    <n v="41.88"/>
  </r>
  <r>
    <s v=" 30-11-2019"/>
    <x v="16"/>
    <s v=" Monthly"/>
    <n v="4.72"/>
    <n v="12192618"/>
    <n v="575492"/>
    <n v="488193.34260646987"/>
    <n v="33309.174388311338"/>
    <x v="1216"/>
    <n v="44.06"/>
  </r>
  <r>
    <s v=" 31-12-2019"/>
    <x v="16"/>
    <s v=" Monthly"/>
    <n v="4.67"/>
    <n v="11345071"/>
    <n v="529815"/>
    <n v="549302.40278194088"/>
    <n v="60382.299071507376"/>
    <x v="1217"/>
    <n v="40.909999999999997"/>
  </r>
  <r>
    <s v=" 31-01-2020"/>
    <x v="16"/>
    <s v=" Monthly"/>
    <n v="1.81"/>
    <n v="11182128"/>
    <n v="202397"/>
    <n v="535661.22083458223"/>
    <n v="54598.000749162507"/>
    <x v="1218"/>
    <n v="39.090000000000003"/>
  </r>
  <r>
    <s v=" 29-02-2020"/>
    <x v="16"/>
    <s v=" Monthly"/>
    <n v="3.31"/>
    <n v="11842655"/>
    <n v="391992"/>
    <n v="302376.26625037467"/>
    <n v="199220.0252136481"/>
    <x v="1219"/>
    <n v="41.98"/>
  </r>
  <r>
    <s v=" 31-03-2020"/>
    <x v="16"/>
    <s v=" Monthly"/>
    <n v="15.09"/>
    <n v="9814156"/>
    <n v="1480956"/>
    <n v="365107.27987511235"/>
    <n v="199562.67143527497"/>
    <x v="1220"/>
    <n v="39.549999999999997"/>
  </r>
  <r>
    <s v=" 30-04-2020"/>
    <x v="16"/>
    <s v=" Monthly"/>
    <n v="24.48"/>
    <n v="5562449"/>
    <n v="1361688"/>
    <n v="1146201.3839625337"/>
    <n v="674342.73848153185"/>
    <x v="1221"/>
    <n v="25.16"/>
  </r>
  <r>
    <s v=" 31-05-2020"/>
    <x v="16"/>
    <s v=" Monthly"/>
    <n v="12.08"/>
    <n v="9635402"/>
    <n v="1163957"/>
    <n v="1297042.0151887601"/>
    <n v="658175.21163469134"/>
    <x v="1222"/>
    <n v="37.380000000000003"/>
  </r>
  <r>
    <s v=" 30-06-2020"/>
    <x v="16"/>
    <s v=" Monthly"/>
    <n v="4.22"/>
    <n v="10647586"/>
    <n v="449328"/>
    <n v="1203882.5045566279"/>
    <n v="660622.04755907168"/>
    <x v="1223"/>
    <n v="37.86"/>
  </r>
  <r>
    <s v=" 31-07-2020"/>
    <x v="16"/>
    <s v=" Monthly"/>
    <n v="2.27"/>
    <n v="11241273"/>
    <n v="255177"/>
    <n v="675694.35136698838"/>
    <n v="459528.23754577158"/>
    <x v="1224"/>
    <n v="39.11"/>
  </r>
  <r>
    <s v=" 31-08-2020"/>
    <x v="16"/>
    <s v=" Monthly"/>
    <n v="1.48"/>
    <n v="11783094"/>
    <n v="174390"/>
    <n v="381332.2054100965"/>
    <n v="504611.7201754229"/>
    <x v="1225"/>
    <n v="40.6"/>
  </r>
  <r>
    <s v=" 30-09-2020"/>
    <x v="16"/>
    <s v=" Monthly"/>
    <n v="2.0299999999999998"/>
    <n v="11162313"/>
    <n v="226595"/>
    <n v="236472.66162302892"/>
    <n v="512839.29241280514"/>
    <x v="1226"/>
    <n v="38.619999999999997"/>
  </r>
  <r>
    <s v=" 31-10-2020"/>
    <x v="16"/>
    <s v=" Monthly"/>
    <n v="2.57"/>
    <n v="11743089"/>
    <n v="301797"/>
    <n v="229558.29848690866"/>
    <n v="270651.98279946198"/>
    <x v="1227"/>
    <n v="40.79"/>
  </r>
  <r>
    <s v=" 30-11-2020"/>
    <x v="16"/>
    <s v=" Monthly"/>
    <n v="1.9"/>
    <n v="11664483"/>
    <n v="221625"/>
    <n v="280125.38954607258"/>
    <n v="126676.85210201998"/>
    <x v="1228"/>
    <n v="40.17"/>
  </r>
  <r>
    <s v=" 31-12-2020"/>
    <x v="16"/>
    <s v=" Monthly"/>
    <n v="0"/>
    <n v="12180483"/>
    <n v="0"/>
    <n v="239175.11686382175"/>
    <n v="53970.034193302738"/>
    <x v="1229"/>
    <n v="41.09"/>
  </r>
  <r>
    <s v=" 31-01-2021"/>
    <x v="16"/>
    <s v=" Monthly"/>
    <n v="2.81"/>
    <n v="11360784"/>
    <n v="319238"/>
    <n v="71752.535059146525"/>
    <n v="148150.21892228458"/>
    <x v="1230"/>
    <n v="39.369999999999997"/>
  </r>
  <r>
    <s v=" 28-02-2021"/>
    <x v="16"/>
    <s v=" Monthly"/>
    <n v="2.33"/>
    <n v="11743139"/>
    <n v="273615"/>
    <n v="244992.36051774395"/>
    <n v="201557.34292491508"/>
    <x v="1231"/>
    <n v="40.43"/>
  </r>
  <r>
    <s v=" 31-03-2021"/>
    <x v="16"/>
    <s v=" Monthly"/>
    <n v="1.57"/>
    <n v="11590428"/>
    <n v="181970"/>
    <n v="265028.20815532317"/>
    <n v="199393.28589059395"/>
    <x v="1232"/>
    <n v="39.53"/>
  </r>
  <r>
    <s v=" 30-04-2021"/>
    <x v="16"/>
    <s v=" Monthly"/>
    <n v="2.09"/>
    <n v="12442733"/>
    <n v="260053"/>
    <n v="206887.46244659694"/>
    <n v="151621.21310455937"/>
    <x v="1233"/>
    <n v="42.6"/>
  </r>
  <r>
    <s v=" 31-05-2021"/>
    <x v="16"/>
    <s v=" Monthly"/>
    <n v="6.67"/>
    <n v="10645430"/>
    <n v="710050"/>
    <n v="244103.33873397906"/>
    <n v="59286.018071285871"/>
    <x v="1234"/>
    <n v="38.17"/>
  </r>
  <r>
    <s v=" 30-06-2021"/>
    <x v="16"/>
    <s v=" Monthly"/>
    <n v="3.23"/>
    <n v="11222024"/>
    <n v="362471"/>
    <n v="570266.00162019371"/>
    <n v="274973.6541745211"/>
    <x v="1235"/>
    <n v="38.75"/>
  </r>
  <r>
    <s v=" 31-07-2021"/>
    <x v="16"/>
    <s v=" Monthly"/>
    <n v="1.03"/>
    <n v="12244563"/>
    <n v="126119"/>
    <n v="424809.50048605807"/>
    <n v="296148.40211546567"/>
    <x v="1236"/>
    <n v="41.28"/>
  </r>
  <r>
    <s v=" 31-08-2021"/>
    <x v="16"/>
    <s v=" Monthly"/>
    <n v="2.35"/>
    <n v="11856634"/>
    <n v="278631"/>
    <n v="215726.1501458174"/>
    <n v="341321.48527153512"/>
    <x v="1237"/>
    <n v="40.44"/>
  </r>
  <r>
    <s v=" 30-09-2021"/>
    <x v="16"/>
    <s v=" Monthly"/>
    <n v="2.89"/>
    <n v="11142084"/>
    <n v="322006"/>
    <n v="259759.54504374519"/>
    <n v="213191.46161304976"/>
    <x v="1238"/>
    <n v="38.159999999999997"/>
  </r>
  <r>
    <s v=" 31-10-2021"/>
    <x v="16"/>
    <s v=" Monthly"/>
    <n v="1.01"/>
    <n v="11909682"/>
    <n v="120288"/>
    <n v="303332.06351312355"/>
    <n v="179858.88576919609"/>
    <x v="1239"/>
    <n v="39.950000000000003"/>
  </r>
  <r>
    <s v=" 30-11-2021"/>
    <x v="16"/>
    <s v=" Monthly"/>
    <n v="0.46"/>
    <n v="12791598"/>
    <n v="58841"/>
    <n v="175201.21905393706"/>
    <n v="117383.65939260133"/>
    <x v="1240"/>
    <n v="42.6"/>
  </r>
  <r>
    <s v=" 31-12-2021"/>
    <x v="16"/>
    <s v=" Monthly"/>
    <n v="1.59"/>
    <n v="12250306"/>
    <n v="194780"/>
    <n v="93749.065716181125"/>
    <n v="130281.04354343303"/>
    <x v="1241"/>
    <n v="41.2"/>
  </r>
  <r>
    <s v=" 31-01-2022"/>
    <x v="16"/>
    <s v=" Monthly"/>
    <n v="1.48"/>
    <n v="11737036"/>
    <n v="173708"/>
    <n v="164470.71971485435"/>
    <n v="138144.94736560577"/>
    <x v="1242"/>
    <n v="39.369999999999997"/>
  </r>
  <r>
    <s v=" 28-02-2022"/>
    <x v="16"/>
    <s v=" Monthly"/>
    <n v="0.92"/>
    <n v="12739531"/>
    <n v="117204"/>
    <n v="170936.8159144563"/>
    <n v="89129.638930432659"/>
    <x v="1243"/>
    <n v="42.43"/>
  </r>
  <r>
    <s v=" 31-03-2022"/>
    <x v="16"/>
    <s v=" Monthly"/>
    <n v="11.35"/>
    <n v="10998085"/>
    <n v="1248283"/>
    <n v="133323.84477433687"/>
    <n v="66281.703195337701"/>
    <x v="1244"/>
    <n v="40.869999999999997"/>
  </r>
  <r>
    <s v=" 30-04-2022"/>
    <x v="16"/>
    <s v=" Monthly"/>
    <n v="1.18"/>
    <n v="12457444"/>
    <n v="146998"/>
    <n v="913795.25343230099"/>
    <n v="644491.13277445175"/>
    <x v="1245"/>
    <n v="41.46"/>
  </r>
  <r>
    <s v=" 31-01-2016"/>
    <x v="17"/>
    <s v=" Monthly"/>
    <n v="3.59"/>
    <n v="177259"/>
    <n v="6364"/>
    <n v="377037.17602969025"/>
    <n v="781877.90206206788"/>
    <x v="1246"/>
    <n v="52"/>
  </r>
  <r>
    <s v=" 29-02-2016"/>
    <x v="17"/>
    <s v=" Monthly"/>
    <n v="6.19"/>
    <n v="178672"/>
    <n v="11060"/>
    <n v="117565.95280890708"/>
    <n v="810043.32170585846"/>
    <x v="1247"/>
    <n v="53.71"/>
  </r>
  <r>
    <s v=" 31-03-2016"/>
    <x v="17"/>
    <s v=" Monthly"/>
    <n v="7.77"/>
    <n v="166074"/>
    <n v="12904"/>
    <n v="43011.785842672121"/>
    <n v="495553.61273461668"/>
    <x v="1248"/>
    <n v="50.61"/>
  </r>
  <r>
    <s v=" 30-04-2016"/>
    <x v="17"/>
    <s v=" Monthly"/>
    <n v="3.05"/>
    <n v="187758"/>
    <n v="5727"/>
    <n v="21936.335752801635"/>
    <n v="223344.72621190996"/>
    <x v="1249"/>
    <n v="54.27"/>
  </r>
  <r>
    <s v=" 31-05-2016"/>
    <x v="17"/>
    <s v=" Monthly"/>
    <n v="3.09"/>
    <n v="171680"/>
    <n v="5305"/>
    <n v="10589.80072584049"/>
    <n v="64582.606837105406"/>
    <x v="1250"/>
    <n v="49.49"/>
  </r>
  <r>
    <s v=" 30-06-2016"/>
    <x v="17"/>
    <s v=" Monthly"/>
    <n v="3.68"/>
    <n v="171119"/>
    <n v="6297"/>
    <n v="6890.4402177521461"/>
    <n v="19976.239657879436"/>
    <x v="1251"/>
    <n v="49.48"/>
  </r>
  <r>
    <s v=" 31-07-2016"/>
    <x v="17"/>
    <s v=" Monthly"/>
    <n v="6.29"/>
    <n v="165938"/>
    <n v="10438"/>
    <n v="6475.032065325644"/>
    <n v="9849.2614875590752"/>
    <x v="1252"/>
    <n v="49.16"/>
  </r>
  <r>
    <s v=" 31-08-2016"/>
    <x v="17"/>
    <s v=" Monthly"/>
    <n v="3.33"/>
    <n v="190530"/>
    <n v="6345"/>
    <n v="9249.1096195976934"/>
    <n v="3829.1167325788952"/>
    <x v="1253"/>
    <n v="54.55"/>
  </r>
  <r>
    <s v=" 30-09-2016"/>
    <x v="17"/>
    <s v=" Monthly"/>
    <n v="2.2200000000000002"/>
    <n v="190426"/>
    <n v="4227"/>
    <n v="7216.232885879308"/>
    <n v="2857.2211923442155"/>
    <x v="1254"/>
    <n v="53.73"/>
  </r>
  <r>
    <s v=" 31-10-2016"/>
    <x v="17"/>
    <s v=" Monthly"/>
    <n v="2.71"/>
    <n v="193504"/>
    <n v="5244"/>
    <n v="5123.769865763792"/>
    <n v="3320.365480883057"/>
    <x v="1255"/>
    <n v="54.7"/>
  </r>
  <r>
    <s v=" 30-11-2016"/>
    <x v="17"/>
    <s v=" Monthly"/>
    <n v="2.73"/>
    <n v="171748"/>
    <n v="4689"/>
    <n v="5207.9309597291376"/>
    <n v="2407.1990094880434"/>
    <x v="1256"/>
    <n v="48.41"/>
  </r>
  <r>
    <s v=" 31-12-2016"/>
    <x v="17"/>
    <s v=" Monthly"/>
    <n v="2.38"/>
    <n v="204375"/>
    <n v="4864"/>
    <n v="4844.6792879187415"/>
    <n v="1753.0219500590208"/>
    <x v="1257"/>
    <n v="57.22"/>
  </r>
  <r>
    <s v=" 31-01-2017"/>
    <x v="17"/>
    <s v=" Monthly"/>
    <n v="0.64"/>
    <n v="184111"/>
    <n v="1178"/>
    <n v="4858.2037863756223"/>
    <n v="307.74335414388577"/>
    <x v="1258"/>
    <n v="50.48"/>
  </r>
  <r>
    <s v=" 28-02-2017"/>
    <x v="17"/>
    <s v=" Monthly"/>
    <n v="1"/>
    <n v="193273"/>
    <n v="1933"/>
    <n v="2282.0611359126865"/>
    <n v="2145.8147279556542"/>
    <x v="1259"/>
    <n v="53.03"/>
  </r>
  <r>
    <s v=" 31-03-2017"/>
    <x v="17"/>
    <s v=" Monthly"/>
    <n v="2.2200000000000002"/>
    <n v="166357"/>
    <n v="3693"/>
    <n v="2037.7183407738057"/>
    <n v="2134.3318139231496"/>
    <x v="1260"/>
    <n v="46.08"/>
  </r>
  <r>
    <s v=" 30-04-2017"/>
    <x v="17"/>
    <s v=" Monthly"/>
    <n v="6.58"/>
    <n v="188517"/>
    <n v="12404"/>
    <n v="3196.4155022321415"/>
    <n v="2338.4967363122223"/>
    <x v="1261"/>
    <n v="54.48"/>
  </r>
  <r>
    <s v=" 31-05-2017"/>
    <x v="17"/>
    <s v=" Monthly"/>
    <n v="1.33"/>
    <n v="184539"/>
    <n v="2454"/>
    <n v="9641.7246506696411"/>
    <n v="5404.9795969861671"/>
    <x v="1262"/>
    <n v="50.34"/>
  </r>
  <r>
    <s v=" 30-06-2017"/>
    <x v="17"/>
    <s v=" Monthly"/>
    <n v="0.57999999999999996"/>
    <n v="183143"/>
    <n v="1062"/>
    <n v="4610.317395200892"/>
    <n v="6811.3374924643012"/>
    <x v="1263"/>
    <n v="49.43"/>
  </r>
  <r>
    <s v=" 31-07-2017"/>
    <x v="17"/>
    <s v=" Monthly"/>
    <n v="3.76"/>
    <n v="158472"/>
    <n v="5959"/>
    <n v="2126.4952185602674"/>
    <n v="7048.2516573134226"/>
    <x v="1264"/>
    <n v="44.04"/>
  </r>
  <r>
    <s v=" 31-08-2017"/>
    <x v="17"/>
    <s v=" Monthly"/>
    <n v="5.92"/>
    <n v="180721"/>
    <n v="10699"/>
    <n v="4809.2485655680803"/>
    <n v="5129.7184747536803"/>
    <x v="1265"/>
    <n v="51.21"/>
  </r>
  <r>
    <s v=" 30-09-2017"/>
    <x v="17"/>
    <s v=" Monthly"/>
    <n v="4.5199999999999996"/>
    <n v="167215"/>
    <n v="7558"/>
    <n v="8932.0745696704234"/>
    <n v="4544.8806803639527"/>
    <x v="1266"/>
    <n v="46.55"/>
  </r>
  <r>
    <s v=" 31-10-2017"/>
    <x v="17"/>
    <s v=" Monthly"/>
    <n v="1.67"/>
    <n v="190327"/>
    <n v="3178"/>
    <n v="7970.2223709011269"/>
    <n v="4133.8176778923635"/>
    <x v="1267"/>
    <n v="51.28"/>
  </r>
  <r>
    <s v=" 30-11-2017"/>
    <x v="17"/>
    <s v=" Monthly"/>
    <n v="3.08"/>
    <n v="151435"/>
    <n v="4664"/>
    <n v="4615.6667112703381"/>
    <n v="4455.0588523824254"/>
    <x v="1268"/>
    <n v="41.27"/>
  </r>
  <r>
    <s v=" 31-12-2017"/>
    <x v="17"/>
    <s v=" Monthly"/>
    <n v="4.55"/>
    <n v="184865"/>
    <n v="8411"/>
    <n v="4649.5000133811009"/>
    <n v="2878.4146262586746"/>
    <x v="1269"/>
    <n v="50.99"/>
  </r>
  <r>
    <s v=" 31-01-2018"/>
    <x v="17"/>
    <s v=" Monthly"/>
    <n v="2.35"/>
    <n v="173751"/>
    <n v="4083"/>
    <n v="7282.5500040143297"/>
    <n v="3517.4144627504743"/>
    <x v="1270"/>
    <n v="46.7"/>
  </r>
  <r>
    <s v=" 28-02-2018"/>
    <x v="17"/>
    <s v=" Monthly"/>
    <n v="0"/>
    <n v="192899"/>
    <n v="0"/>
    <n v="5042.8650012042981"/>
    <n v="2851.2183643910021"/>
    <x v="1271"/>
    <n v="50.49"/>
  </r>
  <r>
    <s v=" 31-03-2018"/>
    <x v="17"/>
    <s v=" Monthly"/>
    <n v="1.98"/>
    <n v="153012"/>
    <n v="3030"/>
    <n v="1512.8595003612893"/>
    <n v="4074.984245282154"/>
    <x v="1272"/>
    <n v="40.729999999999997"/>
  </r>
  <r>
    <s v=" 30-04-2018"/>
    <x v="17"/>
    <s v=" Monthly"/>
    <n v="1.68"/>
    <n v="193066"/>
    <n v="3244"/>
    <n v="2574.8578501083866"/>
    <n v="3557.5892091978676"/>
    <x v="1273"/>
    <n v="51.07"/>
  </r>
  <r>
    <s v=" 31-05-2018"/>
    <x v="17"/>
    <s v=" Monthly"/>
    <n v="2.0699999999999998"/>
    <n v="182566"/>
    <n v="3779"/>
    <n v="3043.2573550325155"/>
    <n v="3064.8520319245863"/>
    <x v="1274"/>
    <n v="48.33"/>
  </r>
  <r>
    <s v=" 30-06-2018"/>
    <x v="17"/>
    <s v=" Monthly"/>
    <n v="0"/>
    <n v="193444"/>
    <n v="0"/>
    <n v="3558.2772065097543"/>
    <n v="1047.3432662423079"/>
    <x v="1275"/>
    <n v="50"/>
  </r>
  <r>
    <s v=" 31-07-2018"/>
    <x v="17"/>
    <s v=" Monthly"/>
    <n v="1.63"/>
    <n v="145394"/>
    <n v="2370"/>
    <n v="1067.4831619529261"/>
    <n v="2133.1045555521637"/>
    <x v="1276"/>
    <n v="38.08"/>
  </r>
  <r>
    <s v=" 31-08-2018"/>
    <x v="17"/>
    <s v=" Monthly"/>
    <n v="0"/>
    <n v="185940"/>
    <n v="0"/>
    <n v="1979.2449485858779"/>
    <n v="2228.5424258460025"/>
    <x v="1277"/>
    <n v="47.76"/>
  </r>
  <r>
    <s v=" 30-09-2018"/>
    <x v="17"/>
    <s v=" Monthly"/>
    <n v="3.29"/>
    <n v="168359"/>
    <n v="5539"/>
    <n v="593.77348457576329"/>
    <n v="2468.1502762369582"/>
    <x v="1278"/>
    <n v="44.57"/>
  </r>
  <r>
    <s v=" 31-10-2018"/>
    <x v="17"/>
    <s v=" Monthly"/>
    <n v="0.56000000000000005"/>
    <n v="184553"/>
    <n v="1033"/>
    <n v="4055.4320453727287"/>
    <n v="3165.9240867269596"/>
    <x v="1279"/>
    <n v="47.37"/>
  </r>
  <r>
    <s v=" 30-11-2018"/>
    <x v="17"/>
    <s v=" Monthly"/>
    <n v="0"/>
    <n v="136936"/>
    <n v="0"/>
    <n v="1939.7296136118184"/>
    <n v="3535.900230693434"/>
    <x v="1280"/>
    <n v="34.840000000000003"/>
  </r>
  <r>
    <s v=" 31-12-2018"/>
    <x v="17"/>
    <s v=" Monthly"/>
    <n v="0"/>
    <n v="192099"/>
    <n v="0"/>
    <n v="581.91888408354555"/>
    <n v="3528.5932858895089"/>
    <x v="1281"/>
    <n v="48.73"/>
  </r>
  <r>
    <s v=" 31-01-2019"/>
    <x v="17"/>
    <s v=" Monthly"/>
    <n v="0.59"/>
    <n v="178714"/>
    <n v="1054"/>
    <n v="174.57566522506366"/>
    <n v="2100.4980385987565"/>
    <x v="1282"/>
    <n v="45.45"/>
  </r>
  <r>
    <s v=" 28-02-2019"/>
    <x v="17"/>
    <s v=" Monthly"/>
    <n v="0"/>
    <n v="186524"/>
    <n v="0"/>
    <n v="790.17269956751909"/>
    <n v="1274.6983593737032"/>
    <x v="1283"/>
    <n v="47.03"/>
  </r>
  <r>
    <s v=" 31-03-2019"/>
    <x v="17"/>
    <s v=" Monthly"/>
    <n v="0.9"/>
    <n v="137636"/>
    <n v="1239"/>
    <n v="237.05180987025571"/>
    <n v="760.78679523004325"/>
    <x v="1284"/>
    <n v="34.909999999999997"/>
  </r>
  <r>
    <s v=" 30-04-2019"/>
    <x v="17"/>
    <s v=" Monthly"/>
    <n v="0"/>
    <n v="188857"/>
    <n v="0"/>
    <n v="938.41554296107665"/>
    <n v="894.73650337970651"/>
    <x v="1285"/>
    <n v="47.32"/>
  </r>
  <r>
    <s v=" 31-05-2019"/>
    <x v="17"/>
    <s v=" Monthly"/>
    <n v="0"/>
    <n v="172474"/>
    <n v="0"/>
    <n v="281.52466288832301"/>
    <n v="914.49381301297376"/>
    <x v="1286"/>
    <n v="43.08"/>
  </r>
  <r>
    <s v=" 30-06-2019"/>
    <x v="17"/>
    <s v=" Monthly"/>
    <n v="0"/>
    <n v="184527"/>
    <n v="0"/>
    <n v="84.457398866496902"/>
    <n v="809.06943311221983"/>
    <x v="1287"/>
    <n v="45.95"/>
  </r>
  <r>
    <s v=" 31-07-2019"/>
    <x v="17"/>
    <s v=" Monthly"/>
    <n v="0"/>
    <n v="139227"/>
    <n v="0"/>
    <n v="25.337219659949071"/>
    <n v="567.74786637162879"/>
    <x v="1288"/>
    <n v="34.56"/>
  </r>
  <r>
    <s v=" 31-08-2019"/>
    <x v="17"/>
    <s v=" Monthly"/>
    <n v="4.8499999999999996"/>
    <n v="183930"/>
    <n v="8921"/>
    <n v="7.6011658979847212"/>
    <n v="170.32435991148867"/>
    <x v="1289"/>
    <n v="47.83"/>
  </r>
  <r>
    <s v=" 30-09-2019"/>
    <x v="17"/>
    <s v=" Monthly"/>
    <n v="0"/>
    <n v="175718"/>
    <n v="0"/>
    <n v="6246.9803497693956"/>
    <n v="5146.40501718415"/>
    <x v="1290"/>
    <n v="43.34"/>
  </r>
  <r>
    <s v=" 31-10-2019"/>
    <x v="17"/>
    <s v=" Monthly"/>
    <n v="1.18"/>
    <n v="180283"/>
    <n v="2127"/>
    <n v="1874.0941049308185"/>
    <n v="6284.2152583775651"/>
    <x v="1291"/>
    <n v="44.85"/>
  </r>
  <r>
    <s v=" 30-11-2019"/>
    <x v="17"/>
    <s v=" Monthly"/>
    <n v="0"/>
    <n v="142787"/>
    <n v="0"/>
    <n v="2051.1282314792452"/>
    <n v="6285.8943584806575"/>
    <x v="1292"/>
    <n v="35"/>
  </r>
  <r>
    <s v=" 31-12-2019"/>
    <x v="17"/>
    <s v=" Monthly"/>
    <n v="1.99"/>
    <n v="180808"/>
    <n v="3598"/>
    <n v="615.33846944377353"/>
    <n v="3798.9407253486193"/>
    <x v="1293"/>
    <n v="45.07"/>
  </r>
  <r>
    <s v=" 31-01-2020"/>
    <x v="17"/>
    <s v=" Monthly"/>
    <n v="0.57999999999999996"/>
    <n v="176252"/>
    <n v="1022"/>
    <n v="2703.2015408331317"/>
    <n v="2095.0225312704024"/>
    <x v="1294"/>
    <n v="43.18"/>
  </r>
  <r>
    <s v=" 29-02-2020"/>
    <x v="17"/>
    <s v=" Monthly"/>
    <n v="1.74"/>
    <n v="183619"/>
    <n v="3195"/>
    <n v="1526.3604622499395"/>
    <n v="2304.331822801777"/>
    <x v="1295"/>
    <n v="45.38"/>
  </r>
  <r>
    <s v=" 31-03-2020"/>
    <x v="17"/>
    <s v=" Monthly"/>
    <n v="2.31"/>
    <n v="142176"/>
    <n v="3284"/>
    <n v="2694.4081386749817"/>
    <n v="2199.0199585044274"/>
    <x v="1296"/>
    <n v="35.229999999999997"/>
  </r>
  <r>
    <s v=" 30-04-2020"/>
    <x v="17"/>
    <s v=" Monthly"/>
    <n v="74.510000000000005"/>
    <n v="49420"/>
    <n v="36823"/>
    <n v="3107.1224416024943"/>
    <n v="1409.3042125795187"/>
    <x v="1297"/>
    <n v="46.79"/>
  </r>
  <r>
    <s v=" 31-08-2020"/>
    <x v="17"/>
    <s v=" Monthly"/>
    <n v="3.28"/>
    <n v="162881"/>
    <n v="5342"/>
    <n v="26708.236732480746"/>
    <n v="19492.668502138065"/>
    <x v="1298"/>
    <n v="40.130000000000003"/>
  </r>
  <r>
    <s v=" 30-09-2020"/>
    <x v="17"/>
    <s v=" Monthly"/>
    <n v="9.49"/>
    <n v="174562"/>
    <n v="16566"/>
    <n v="11751.871019744223"/>
    <n v="23047.950669594629"/>
    <x v="1299"/>
    <n v="45.82"/>
  </r>
  <r>
    <s v=" 31-10-2020"/>
    <x v="17"/>
    <s v=" Monthly"/>
    <n v="7.84"/>
    <n v="153847"/>
    <n v="12062"/>
    <n v="15121.761305923266"/>
    <n v="23212.441416043828"/>
    <x v="1300"/>
    <n v="39.53"/>
  </r>
  <r>
    <s v=" 30-11-2020"/>
    <x v="17"/>
    <s v=" Monthly"/>
    <n v="2.48"/>
    <n v="138449"/>
    <n v="3434"/>
    <n v="12979.928391776979"/>
    <n v="12767.850891936529"/>
    <x v="1301"/>
    <n v="33.520000000000003"/>
  </r>
  <r>
    <s v=" 31-12-2020"/>
    <x v="17"/>
    <s v=" Monthly"/>
    <n v="0"/>
    <n v="154397"/>
    <n v="0"/>
    <n v="6297.7785175330937"/>
    <n v="6420.3511313296458"/>
    <x v="1302"/>
    <n v="36.340000000000003"/>
  </r>
  <r>
    <s v=" 31-01-2021"/>
    <x v="17"/>
    <s v=" Monthly"/>
    <n v="8.75"/>
    <n v="157955"/>
    <n v="13821"/>
    <n v="1889.3335552599281"/>
    <n v="6834.9323909375144"/>
    <x v="1303"/>
    <n v="40.61"/>
  </r>
  <r>
    <s v=" 28-02-2021"/>
    <x v="17"/>
    <s v=" Monthly"/>
    <n v="7.86"/>
    <n v="145889"/>
    <n v="11467"/>
    <n v="10241.500066577977"/>
    <n v="9542.0372958359258"/>
    <x v="1304"/>
    <n v="37.04"/>
  </r>
  <r>
    <s v=" 31-03-2021"/>
    <x v="17"/>
    <s v=" Monthly"/>
    <n v="1.64"/>
    <n v="142554"/>
    <n v="2338"/>
    <n v="11099.350019973394"/>
    <n v="7821.5200673367599"/>
    <x v="1305"/>
    <n v="33.799999999999997"/>
  </r>
  <r>
    <s v=" 30-04-2021"/>
    <x v="17"/>
    <s v=" Monthly"/>
    <n v="1.71"/>
    <n v="157047"/>
    <n v="2686"/>
    <n v="4966.4050059920173"/>
    <n v="8575.6976083162153"/>
    <x v="1306"/>
    <n v="37.14"/>
  </r>
  <r>
    <s v=" 31-05-2021"/>
    <x v="17"/>
    <s v=" Monthly"/>
    <n v="12.62"/>
    <n v="154737"/>
    <n v="19528"/>
    <n v="3370.1215017976047"/>
    <n v="5274.5726920341967"/>
    <x v="1307"/>
    <n v="41.04"/>
  </r>
  <r>
    <s v=" 30-06-2021"/>
    <x v="17"/>
    <s v=" Monthly"/>
    <n v="54.35"/>
    <n v="67838"/>
    <n v="36870"/>
    <n v="14680.636450539279"/>
    <n v="10693.277307519158"/>
    <x v="1308"/>
    <n v="34.33"/>
  </r>
  <r>
    <s v=" 31-07-2021"/>
    <x v="17"/>
    <s v=" Monthly"/>
    <n v="14.29"/>
    <n v="135630"/>
    <n v="19382"/>
    <n v="30213.190935161783"/>
    <n v="15902.254968862759"/>
    <x v="1309"/>
    <n v="36.44"/>
  </r>
  <r>
    <s v=" 31-08-2021"/>
    <x v="17"/>
    <s v=" Monthly"/>
    <n v="11.81"/>
    <n v="162638"/>
    <n v="19208"/>
    <n v="22631.357280548535"/>
    <n v="17036.81884788294"/>
    <x v="1310"/>
    <n v="42.33"/>
  </r>
  <r>
    <s v=" 30-09-2021"/>
    <x v="17"/>
    <s v=" Monthly"/>
    <n v="11.54"/>
    <n v="152744"/>
    <n v="17627"/>
    <n v="20235.007184164559"/>
    <n v="14392.149791632375"/>
    <x v="1311"/>
    <n v="39.51"/>
  </r>
  <r>
    <s v=" 31-10-2021"/>
    <x v="17"/>
    <s v=" Monthly"/>
    <n v="13.33"/>
    <n v="150366"/>
    <n v="20044"/>
    <n v="18409.402155249365"/>
    <n v="6728.9368555235478"/>
    <x v="1312"/>
    <n v="39.58"/>
  </r>
  <r>
    <s v=" 30-11-2021"/>
    <x v="17"/>
    <s v=" Monthly"/>
    <n v="4"/>
    <n v="152506"/>
    <n v="6100"/>
    <n v="19553.620646574807"/>
    <n v="2657.8805250927558"/>
    <x v="1313"/>
    <n v="36.130000000000003"/>
  </r>
  <r>
    <s v=" 31-12-2021"/>
    <x v="17"/>
    <s v=" Monthly"/>
    <n v="8"/>
    <n v="168537"/>
    <n v="13483"/>
    <n v="10136.086193972442"/>
    <n v="7968.134873537665"/>
    <x v="1314"/>
    <n v="41.53"/>
  </r>
  <r>
    <s v=" 31-01-2022"/>
    <x v="17"/>
    <s v=" Monthly"/>
    <n v="6.94"/>
    <n v="158555"/>
    <n v="11004"/>
    <n v="12478.925858191731"/>
    <n v="8059.6453735257528"/>
    <x v="1315"/>
    <n v="38.5"/>
  </r>
  <r>
    <s v=" 28-02-2022"/>
    <x v="17"/>
    <s v=" Monthly"/>
    <n v="7.46"/>
    <n v="159977"/>
    <n v="11934"/>
    <n v="11446.477757457518"/>
    <n v="8049.3715451183807"/>
    <x v="1316"/>
    <n v="38.950000000000003"/>
  </r>
  <r>
    <s v=" 31-03-2022"/>
    <x v="17"/>
    <s v=" Monthly"/>
    <n v="0.95"/>
    <n v="150335"/>
    <n v="1428"/>
    <n v="11787.743327237255"/>
    <n v="2130.3298844008596"/>
    <x v="1317"/>
    <n v="34.090000000000003"/>
  </r>
  <r>
    <s v=" 30-04-2022"/>
    <x v="17"/>
    <s v=" Monthly"/>
    <n v="6.36"/>
    <n v="175571"/>
    <n v="11166"/>
    <n v="4535.922998171176"/>
    <n v="6048.0676261202934"/>
    <x v="1318"/>
    <n v="41.98"/>
  </r>
  <r>
    <s v=" 31-01-2016"/>
    <x v="18"/>
    <s v=" Monthly"/>
    <n v="6.76"/>
    <n v="6257149"/>
    <n v="422983"/>
    <n v="9176.9768994513524"/>
    <n v="7106.8014557274628"/>
    <x v="1319"/>
    <n v="47.77"/>
  </r>
  <r>
    <s v=" 29-02-2016"/>
    <x v="18"/>
    <s v=" Monthly"/>
    <n v="14.51"/>
    <n v="5773692"/>
    <n v="837763"/>
    <n v="298841.19306983537"/>
    <n v="239016.53147648473"/>
    <x v="1320"/>
    <n v="48"/>
  </r>
  <r>
    <s v=" 31-03-2016"/>
    <x v="18"/>
    <s v=" Monthly"/>
    <n v="8.35"/>
    <n v="6082818"/>
    <n v="507915"/>
    <n v="676086.4579209506"/>
    <n v="392307.74342779058"/>
    <x v="1321"/>
    <n v="47.1"/>
  </r>
  <r>
    <s v=" 30-04-2016"/>
    <x v="18"/>
    <s v=" Monthly"/>
    <n v="7.32"/>
    <n v="5965498"/>
    <n v="436674"/>
    <n v="558366.4373762852"/>
    <n v="404126.12635101244"/>
    <x v="1322"/>
    <n v="45.61"/>
  </r>
  <r>
    <s v=" 31-05-2016"/>
    <x v="18"/>
    <s v=" Monthly"/>
    <n v="2.5099999999999998"/>
    <n v="6625693"/>
    <n v="166305"/>
    <n v="473181.73121288558"/>
    <n v="333430.35382655886"/>
    <x v="1323"/>
    <n v="48.08"/>
  </r>
  <r>
    <s v=" 30-06-2016"/>
    <x v="18"/>
    <s v=" Monthly"/>
    <n v="11.31"/>
    <n v="6117606"/>
    <n v="691901"/>
    <n v="258368.01936386566"/>
    <n v="213903.41802921615"/>
    <x v="1324"/>
    <n v="48.72"/>
  </r>
  <r>
    <s v=" 31-07-2016"/>
    <x v="18"/>
    <s v=" Monthly"/>
    <n v="5.33"/>
    <n v="6488786"/>
    <n v="345852"/>
    <n v="561841.10580915969"/>
    <n v="314607.28046976152"/>
    <x v="1325"/>
    <n v="48.33"/>
  </r>
  <r>
    <s v=" 31-08-2016"/>
    <x v="18"/>
    <s v=" Monthly"/>
    <n v="4.2300000000000004"/>
    <n v="6092044"/>
    <n v="257693"/>
    <n v="410648.73174274788"/>
    <n v="331046.55628647201"/>
    <x v="1326"/>
    <n v="44.79"/>
  </r>
  <r>
    <s v=" 30-09-2016"/>
    <x v="18"/>
    <s v=" Monthly"/>
    <n v="4.24"/>
    <n v="6483605"/>
    <n v="274905"/>
    <n v="303579.71952282434"/>
    <n v="293256.19913905236"/>
    <x v="1327"/>
    <n v="47.59"/>
  </r>
  <r>
    <s v=" 31-10-2016"/>
    <x v="18"/>
    <s v=" Monthly"/>
    <n v="13.35"/>
    <n v="5949833"/>
    <n v="794303"/>
    <n v="283507.41585684731"/>
    <n v="153697.7436842763"/>
    <x v="1328"/>
    <n v="48.19"/>
  </r>
  <r>
    <s v=" 30-11-2016"/>
    <x v="18"/>
    <s v=" Monthly"/>
    <n v="4.0999999999999996"/>
    <n v="6434328"/>
    <n v="263807"/>
    <n v="641064.32475705422"/>
    <n v="308290.89303925098"/>
    <x v="1329"/>
    <n v="47.02"/>
  </r>
  <r>
    <s v=" 31-12-2016"/>
    <x v="18"/>
    <s v=" Monthly"/>
    <n v="4.7300000000000004"/>
    <n v="5614916"/>
    <n v="265586"/>
    <n v="376984.19742711622"/>
    <n v="366995.66636982997"/>
    <x v="1330"/>
    <n v="41.23"/>
  </r>
  <r>
    <s v=" 31-01-2017"/>
    <x v="18"/>
    <s v=" Monthly"/>
    <n v="4.92"/>
    <n v="6359578"/>
    <n v="312891"/>
    <n v="299005.45922813483"/>
    <n v="372220.71241536463"/>
    <x v="1331"/>
    <n v="46.72"/>
  </r>
  <r>
    <s v=" 28-02-2017"/>
    <x v="18"/>
    <s v=" Monthly"/>
    <n v="10.46"/>
    <n v="5970886"/>
    <n v="624555"/>
    <n v="308725.33776844043"/>
    <n v="227248.36318837543"/>
    <x v="1332"/>
    <n v="46.51"/>
  </r>
  <r>
    <s v=" 31-03-2017"/>
    <x v="18"/>
    <s v=" Monthly"/>
    <n v="2.4300000000000002"/>
    <n v="6449637"/>
    <n v="156726"/>
    <n v="529806.10133053211"/>
    <n v="193520.6639938303"/>
    <x v="1333"/>
    <n v="46.03"/>
  </r>
  <r>
    <s v=" 30-04-2017"/>
    <x v="18"/>
    <s v=" Monthly"/>
    <n v="0.93"/>
    <n v="6166319"/>
    <n v="57347"/>
    <n v="268650.03039915964"/>
    <n v="282329.56262532872"/>
    <x v="1334"/>
    <n v="43.28"/>
  </r>
  <r>
    <s v=" 31-05-2017"/>
    <x v="18"/>
    <s v=" Monthly"/>
    <n v="3.54"/>
    <n v="6301845"/>
    <n v="223085"/>
    <n v="120737.90911974788"/>
    <n v="307455.20443904737"/>
    <x v="1335"/>
    <n v="45.35"/>
  </r>
  <r>
    <s v=" 30-06-2017"/>
    <x v="18"/>
    <s v=" Monthly"/>
    <n v="10.44"/>
    <n v="5958598"/>
    <n v="622078"/>
    <n v="192380.87273592438"/>
    <n v="254501.25060355393"/>
    <x v="1336"/>
    <n v="46.11"/>
  </r>
  <r>
    <s v=" 31-07-2017"/>
    <x v="18"/>
    <s v=" Monthly"/>
    <n v="4.43"/>
    <n v="6470095"/>
    <n v="286625"/>
    <n v="493168.8618207773"/>
    <n v="282703.3302754662"/>
    <x v="1337"/>
    <n v="46.84"/>
  </r>
  <r>
    <s v=" 31-08-2017"/>
    <x v="18"/>
    <s v=" Monthly"/>
    <n v="1.38"/>
    <n v="6397791"/>
    <n v="88290"/>
    <n v="348588.1585462332"/>
    <n v="281528.51545713219"/>
    <x v="1338"/>
    <n v="44.81"/>
  </r>
  <r>
    <s v=" 30-09-2017"/>
    <x v="18"/>
    <s v=" Monthly"/>
    <n v="3.81"/>
    <n v="6126786"/>
    <n v="233431"/>
    <n v="166379.44756386994"/>
    <n v="313610.75628736516"/>
    <x v="1339"/>
    <n v="43.93"/>
  </r>
  <r>
    <s v=" 31-10-2017"/>
    <x v="18"/>
    <s v=" Monthly"/>
    <n v="9.44"/>
    <n v="5827014"/>
    <n v="550070"/>
    <n v="213315.53426916097"/>
    <n v="195713.57377768104"/>
    <x v="1340"/>
    <n v="44.31"/>
  </r>
  <r>
    <s v=" 30-11-2017"/>
    <x v="18"/>
    <s v=" Monthly"/>
    <n v="9.69"/>
    <n v="6097637"/>
    <n v="590861"/>
    <n v="449043.66028074827"/>
    <n v="248766.69941688867"/>
    <x v="1341"/>
    <n v="46.42"/>
  </r>
  <r>
    <s v=" 31-12-2017"/>
    <x v="18"/>
    <s v=" Monthly"/>
    <n v="7.44"/>
    <n v="6083373"/>
    <n v="452603"/>
    <n v="548315.79808422446"/>
    <n v="214485.15000562285"/>
    <x v="1342"/>
    <n v="45.11"/>
  </r>
  <r>
    <s v=" 31-01-2018"/>
    <x v="18"/>
    <s v=" Monthly"/>
    <n v="3.83"/>
    <n v="6182947"/>
    <n v="236807"/>
    <n v="481316.8394252673"/>
    <n v="218080.00653569019"/>
    <x v="1343"/>
    <n v="44.06"/>
  </r>
  <r>
    <s v=" 28-02-2018"/>
    <x v="18"/>
    <s v=" Monthly"/>
    <n v="10.73"/>
    <n v="5848093"/>
    <n v="627500"/>
    <n v="310159.95182758017"/>
    <n v="172296.41042684473"/>
    <x v="1344"/>
    <n v="44.83"/>
  </r>
  <r>
    <s v=" 31-03-2018"/>
    <x v="18"/>
    <s v=" Monthly"/>
    <n v="9.25"/>
    <n v="6058225"/>
    <n v="560386"/>
    <n v="532297.98554827401"/>
    <n v="237802.9348479922"/>
    <x v="1345"/>
    <n v="45.61"/>
  </r>
  <r>
    <s v=" 30-04-2018"/>
    <x v="18"/>
    <s v=" Monthly"/>
    <n v="7.9"/>
    <n v="6061412"/>
    <n v="478852"/>
    <n v="551959.5956644821"/>
    <n v="231861.09656838662"/>
    <x v="1346"/>
    <n v="44.9"/>
  </r>
  <r>
    <s v=" 31-05-2018"/>
    <x v="18"/>
    <s v=" Monthly"/>
    <n v="5.0999999999999996"/>
    <n v="6225561"/>
    <n v="317504"/>
    <n v="500784.27869934461"/>
    <n v="188713.50708923434"/>
    <x v="1347"/>
    <n v="44.68"/>
  </r>
  <r>
    <s v=" 30-06-2018"/>
    <x v="18"/>
    <s v=" Monthly"/>
    <n v="8.4600000000000009"/>
    <n v="5928394"/>
    <n v="501542"/>
    <n v="372488.08360980335"/>
    <n v="115072.90103783659"/>
    <x v="1348"/>
    <n v="44.04"/>
  </r>
  <r>
    <s v=" 31-07-2018"/>
    <x v="18"/>
    <s v=" Monthly"/>
    <n v="8.3800000000000008"/>
    <n v="6253101"/>
    <n v="524010"/>
    <n v="462825.82508294098"/>
    <n v="136126.52746568626"/>
    <x v="1349"/>
    <n v="46.34"/>
  </r>
  <r>
    <s v=" 31-08-2018"/>
    <x v="18"/>
    <s v=" Monthly"/>
    <n v="4.3"/>
    <n v="6138698"/>
    <n v="263964"/>
    <n v="505654.74752488232"/>
    <n v="134151.75133164006"/>
    <x v="1350"/>
    <n v="43.48"/>
  </r>
  <r>
    <s v=" 30-09-2018"/>
    <x v="18"/>
    <s v=" Monthly"/>
    <n v="8.18"/>
    <n v="6274125"/>
    <n v="513223"/>
    <n v="336471.22425746464"/>
    <n v="162083.14125273851"/>
    <x v="1351"/>
    <n v="46.25"/>
  </r>
  <r>
    <s v=" 31-10-2018"/>
    <x v="18"/>
    <s v=" Monthly"/>
    <n v="12.5"/>
    <n v="5972439"/>
    <n v="746555"/>
    <n v="460197.46727723937"/>
    <n v="176445.5637749286"/>
    <x v="1352"/>
    <n v="46.12"/>
  </r>
  <r>
    <s v=" 30-11-2018"/>
    <x v="18"/>
    <s v=" Monthly"/>
    <n v="8.0500000000000007"/>
    <n v="6218175"/>
    <n v="500563"/>
    <n v="660647.74018317182"/>
    <n v="239204.40646327485"/>
    <x v="1353"/>
    <n v="45.62"/>
  </r>
  <r>
    <s v=" 31-12-2018"/>
    <x v="18"/>
    <s v=" Monthly"/>
    <n v="3.67"/>
    <n v="6112368"/>
    <n v="224324"/>
    <n v="548588.42205495154"/>
    <n v="215150.29693582427"/>
    <x v="1354"/>
    <n v="42.74"/>
  </r>
  <r>
    <s v=" 31-01-2019"/>
    <x v="18"/>
    <s v=" Monthly"/>
    <n v="9.2100000000000009"/>
    <n v="6270684"/>
    <n v="577530"/>
    <n v="321603.32661648549"/>
    <n v="266317.58985417662"/>
    <x v="1355"/>
    <n v="46.45"/>
  </r>
  <r>
    <s v=" 28-02-2019"/>
    <x v="18"/>
    <s v=" Monthly"/>
    <n v="12.99"/>
    <n v="5941942"/>
    <n v="771858"/>
    <n v="500751.99798494566"/>
    <n v="255781.80909992894"/>
    <x v="1356"/>
    <n v="45.85"/>
  </r>
  <r>
    <s v=" 31-03-2019"/>
    <x v="18"/>
    <s v=" Monthly"/>
    <n v="9.68"/>
    <n v="6167869"/>
    <n v="597050"/>
    <n v="690526.19939548371"/>
    <n v="285274.33690418687"/>
    <x v="1357"/>
    <n v="45.78"/>
  </r>
  <r>
    <s v=" 30-04-2019"/>
    <x v="18"/>
    <s v=" Monthly"/>
    <n v="6.16"/>
    <n v="6089734"/>
    <n v="375128"/>
    <n v="625092.85981864505"/>
    <n v="221911.93923954232"/>
    <x v="1358"/>
    <n v="43.44"/>
  </r>
  <r>
    <s v=" 31-05-2019"/>
    <x v="18"/>
    <s v=" Monthly"/>
    <n v="9.17"/>
    <n v="6088548"/>
    <n v="558320"/>
    <n v="450117.45794559352"/>
    <n v="219635.07258341488"/>
    <x v="1359"/>
    <n v="44.79"/>
  </r>
  <r>
    <s v=" 30-06-2019"/>
    <x v="18"/>
    <s v=" Monthly"/>
    <n v="12.21"/>
    <n v="6025235"/>
    <n v="735681"/>
    <n v="525859.23738367809"/>
    <n v="166260.86040177415"/>
    <x v="1360"/>
    <n v="45.79"/>
  </r>
  <r>
    <s v=" 31-07-2019"/>
    <x v="18"/>
    <s v=" Monthly"/>
    <n v="9.64"/>
    <n v="6308129"/>
    <n v="608104"/>
    <n v="672734.4712151034"/>
    <n v="198507.25706181006"/>
    <x v="1361"/>
    <n v="46.5"/>
  </r>
  <r>
    <s v=" 31-08-2019"/>
    <x v="18"/>
    <s v=" Monthly"/>
    <n v="6.69"/>
    <n v="6183428"/>
    <n v="413671"/>
    <n v="627493.14136453101"/>
    <n v="141315.3211603305"/>
    <x v="1362"/>
    <n v="44.08"/>
  </r>
  <r>
    <s v=" 30-09-2019"/>
    <x v="18"/>
    <s v=" Monthly"/>
    <n v="8.85"/>
    <n v="6254260"/>
    <n v="553502"/>
    <n v="477817.64240935922"/>
    <n v="176938.95182107296"/>
    <x v="1363"/>
    <n v="45.56"/>
  </r>
  <r>
    <s v=" 31-10-2019"/>
    <x v="18"/>
    <s v=" Monthly"/>
    <n v="12.56"/>
    <n v="6021921"/>
    <n v="756353"/>
    <n v="530796.69272280775"/>
    <n v="136167.94523811122"/>
    <x v="1364"/>
    <n v="45.66"/>
  </r>
  <r>
    <s v=" 30-11-2019"/>
    <x v="18"/>
    <s v=" Monthly"/>
    <n v="7.07"/>
    <n v="6395022"/>
    <n v="452128"/>
    <n v="688686.10781684227"/>
    <n v="184683.22236931778"/>
    <x v="1365"/>
    <n v="45.55"/>
  </r>
  <r>
    <s v=" 31-12-2019"/>
    <x v="18"/>
    <s v=" Monthly"/>
    <n v="6.13"/>
    <n v="6164219"/>
    <n v="377867"/>
    <n v="523095.43234505266"/>
    <n v="193703.81867713737"/>
    <x v="1366"/>
    <n v="43.4"/>
  </r>
  <r>
    <s v=" 31-01-2020"/>
    <x v="18"/>
    <s v=" Monthly"/>
    <n v="9.69"/>
    <n v="6189471"/>
    <n v="599760"/>
    <n v="421435.52970351576"/>
    <n v="206499.94647925819"/>
    <x v="1367"/>
    <n v="45.22"/>
  </r>
  <r>
    <s v=" 29-02-2020"/>
    <x v="18"/>
    <s v=" Monthly"/>
    <n v="10.41"/>
    <n v="6009820"/>
    <n v="625622"/>
    <n v="546262.65891105472"/>
    <n v="190482.41619793326"/>
    <x v="1368"/>
    <n v="44.19"/>
  </r>
  <r>
    <s v=" 31-03-2020"/>
    <x v="18"/>
    <s v=" Monthly"/>
    <n v="10.51"/>
    <n v="6373692"/>
    <n v="669875"/>
    <n v="601814.19767331635"/>
    <n v="140462.11741485648"/>
    <x v="1369"/>
    <n v="46.85"/>
  </r>
  <r>
    <s v=" 30-04-2020"/>
    <x v="18"/>
    <s v=" Monthly"/>
    <n v="3.69"/>
    <n v="4721590"/>
    <n v="174227"/>
    <n v="649456.75930199481"/>
    <n v="119345.15007314591"/>
    <x v="1370"/>
    <n v="32.200000000000003"/>
  </r>
  <r>
    <s v=" 31-05-2020"/>
    <x v="18"/>
    <s v=" Monthly"/>
    <n v="34"/>
    <n v="4159402"/>
    <n v="1414197"/>
    <n v="316795.92779059842"/>
    <n v="280935.04703498958"/>
    <x v="1371"/>
    <n v="41.32"/>
  </r>
  <r>
    <s v=" 30-06-2020"/>
    <x v="18"/>
    <s v=" Monthly"/>
    <n v="20"/>
    <n v="5364047"/>
    <n v="1072809"/>
    <n v="1084976.6783371794"/>
    <n v="691559.76127059513"/>
    <x v="1372"/>
    <n v="43.9"/>
  </r>
  <r>
    <s v=" 31-07-2020"/>
    <x v="18"/>
    <s v=" Monthly"/>
    <n v="9.11"/>
    <n v="6190307"/>
    <n v="563937"/>
    <n v="1076459.3035011538"/>
    <n v="690478.21346481622"/>
    <x v="1373"/>
    <n v="44.52"/>
  </r>
  <r>
    <s v=" 31-08-2020"/>
    <x v="18"/>
    <s v=" Monthly"/>
    <n v="9.7799999999999994"/>
    <n v="5902580"/>
    <n v="577272"/>
    <n v="717693.69105034613"/>
    <n v="699313.06229008047"/>
    <x v="1374"/>
    <n v="42.69"/>
  </r>
  <r>
    <s v=" 30-09-2020"/>
    <x v="18"/>
    <s v=" Monthly"/>
    <n v="11.89"/>
    <n v="5988263"/>
    <n v="712004"/>
    <n v="619398.50731510378"/>
    <n v="306890.54253902141"/>
    <x v="1375"/>
    <n v="44.28"/>
  </r>
  <r>
    <s v=" 31-10-2020"/>
    <x v="18"/>
    <s v=" Monthly"/>
    <n v="10.95"/>
    <n v="5846217"/>
    <n v="640161"/>
    <n v="684222.35219453112"/>
    <n v="311433.85610162339"/>
    <x v="1376"/>
    <n v="42.7"/>
  </r>
  <r>
    <s v=" 30-11-2020"/>
    <x v="18"/>
    <s v=" Monthly"/>
    <n v="7.62"/>
    <n v="6141206"/>
    <n v="467960"/>
    <n v="653379.40565835929"/>
    <n v="100391.61875718135"/>
    <x v="1377"/>
    <n v="43.17"/>
  </r>
  <r>
    <s v=" 31-12-2020"/>
    <x v="18"/>
    <s v=" Monthly"/>
    <n v="1.82"/>
    <n v="5965598"/>
    <n v="108574"/>
    <n v="523585.82169750775"/>
    <n v="122334.97187002862"/>
    <x v="1378"/>
    <n v="39.4"/>
  </r>
  <r>
    <s v=" 31-01-2021"/>
    <x v="18"/>
    <s v=" Monthly"/>
    <n v="10.16"/>
    <n v="5976946"/>
    <n v="607258"/>
    <n v="233077.54650925231"/>
    <n v="263664.28837987251"/>
    <x v="1379"/>
    <n v="43.07"/>
  </r>
  <r>
    <s v=" 28-02-2021"/>
    <x v="18"/>
    <s v=" Monthly"/>
    <n v="8.36"/>
    <n v="5919742"/>
    <n v="494890"/>
    <n v="495003.86395277566"/>
    <n v="339914.78339819465"/>
    <x v="1380"/>
    <n v="41.76"/>
  </r>
  <r>
    <s v=" 31-03-2021"/>
    <x v="18"/>
    <s v=" Monthly"/>
    <n v="6.98"/>
    <n v="6136356"/>
    <n v="428318"/>
    <n v="494924.15918583272"/>
    <n v="322617.33621956594"/>
    <x v="1381"/>
    <n v="42.57"/>
  </r>
  <r>
    <s v=" 30-04-2021"/>
    <x v="18"/>
    <s v=" Monthly"/>
    <n v="2.82"/>
    <n v="6080502"/>
    <n v="171470"/>
    <n v="448299.84775574983"/>
    <n v="219429.11169747575"/>
    <x v="1382"/>
    <n v="40.32"/>
  </r>
  <r>
    <s v=" 31-05-2021"/>
    <x v="18"/>
    <s v=" Monthly"/>
    <n v="9.3699999999999992"/>
    <n v="5947791"/>
    <n v="557308"/>
    <n v="254518.95432672492"/>
    <n v="164388.92705507862"/>
    <x v="1383"/>
    <n v="42.22"/>
  </r>
  <r>
    <s v=" 30-06-2021"/>
    <x v="18"/>
    <s v=" Monthly"/>
    <n v="9.69"/>
    <n v="5910017"/>
    <n v="572681"/>
    <n v="466471.28629801748"/>
    <n v="239966.90829479857"/>
    <x v="1384"/>
    <n v="42.04"/>
  </r>
  <r>
    <s v=" 31-07-2021"/>
    <x v="18"/>
    <s v=" Monthly"/>
    <n v="6.55"/>
    <n v="6210240"/>
    <n v="406771"/>
    <n v="540818.08588940522"/>
    <n v="244674.25560859576"/>
    <x v="1385"/>
    <n v="42.62"/>
  </r>
  <r>
    <s v=" 31-08-2021"/>
    <x v="18"/>
    <s v=" Monthly"/>
    <n v="3.33"/>
    <n v="6206233"/>
    <n v="206668"/>
    <n v="446985.12576682155"/>
    <n v="200773.77874931056"/>
    <x v="1386"/>
    <n v="41.11"/>
  </r>
  <r>
    <s v=" 30-09-2021"/>
    <x v="18"/>
    <s v=" Monthly"/>
    <n v="11.19"/>
    <n v="5786235"/>
    <n v="647480"/>
    <n v="278763.13773004641"/>
    <n v="170295.2783226094"/>
    <x v="1387"/>
    <n v="41.65"/>
  </r>
  <r>
    <s v=" 31-10-2021"/>
    <x v="18"/>
    <s v=" Monthly"/>
    <n v="14.15"/>
    <n v="5626003"/>
    <n v="796079"/>
    <n v="536864.94131901395"/>
    <n v="265626.97321272915"/>
    <x v="1388"/>
    <n v="41.82"/>
  </r>
  <r>
    <s v=" 30-11-2021"/>
    <x v="18"/>
    <s v=" Monthly"/>
    <n v="6.45"/>
    <n v="6291790"/>
    <n v="405820"/>
    <n v="718314.78239570407"/>
    <n v="294899.06390542956"/>
    <x v="1389"/>
    <n v="42.86"/>
  </r>
  <r>
    <s v=" 31-12-2021"/>
    <x v="18"/>
    <s v=" Monthly"/>
    <n v="4.2"/>
    <n v="6325854"/>
    <n v="265686"/>
    <n v="499568.43471871119"/>
    <n v="316647.56526492146"/>
    <x v="1390"/>
    <n v="42.01"/>
  </r>
  <r>
    <s v=" 31-01-2022"/>
    <x v="18"/>
    <s v=" Monthly"/>
    <n v="11.03"/>
    <n v="5766629"/>
    <n v="636059"/>
    <n v="335850.73041561333"/>
    <n v="270521.66303419543"/>
    <x v="1391"/>
    <n v="41.17"/>
  </r>
  <r>
    <s v=" 28-02-2022"/>
    <x v="18"/>
    <s v=" Monthly"/>
    <n v="10.79"/>
    <n v="5871405"/>
    <n v="633525"/>
    <n v="545996.51912468392"/>
    <n v="284299.71709526458"/>
    <x v="1392"/>
    <n v="41.74"/>
  </r>
  <r>
    <s v=" 31-03-2022"/>
    <x v="18"/>
    <s v=" Monthly"/>
    <n v="6.74"/>
    <n v="6284145"/>
    <n v="423551"/>
    <n v="607266.45573740522"/>
    <n v="225453.05007262196"/>
    <x v="1393"/>
    <n v="42.67"/>
  </r>
  <r>
    <s v=" 30-04-2022"/>
    <x v="18"/>
    <s v=" Monthly"/>
    <n v="5.05"/>
    <n v="6330552"/>
    <n v="319693"/>
    <n v="478665.6367212215"/>
    <n v="209394.05337623993"/>
    <x v="1394"/>
    <n v="42.16"/>
  </r>
  <r>
    <s v=" 31-01-2016"/>
    <x v="19"/>
    <s v=" Monthly"/>
    <n v="5.23"/>
    <n v="14209938"/>
    <n v="743180"/>
    <n v="367384.79101636645"/>
    <n v="149091.58579794783"/>
    <x v="1395"/>
    <n v="39.92"/>
  </r>
  <r>
    <s v=" 29-02-2016"/>
    <x v="19"/>
    <s v=" Monthly"/>
    <n v="3.6"/>
    <n v="14678178"/>
    <n v="528414"/>
    <n v="630441.43730490992"/>
    <n v="258357.44424985629"/>
    <x v="1396"/>
    <n v="40.450000000000003"/>
  </r>
  <r>
    <s v=" 31-03-2016"/>
    <x v="19"/>
    <s v=" Monthly"/>
    <n v="8.0299999999999994"/>
    <n v="13199688"/>
    <n v="1059935"/>
    <n v="559022.23119147297"/>
    <n v="242833.23240731668"/>
    <x v="1397"/>
    <n v="38.03"/>
  </r>
  <r>
    <s v=" 30-04-2016"/>
    <x v="19"/>
    <s v=" Monthly"/>
    <n v="11.31"/>
    <n v="13351063"/>
    <n v="1510005"/>
    <n v="909661.16935744183"/>
    <n v="366308.26681611803"/>
    <x v="1398"/>
    <n v="39.81"/>
  </r>
  <r>
    <s v=" 31-05-2016"/>
    <x v="19"/>
    <s v=" Monthly"/>
    <n v="7.57"/>
    <n v="13492549"/>
    <n v="1021386"/>
    <n v="1329901.8508072325"/>
    <n v="455242.0290017947"/>
    <x v="1399"/>
    <n v="38.51"/>
  </r>
  <r>
    <s v=" 30-06-2016"/>
    <x v="19"/>
    <s v=" Monthly"/>
    <n v="7.5"/>
    <n v="14600380"/>
    <n v="1095029"/>
    <n v="1113940.7552421698"/>
    <n v="485286.28909312078"/>
    <x v="1400"/>
    <n v="41.54"/>
  </r>
  <r>
    <s v=" 31-07-2016"/>
    <x v="19"/>
    <s v=" Monthly"/>
    <n v="7.48"/>
    <n v="12236929"/>
    <n v="915322"/>
    <n v="1100702.5265726508"/>
    <n v="389851.42455223924"/>
    <x v="1401"/>
    <n v="34.729999999999997"/>
  </r>
  <r>
    <s v=" 31-08-2016"/>
    <x v="19"/>
    <s v=" Monthly"/>
    <n v="5.91"/>
    <n v="14174744"/>
    <n v="837727"/>
    <n v="970936.15797179518"/>
    <n v="208091.02520932484"/>
    <x v="1402"/>
    <n v="39.47"/>
  </r>
  <r>
    <s v=" 30-09-2016"/>
    <x v="19"/>
    <s v=" Monthly"/>
    <n v="3.83"/>
    <n v="14584093"/>
    <n v="558571"/>
    <n v="877689.74739153846"/>
    <n v="132247.58836647734"/>
    <x v="1403"/>
    <n v="39.64"/>
  </r>
  <r>
    <s v=" 31-10-2016"/>
    <x v="19"/>
    <s v=" Monthly"/>
    <n v="4.6500000000000004"/>
    <n v="14784248"/>
    <n v="687468"/>
    <n v="654306.62421746156"/>
    <n v="226529.90555822314"/>
    <x v="1404"/>
    <n v="40.43"/>
  </r>
  <r>
    <s v=" 30-11-2016"/>
    <x v="19"/>
    <s v=" Monthly"/>
    <n v="5.27"/>
    <n v="12435186"/>
    <n v="655334"/>
    <n v="677519.5872652384"/>
    <n v="200566.80644953024"/>
    <x v="1405"/>
    <n v="34.15"/>
  </r>
  <r>
    <s v=" 31-12-2016"/>
    <x v="19"/>
    <s v=" Monthly"/>
    <n v="8.76"/>
    <n v="13719846"/>
    <n v="1201859"/>
    <n v="661989.67617957154"/>
    <n v="185677.72444286256"/>
    <x v="1406"/>
    <n v="39.03"/>
  </r>
  <r>
    <s v=" 31-01-2017"/>
    <x v="19"/>
    <s v=" Monthly"/>
    <n v="5.0999999999999996"/>
    <n v="13825735"/>
    <n v="705112"/>
    <n v="1039898.2028538714"/>
    <n v="312543.73770104611"/>
    <x v="1407"/>
    <n v="37.729999999999997"/>
  </r>
  <r>
    <s v=" 28-02-2017"/>
    <x v="19"/>
    <s v=" Monthly"/>
    <n v="4.17"/>
    <n v="15298148"/>
    <n v="637933"/>
    <n v="805547.86085616145"/>
    <n v="366984.50862215954"/>
    <x v="1408"/>
    <n v="41.25"/>
  </r>
  <r>
    <s v=" 31-03-2017"/>
    <x v="19"/>
    <s v=" Monthly"/>
    <n v="2.41"/>
    <n v="15399084"/>
    <n v="371118"/>
    <n v="688217.45825684839"/>
    <n v="379313.16437453567"/>
    <x v="1409"/>
    <n v="40.68"/>
  </r>
  <r>
    <s v=" 30-04-2017"/>
    <x v="19"/>
    <s v=" Monthly"/>
    <n v="5.76"/>
    <n v="14870442"/>
    <n v="856537"/>
    <n v="466247.83747705445"/>
    <n v="283271.72445547202"/>
    <x v="1410"/>
    <n v="40.590000000000003"/>
  </r>
  <r>
    <s v=" 31-05-2017"/>
    <x v="19"/>
    <s v=" Monthly"/>
    <n v="2.5499999999999998"/>
    <n v="13849569"/>
    <n v="353164"/>
    <n v="739450.25124311622"/>
    <n v="306035.09514949389"/>
    <x v="1411"/>
    <n v="36.47"/>
  </r>
  <r>
    <s v=" 30-06-2017"/>
    <x v="19"/>
    <s v=" Monthly"/>
    <n v="5.13"/>
    <n v="15358818"/>
    <n v="787907"/>
    <n v="469049.87537293485"/>
    <n v="366103.24805493001"/>
    <x v="1412"/>
    <n v="41.45"/>
  </r>
  <r>
    <s v=" 31-07-2017"/>
    <x v="19"/>
    <s v=" Monthly"/>
    <n v="0.8"/>
    <n v="13784519"/>
    <n v="110276"/>
    <n v="692249.86261188029"/>
    <n v="366611.76749969984"/>
    <x v="1413"/>
    <n v="35.5"/>
  </r>
  <r>
    <s v=" 31-08-2017"/>
    <x v="19"/>
    <s v=" Monthly"/>
    <n v="6.82"/>
    <n v="13949398"/>
    <n v="951349"/>
    <n v="284868.15878356405"/>
    <n v="443313.47471373325"/>
    <x v="1414"/>
    <n v="38.15"/>
  </r>
  <r>
    <s v=" 30-09-2017"/>
    <x v="19"/>
    <s v=" Monthly"/>
    <n v="1.06"/>
    <n v="15234360"/>
    <n v="161484"/>
    <n v="751404.74763506919"/>
    <n v="543004.03755325172"/>
    <x v="1415"/>
    <n v="39.15"/>
  </r>
  <r>
    <s v=" 31-10-2017"/>
    <x v="19"/>
    <s v=" Monthly"/>
    <n v="3"/>
    <n v="14006433"/>
    <n v="420193"/>
    <n v="338460.22429052077"/>
    <n v="613975.23754688969"/>
    <x v="1416"/>
    <n v="36.630000000000003"/>
  </r>
  <r>
    <s v=" 30-11-2017"/>
    <x v="19"/>
    <s v=" Monthly"/>
    <n v="7.49"/>
    <n v="15205714"/>
    <n v="1138908"/>
    <n v="395673.16728715622"/>
    <n v="516037.28767860145"/>
    <x v="1417"/>
    <n v="41.6"/>
  </r>
  <r>
    <s v=" 31-12-2017"/>
    <x v="19"/>
    <s v=" Monthly"/>
    <n v="3.76"/>
    <n v="14532296"/>
    <n v="546414"/>
    <n v="915937.55018614687"/>
    <n v="549874.15277594316"/>
    <x v="1418"/>
    <n v="38.130000000000003"/>
  </r>
  <r>
    <s v=" 31-01-2018"/>
    <x v="19"/>
    <s v=" Monthly"/>
    <n v="5.23"/>
    <n v="14537018"/>
    <n v="760286"/>
    <n v="657271.06505584402"/>
    <n v="481534.32460730453"/>
    <x v="1419"/>
    <n v="38.64"/>
  </r>
  <r>
    <s v=" 28-02-2018"/>
    <x v="19"/>
    <s v=" Monthly"/>
    <n v="4.43"/>
    <n v="13962211"/>
    <n v="618526"/>
    <n v="729381.51951675315"/>
    <n v="482893.27582859388"/>
    <x v="1420"/>
    <n v="36.72"/>
  </r>
  <r>
    <s v=" 31-03-2018"/>
    <x v="19"/>
    <s v=" Monthly"/>
    <n v="13.31"/>
    <n v="14529426"/>
    <n v="1933867"/>
    <n v="651782.65585502586"/>
    <n v="230541.88135134414"/>
    <x v="1421"/>
    <n v="42.03"/>
  </r>
  <r>
    <s v=" 30-04-2018"/>
    <x v="19"/>
    <s v=" Monthly"/>
    <n v="6.68"/>
    <n v="14036756"/>
    <n v="937655"/>
    <n v="1549241.6967565077"/>
    <n v="745350.31775457249"/>
    <x v="1422"/>
    <n v="37.64"/>
  </r>
  <r>
    <s v=" 31-05-2018"/>
    <x v="19"/>
    <s v=" Monthly"/>
    <n v="3.48"/>
    <n v="14888304"/>
    <n v="518113"/>
    <n v="1121131.0090269523"/>
    <n v="822611.18789671105"/>
    <x v="1423"/>
    <n v="38.51"/>
  </r>
  <r>
    <s v=" 30-06-2018"/>
    <x v="19"/>
    <s v=" Monthly"/>
    <n v="9.27"/>
    <n v="14117414"/>
    <n v="1308684"/>
    <n v="699018.40270808572"/>
    <n v="890956.27883041394"/>
    <x v="1424"/>
    <n v="38.75"/>
  </r>
  <r>
    <s v=" 31-07-2018"/>
    <x v="19"/>
    <s v=" Monthly"/>
    <n v="10.17"/>
    <n v="14382481"/>
    <n v="1462698"/>
    <n v="1125784.3208124256"/>
    <n v="608101.18329701037"/>
    <x v="1425"/>
    <n v="39.78"/>
  </r>
  <r>
    <s v=" 31-08-2018"/>
    <x v="19"/>
    <s v=" Monthly"/>
    <n v="9.34"/>
    <n v="14286761"/>
    <n v="1334383"/>
    <n v="1361623.8962437278"/>
    <n v="531925.33528552169"/>
    <x v="1426"/>
    <n v="39.07"/>
  </r>
  <r>
    <s v=" 30-09-2018"/>
    <x v="19"/>
    <s v=" Monthly"/>
    <n v="6.2"/>
    <n v="14629445"/>
    <n v="907026"/>
    <n v="1342555.2688731183"/>
    <n v="402469.47469059727"/>
    <x v="1427"/>
    <n v="38.57"/>
  </r>
  <r>
    <s v=" 31-10-2018"/>
    <x v="19"/>
    <s v=" Monthly"/>
    <n v="13.22"/>
    <n v="14295458"/>
    <n v="1889860"/>
    <n v="1037684.7806619355"/>
    <n v="318296.84137977363"/>
    <x v="1428"/>
    <n v="40.65"/>
  </r>
  <r>
    <s v=" 30-11-2018"/>
    <x v="19"/>
    <s v=" Monthly"/>
    <n v="11.99"/>
    <n v="14593183"/>
    <n v="1749723"/>
    <n v="1634207.4341985807"/>
    <n v="552759.86797378631"/>
    <x v="1429"/>
    <n v="40.82"/>
  </r>
  <r>
    <s v=" 31-12-2018"/>
    <x v="19"/>
    <s v=" Monthly"/>
    <n v="14.58"/>
    <n v="14547388"/>
    <n v="2121009"/>
    <n v="1715068.3302595741"/>
    <n v="556546.55224322237"/>
    <x v="1430"/>
    <n v="41.83"/>
  </r>
  <r>
    <s v=" 31-01-2019"/>
    <x v="19"/>
    <s v=" Monthly"/>
    <n v="5.82"/>
    <n v="14813168"/>
    <n v="862126"/>
    <n v="1999226.799077872"/>
    <n v="549039.8521496735"/>
    <x v="1431"/>
    <n v="38.54"/>
  </r>
  <r>
    <s v=" 28-02-2019"/>
    <x v="19"/>
    <s v=" Monthly"/>
    <n v="9.58"/>
    <n v="15265319"/>
    <n v="1462418"/>
    <n v="1203256.2397233616"/>
    <n v="700268.97226595785"/>
    <x v="1432"/>
    <n v="41.28"/>
  </r>
  <r>
    <s v=" 31-03-2019"/>
    <x v="19"/>
    <s v=" Monthly"/>
    <n v="8.92"/>
    <n v="14728164"/>
    <n v="1313752"/>
    <n v="1384669.4719170085"/>
    <n v="712963.50364810077"/>
    <x v="1433"/>
    <n v="39.450000000000003"/>
  </r>
  <r>
    <s v=" 30-04-2019"/>
    <x v="19"/>
    <s v=" Monthly"/>
    <n v="12.1"/>
    <n v="15028831"/>
    <n v="1818489"/>
    <n v="1335027.2415751023"/>
    <n v="674584.39874150674"/>
    <x v="1434"/>
    <n v="41.61"/>
  </r>
  <r>
    <s v=" 31-05-2019"/>
    <x v="19"/>
    <s v=" Monthly"/>
    <n v="4.03"/>
    <n v="15226003"/>
    <n v="613608"/>
    <n v="1673450.4724725306"/>
    <n v="319337.53181238583"/>
    <x v="1435"/>
    <n v="38.520000000000003"/>
  </r>
  <r>
    <s v=" 30-06-2019"/>
    <x v="19"/>
    <s v=" Monthly"/>
    <n v="13.7"/>
    <n v="14610567"/>
    <n v="2001648"/>
    <n v="931560.74174175912"/>
    <n v="673802.79660522845"/>
    <x v="1436"/>
    <n v="41.02"/>
  </r>
  <r>
    <s v=" 31-07-2019"/>
    <x v="19"/>
    <s v=" Monthly"/>
    <n v="9.6999999999999993"/>
    <n v="14859873"/>
    <n v="1441408"/>
    <n v="1680621.8225225275"/>
    <n v="913252.07885567204"/>
    <x v="1437"/>
    <n v="39.78"/>
  </r>
  <r>
    <s v=" 31-08-2019"/>
    <x v="19"/>
    <s v=" Monthly"/>
    <n v="12.5"/>
    <n v="15052044"/>
    <n v="1881506"/>
    <n v="1513172.1467567582"/>
    <n v="880449.89628961182"/>
    <x v="1438"/>
    <n v="41.48"/>
  </r>
  <r>
    <s v=" 30-09-2019"/>
    <x v="19"/>
    <s v=" Monthly"/>
    <n v="5.65"/>
    <n v="15290705"/>
    <n v="863925"/>
    <n v="1771005.8440270275"/>
    <n v="667827.27822331735"/>
    <x v="1439"/>
    <n v="38.99"/>
  </r>
  <r>
    <s v=" 31-10-2019"/>
    <x v="19"/>
    <s v=" Monthly"/>
    <n v="14.66"/>
    <n v="15178549"/>
    <n v="2225175"/>
    <n v="1136049.2532081082"/>
    <n v="581861.59234295506"/>
    <x v="1440"/>
    <n v="42.69"/>
  </r>
  <r>
    <s v=" 30-11-2019"/>
    <x v="19"/>
    <s v=" Monthly"/>
    <n v="10.47"/>
    <n v="15278556"/>
    <n v="1599665"/>
    <n v="1898437.2759624324"/>
    <n v="845509.78259091219"/>
    <x v="1441"/>
    <n v="40.869999999999997"/>
  </r>
  <r>
    <s v=" 31-12-2019"/>
    <x v="19"/>
    <s v=" Monthly"/>
    <n v="13.96"/>
    <n v="15485313"/>
    <n v="2161750"/>
    <n v="1689296.6827887297"/>
    <n v="836312.42623187823"/>
    <x v="1442"/>
    <n v="43"/>
  </r>
  <r>
    <s v=" 31-01-2020"/>
    <x v="19"/>
    <s v=" Monthly"/>
    <n v="8"/>
    <n v="15484353"/>
    <n v="1238748"/>
    <n v="2020014.0048366189"/>
    <n v="706793.67620088882"/>
    <x v="1443"/>
    <n v="40.119999999999997"/>
  </r>
  <r>
    <s v=" 29-02-2020"/>
    <x v="19"/>
    <s v=" Monthly"/>
    <n v="14.48"/>
    <n v="15040572"/>
    <n v="2177875"/>
    <n v="1473127.8014509855"/>
    <n v="554633.08596496982"/>
    <x v="1444"/>
    <n v="41.83"/>
  </r>
  <r>
    <s v=" 31-03-2020"/>
    <x v="19"/>
    <s v=" Monthly"/>
    <n v="9.4700000000000006"/>
    <n v="15059769"/>
    <n v="1426160"/>
    <n v="1966450.8404352956"/>
    <n v="665897.21957671246"/>
    <x v="1445"/>
    <n v="39.47"/>
  </r>
  <r>
    <s v=" 30-04-2020"/>
    <x v="19"/>
    <s v=" Monthly"/>
    <n v="12.25"/>
    <n v="13051219"/>
    <n v="1598774"/>
    <n v="1588247.2521305885"/>
    <n v="682876.11771446362"/>
    <x v="1446"/>
    <n v="35.21"/>
  </r>
  <r>
    <s v=" 31-05-2020"/>
    <x v="19"/>
    <s v=" Monthly"/>
    <n v="10.45"/>
    <n v="15586833"/>
    <n v="1628824"/>
    <n v="1595615.9756391763"/>
    <n v="512735.67541884852"/>
    <x v="1447"/>
    <n v="41.11"/>
  </r>
  <r>
    <s v=" 30-06-2020"/>
    <x v="19"/>
    <s v=" Monthly"/>
    <n v="12.97"/>
    <n v="15381854"/>
    <n v="1995026"/>
    <n v="1618861.5926917526"/>
    <n v="312584.80319263408"/>
    <x v="1448"/>
    <n v="41.65"/>
  </r>
  <r>
    <s v=" 31-07-2020"/>
    <x v="19"/>
    <s v=" Monthly"/>
    <n v="14.4"/>
    <n v="14724453"/>
    <n v="2120321"/>
    <n v="1882176.6778075257"/>
    <n v="218107.95998634887"/>
    <x v="1449"/>
    <n v="40.44"/>
  </r>
  <r>
    <s v=" 31-08-2020"/>
    <x v="19"/>
    <s v=" Monthly"/>
    <n v="14.68"/>
    <n v="15036627"/>
    <n v="2207377"/>
    <n v="2048877.7033422575"/>
    <n v="257756.44343709893"/>
    <x v="1450"/>
    <n v="41.34"/>
  </r>
  <r>
    <s v=" 30-09-2020"/>
    <x v="19"/>
    <s v=" Monthly"/>
    <n v="11.56"/>
    <n v="15014467"/>
    <n v="1735672"/>
    <n v="2159827.2110026772"/>
    <n v="272845.74797192466"/>
    <x v="1451"/>
    <n v="39.729999999999997"/>
  </r>
  <r>
    <s v=" 31-10-2020"/>
    <x v="19"/>
    <s v=" Monthly"/>
    <n v="23.93"/>
    <n v="14746937"/>
    <n v="3528942"/>
    <n v="1862918.5633008031"/>
    <n v="295376.81485081482"/>
    <x v="1452"/>
    <n v="45.26"/>
  </r>
  <r>
    <s v=" 30-11-2020"/>
    <x v="19"/>
    <s v=" Monthly"/>
    <n v="16.86"/>
    <n v="15029219"/>
    <n v="2533926"/>
    <n v="3029134.9689902407"/>
    <n v="996772.08389426174"/>
    <x v="1453"/>
    <n v="42.11"/>
  </r>
  <r>
    <s v=" 31-12-2020"/>
    <x v="19"/>
    <s v=" Monthly"/>
    <n v="27.74"/>
    <n v="14847311"/>
    <n v="4118644"/>
    <n v="2682488.6906970721"/>
    <n v="1032920.399905063"/>
    <x v="1454"/>
    <n v="47.75"/>
  </r>
  <r>
    <s v=" 31-01-2021"/>
    <x v="19"/>
    <s v=" Monthly"/>
    <n v="14.03"/>
    <n v="15982179"/>
    <n v="2242300"/>
    <n v="3687797.4072091216"/>
    <n v="1301717.8505137444"/>
    <x v="1455"/>
    <n v="43.1"/>
  </r>
  <r>
    <s v=" 28-02-2021"/>
    <x v="19"/>
    <s v=" Monthly"/>
    <n v="25.61"/>
    <n v="14972793"/>
    <n v="3834532"/>
    <n v="2675949.2221627366"/>
    <n v="1210679.8021023367"/>
    <x v="1456"/>
    <n v="46.57"/>
  </r>
  <r>
    <s v=" 31-03-2021"/>
    <x v="19"/>
    <s v=" Monthly"/>
    <n v="17.63"/>
    <n v="15221859"/>
    <n v="2683614"/>
    <n v="3486957.166648821"/>
    <n v="1353306.9225405338"/>
    <x v="1457"/>
    <n v="42.66"/>
  </r>
  <r>
    <s v=" 30-04-2021"/>
    <x v="19"/>
    <s v=" Monthly"/>
    <n v="27.33"/>
    <n v="14911908"/>
    <n v="4075424"/>
    <n v="2924616.949994646"/>
    <n v="1165781.1473786947"/>
    <x v="1458"/>
    <n v="47.25"/>
  </r>
  <r>
    <s v=" 31-05-2021"/>
    <x v="19"/>
    <s v=" Monthly"/>
    <n v="22.04"/>
    <n v="14586302"/>
    <n v="3214821"/>
    <n v="3730181.8849983937"/>
    <n v="1050718.9860351959"/>
    <x v="1459"/>
    <n v="42.98"/>
  </r>
  <r>
    <s v=" 30-06-2021"/>
    <x v="19"/>
    <s v=" Monthly"/>
    <n v="25.97"/>
    <n v="15168206"/>
    <n v="3939183"/>
    <n v="3369429.2654995178"/>
    <n v="863194.44536552881"/>
    <x v="1460"/>
    <n v="46.97"/>
  </r>
  <r>
    <s v=" 31-07-2021"/>
    <x v="19"/>
    <s v=" Monthly"/>
    <n v="18.55"/>
    <n v="15475193"/>
    <n v="2870648"/>
    <n v="3768256.8796498552"/>
    <n v="798868.58036967902"/>
    <x v="1461"/>
    <n v="43.45"/>
  </r>
  <r>
    <s v=" 31-08-2021"/>
    <x v="19"/>
    <s v=" Monthly"/>
    <n v="25"/>
    <n v="15337775"/>
    <n v="3834444"/>
    <n v="3139930.6638949565"/>
    <n v="682133.38397262688"/>
    <x v="1462"/>
    <n v="46.66"/>
  </r>
  <r>
    <s v=" 30-09-2021"/>
    <x v="19"/>
    <s v=" Monthly"/>
    <n v="13.77"/>
    <n v="15888973"/>
    <n v="2187912"/>
    <n v="3626089.9991684868"/>
    <n v="733182.51316464425"/>
    <x v="1463"/>
    <n v="41.95"/>
  </r>
  <r>
    <s v=" 31-10-2021"/>
    <x v="19"/>
    <s v=" Monthly"/>
    <n v="29.84"/>
    <n v="15212950"/>
    <n v="4539544"/>
    <n v="2619365.3997505456"/>
    <n v="1057734.4392846278"/>
    <x v="1464"/>
    <n v="49.24"/>
  </r>
  <r>
    <s v=" 30-11-2021"/>
    <x v="19"/>
    <s v=" Monthly"/>
    <n v="17.38"/>
    <n v="15017745"/>
    <n v="2610084"/>
    <n v="3963490.4199251635"/>
    <n v="1441965.1623364533"/>
    <x v="1465"/>
    <n v="41.18"/>
  </r>
  <r>
    <s v=" 31-12-2021"/>
    <x v="19"/>
    <s v=" Monthly"/>
    <n v="25.59"/>
    <n v="14893195"/>
    <n v="3811169"/>
    <n v="3016105.9259775486"/>
    <n v="1590298.7928523447"/>
    <x v="1466"/>
    <n v="45.24"/>
  </r>
  <r>
    <s v=" 31-01-2022"/>
    <x v="19"/>
    <s v=" Monthly"/>
    <n v="15.85"/>
    <n v="15459542"/>
    <n v="2450337"/>
    <n v="3572650.0777932643"/>
    <n v="1431889.204981148"/>
    <x v="1467"/>
    <n v="41.43"/>
  </r>
  <r>
    <s v=" 28-02-2022"/>
    <x v="19"/>
    <s v=" Monthly"/>
    <n v="33.14"/>
    <n v="14299406"/>
    <n v="4738823"/>
    <n v="2787030.9233379792"/>
    <n v="1114064.7607978135"/>
    <x v="1468"/>
    <n v="48.13"/>
  </r>
  <r>
    <s v=" 31-03-2022"/>
    <x v="19"/>
    <s v=" Monthly"/>
    <n v="22.76"/>
    <n v="14442981"/>
    <n v="3287222"/>
    <n v="4153285.3770013936"/>
    <n v="1378550.4762588446"/>
    <x v="1469"/>
    <n v="41.98"/>
  </r>
  <r>
    <s v=" 30-04-2022"/>
    <x v="19"/>
    <s v=" Monthly"/>
    <n v="27.56"/>
    <n v="14968237"/>
    <n v="4125246"/>
    <n v="3547041.0131004183"/>
    <n v="1392736.4823839304"/>
    <x v="1470"/>
    <n v="46.29"/>
  </r>
  <r>
    <s v=" 31-10-2019"/>
    <x v="20"/>
    <s v=" Monthly"/>
    <n v="5.48"/>
    <n v="146688"/>
    <n v="8039"/>
    <n v="3951784.5039301254"/>
    <n v="1277220.8227735781"/>
    <x v="1471"/>
    <n v="44.06"/>
  </r>
  <r>
    <s v=" 30-11-2019"/>
    <x v="20"/>
    <s v=" Monthly"/>
    <n v="13.11"/>
    <n v="162426"/>
    <n v="21294"/>
    <n v="1191162.6511790375"/>
    <n v="2354960.3945450746"/>
    <x v="1472"/>
    <n v="53.04"/>
  </r>
  <r>
    <s v=" 31-12-2019"/>
    <x v="20"/>
    <s v=" Monthly"/>
    <n v="1"/>
    <n v="161647"/>
    <n v="1616"/>
    <n v="372254.59535371122"/>
    <n v="2398335.6915199952"/>
    <x v="1473"/>
    <n v="46.3"/>
  </r>
  <r>
    <s v=" 30-04-2020"/>
    <x v="20"/>
    <s v=" Monthly"/>
    <n v="0"/>
    <n v="133399"/>
    <n v="0"/>
    <n v="112807.57860611335"/>
    <n v="2384609.9771343679"/>
    <x v="1474"/>
    <n v="37.72"/>
  </r>
  <r>
    <s v=" 30-06-2020"/>
    <x v="20"/>
    <s v=" Monthly"/>
    <n v="5.81"/>
    <n v="141313"/>
    <n v="8210"/>
    <n v="33842.273581834008"/>
    <n v="711498.6950487463"/>
    <x v="1475"/>
    <n v="42.36"/>
  </r>
  <r>
    <s v=" 31-08-2020"/>
    <x v="20"/>
    <s v=" Monthly"/>
    <n v="12.68"/>
    <n v="160503"/>
    <n v="20352"/>
    <n v="15899.682074550203"/>
    <n v="224169.23042329765"/>
    <x v="1476"/>
    <n v="51.82"/>
  </r>
  <r>
    <s v=" 31-10-2020"/>
    <x v="20"/>
    <s v=" Monthly"/>
    <n v="1.37"/>
    <n v="154044"/>
    <n v="2110"/>
    <n v="19016.30462236506"/>
    <n v="66839.07633228162"/>
    <x v="1477"/>
    <n v="43.98"/>
  </r>
  <r>
    <s v=" 30-06-2021"/>
    <x v="20"/>
    <s v=" Monthly"/>
    <n v="0"/>
    <n v="169640"/>
    <n v="0"/>
    <n v="7181.891386709518"/>
    <n v="17913.307156668656"/>
    <x v="1478"/>
    <n v="47.5"/>
  </r>
  <r>
    <s v=" 31-01-2016"/>
    <x v="21"/>
    <s v=" Monthly"/>
    <n v="8.17"/>
    <n v="17782398"/>
    <n v="1452822"/>
    <n v="2154.5674160128551"/>
    <n v="10912.161942590727"/>
    <x v="1479"/>
    <n v="63.34"/>
  </r>
  <r>
    <s v=" 29-02-2016"/>
    <x v="21"/>
    <s v=" Monthly"/>
    <n v="2.6"/>
    <n v="18168328"/>
    <n v="472377"/>
    <n v="1017621.7702248037"/>
    <n v="837610.37136600527"/>
    <x v="1480"/>
    <n v="60.92"/>
  </r>
  <r>
    <s v=" 31-03-2016"/>
    <x v="21"/>
    <s v=" Monthly"/>
    <n v="9.11"/>
    <n v="17700247"/>
    <n v="1612493"/>
    <n v="635950.43106744112"/>
    <n v="894758.7084387996"/>
    <x v="1481"/>
    <n v="63.51"/>
  </r>
  <r>
    <s v=" 30-04-2016"/>
    <x v="21"/>
    <s v=" Monthly"/>
    <n v="11.58"/>
    <n v="17653242"/>
    <n v="2044245"/>
    <n v="1319530.2293202323"/>
    <n v="1057570.0525819741"/>
    <x v="1482"/>
    <n v="65.02"/>
  </r>
  <r>
    <s v=" 31-05-2016"/>
    <x v="21"/>
    <s v=" Monthly"/>
    <n v="9.81"/>
    <n v="18507825"/>
    <n v="1815618"/>
    <n v="1826830.5687960696"/>
    <n v="769445.41656882735"/>
    <x v="1483"/>
    <n v="66.73"/>
  </r>
  <r>
    <s v=" 30-06-2016"/>
    <x v="21"/>
    <s v=" Monthly"/>
    <n v="4.08"/>
    <n v="17158603"/>
    <n v="700071"/>
    <n v="1818981.7706388207"/>
    <n v="702133.08555141138"/>
    <x v="1484"/>
    <n v="58.09"/>
  </r>
  <r>
    <s v=" 31-07-2016"/>
    <x v="21"/>
    <s v=" Monthly"/>
    <n v="3.27"/>
    <n v="17805142"/>
    <n v="582228"/>
    <n v="1035744.2311916462"/>
    <n v="769696.59242933604"/>
    <x v="1485"/>
    <n v="59.69"/>
  </r>
  <r>
    <s v=" 31-08-2016"/>
    <x v="21"/>
    <s v=" Monthly"/>
    <n v="6.17"/>
    <n v="18626660"/>
    <n v="1149265"/>
    <n v="718282.86935749382"/>
    <n v="697080.58030255511"/>
    <x v="1486"/>
    <n v="64.290000000000006"/>
  </r>
  <r>
    <s v=" 30-09-2016"/>
    <x v="21"/>
    <s v=" Monthly"/>
    <n v="19.3"/>
    <n v="17836139"/>
    <n v="3442375"/>
    <n v="1019970.3608072482"/>
    <n v="740131.49316838477"/>
    <x v="1487"/>
    <n v="71.47"/>
  </r>
  <r>
    <s v=" 31-10-2016"/>
    <x v="21"/>
    <s v=" Monthly"/>
    <n v="12.03"/>
    <n v="17155077"/>
    <n v="2063756"/>
    <n v="2715653.6082421746"/>
    <n v="1444468.3918164028"/>
    <x v="1488"/>
    <n v="62.97"/>
  </r>
  <r>
    <s v=" 30-11-2016"/>
    <x v="21"/>
    <s v=" Monthly"/>
    <n v="4.5"/>
    <n v="17644912"/>
    <n v="794021"/>
    <n v="2259325.2824726524"/>
    <n v="1469553.2568944877"/>
    <x v="1489"/>
    <n v="59.58"/>
  </r>
  <r>
    <s v=" 31-12-2016"/>
    <x v="21"/>
    <s v=" Monthly"/>
    <n v="5.47"/>
    <n v="18144210"/>
    <n v="992488"/>
    <n v="1233612.2847417956"/>
    <n v="1677312.4701783236"/>
    <x v="1490"/>
    <n v="61.8"/>
  </r>
  <r>
    <s v=" 31-01-2017"/>
    <x v="21"/>
    <s v=" Monthly"/>
    <n v="12.84"/>
    <n v="18099581"/>
    <n v="2323986"/>
    <n v="1064825.2854225386"/>
    <n v="936345.38722930744"/>
    <x v="1491"/>
    <n v="66.77"/>
  </r>
  <r>
    <s v=" 28-02-2017"/>
    <x v="21"/>
    <s v=" Monthly"/>
    <n v="6.8"/>
    <n v="17377130"/>
    <n v="1181645"/>
    <n v="1946237.7856267616"/>
    <n v="1124091.2279200119"/>
    <x v="1492"/>
    <n v="59.87"/>
  </r>
  <r>
    <s v=" 31-03-2017"/>
    <x v="21"/>
    <s v=" Monthly"/>
    <n v="2.52"/>
    <n v="17849223"/>
    <n v="449800"/>
    <n v="1411022.8356880285"/>
    <n v="861825.34070811141"/>
    <x v="1493"/>
    <n v="58.71"/>
  </r>
  <r>
    <s v=" 30-04-2017"/>
    <x v="21"/>
    <s v=" Monthly"/>
    <n v="6.21"/>
    <n v="17777485"/>
    <n v="1103982"/>
    <n v="738166.8507064085"/>
    <n v="1015551.9308592494"/>
    <x v="1494"/>
    <n v="60.69"/>
  </r>
  <r>
    <s v=" 31-05-2017"/>
    <x v="21"/>
    <s v=" Monthly"/>
    <n v="3.59"/>
    <n v="18229170"/>
    <n v="654427"/>
    <n v="994237.45521192241"/>
    <n v="739903.64037788019"/>
    <x v="1495"/>
    <n v="60.45"/>
  </r>
  <r>
    <s v=" 30-06-2017"/>
    <x v="21"/>
    <s v=" Monthly"/>
    <n v="0.7"/>
    <n v="17385311"/>
    <n v="121697"/>
    <n v="756370.13656357676"/>
    <n v="625364.21621648106"/>
    <x v="1496"/>
    <n v="55.9"/>
  </r>
  <r>
    <s v=" 31-07-2017"/>
    <x v="21"/>
    <s v=" Monthly"/>
    <n v="2.83"/>
    <n v="17402243"/>
    <n v="492483"/>
    <n v="312098.94096907298"/>
    <n v="466226.64702891558"/>
    <x v="1497"/>
    <n v="57.09"/>
  </r>
  <r>
    <s v=" 31-08-2017"/>
    <x v="21"/>
    <s v=" Monthly"/>
    <n v="3.21"/>
    <n v="16681303"/>
    <n v="535470"/>
    <n v="438367.78229072189"/>
    <n v="428493.30780431704"/>
    <x v="1498"/>
    <n v="54.87"/>
  </r>
  <r>
    <s v=" 30-09-2017"/>
    <x v="21"/>
    <s v=" Monthly"/>
    <n v="2.89"/>
    <n v="18198296"/>
    <n v="525931"/>
    <n v="506339.33468721656"/>
    <n v="385044.25707182527"/>
    <x v="1499"/>
    <n v="59.57"/>
  </r>
  <r>
    <s v=" 31-10-2017"/>
    <x v="21"/>
    <s v=" Monthly"/>
    <n v="3.68"/>
    <n v="17015138"/>
    <n v="626157"/>
    <n v="520053.50040616491"/>
    <n v="118815.09834789674"/>
    <x v="1500"/>
    <n v="56.08"/>
  </r>
  <r>
    <s v=" 30-11-2017"/>
    <x v="21"/>
    <s v=" Monthly"/>
    <n v="2.2999999999999998"/>
    <n v="17373818"/>
    <n v="399598"/>
    <n v="594325.95012184943"/>
    <n v="83806.576233306681"/>
    <x v="1501"/>
    <n v="56.37"/>
  </r>
  <r>
    <s v=" 31-12-2017"/>
    <x v="21"/>
    <s v=" Monthly"/>
    <n v="2.12"/>
    <n v="17203829"/>
    <n v="364721"/>
    <n v="458016.38503655477"/>
    <n v="128531.13829528439"/>
    <x v="1502"/>
    <n v="55.64"/>
  </r>
  <r>
    <s v=" 31-01-2018"/>
    <x v="21"/>
    <s v=" Monthly"/>
    <n v="2.2000000000000002"/>
    <n v="17782265"/>
    <n v="391210"/>
    <n v="392709.6155109664"/>
    <n v="138901.5911281982"/>
    <x v="1503"/>
    <n v="57.47"/>
  </r>
  <r>
    <s v=" 28-02-2018"/>
    <x v="21"/>
    <s v=" Monthly"/>
    <n v="2.2400000000000002"/>
    <n v="16418900"/>
    <n v="367783"/>
    <n v="391659.88465328992"/>
    <n v="124666.55829913814"/>
    <x v="1504"/>
    <n v="53.02"/>
  </r>
  <r>
    <s v=" 31-03-2018"/>
    <x v="21"/>
    <s v=" Monthly"/>
    <n v="2.56"/>
    <n v="16873055"/>
    <n v="431950"/>
    <n v="374946.06539598695"/>
    <n v="55606.904057398751"/>
    <x v="1505"/>
    <n v="54.58"/>
  </r>
  <r>
    <s v=" 30-04-2018"/>
    <x v="21"/>
    <s v=" Monthly"/>
    <n v="1.39"/>
    <n v="17222000"/>
    <n v="239386"/>
    <n v="414848.81961879611"/>
    <n v="35692.216834887309"/>
    <x v="1506"/>
    <n v="54.97"/>
  </r>
  <r>
    <s v=" 31-05-2018"/>
    <x v="21"/>
    <s v=" Monthly"/>
    <n v="1.82"/>
    <n v="17536067"/>
    <n v="319156"/>
    <n v="292024.84588563885"/>
    <n v="107403.84110087078"/>
    <x v="1507"/>
    <n v="56.14"/>
  </r>
  <r>
    <s v=" 30-06-2018"/>
    <x v="21"/>
    <s v=" Monthly"/>
    <n v="1.34"/>
    <n v="16384171"/>
    <n v="219548"/>
    <n v="311016.65376569162"/>
    <n v="107661.11825614977"/>
    <x v="1508"/>
    <n v="52.12"/>
  </r>
  <r>
    <s v=" 31-07-2018"/>
    <x v="21"/>
    <s v=" Monthly"/>
    <n v="2.2000000000000002"/>
    <n v="16728240"/>
    <n v="368021"/>
    <n v="246988.59612970747"/>
    <n v="115310.90612464976"/>
    <x v="1509"/>
    <n v="53.61"/>
  </r>
  <r>
    <s v=" 31-08-2018"/>
    <x v="21"/>
    <s v=" Monthly"/>
    <n v="1.17"/>
    <n v="16376394"/>
    <n v="191604"/>
    <n v="331711.2788389122"/>
    <n v="88978.381141913327"/>
    <x v="1510"/>
    <n v="51.86"/>
  </r>
  <r>
    <s v=" 30-09-2018"/>
    <x v="21"/>
    <s v=" Monthly"/>
    <n v="1.8"/>
    <n v="16274296"/>
    <n v="292937"/>
    <n v="233636.18365167367"/>
    <n v="119227.24379935747"/>
    <x v="1511"/>
    <n v="51.79"/>
  </r>
  <r>
    <s v=" 31-10-2018"/>
    <x v="21"/>
    <s v=" Monthly"/>
    <n v="0.64"/>
    <n v="16108818"/>
    <n v="103096"/>
    <n v="275146.75509550207"/>
    <n v="112243.00897285946"/>
    <x v="1512"/>
    <n v="50.59"/>
  </r>
  <r>
    <s v=" 30-11-2018"/>
    <x v="21"/>
    <s v=" Monthly"/>
    <n v="2.59"/>
    <n v="16850621"/>
    <n v="436431"/>
    <n v="154711.22652865062"/>
    <n v="132599.77216188953"/>
    <x v="1513"/>
    <n v="53.91"/>
  </r>
  <r>
    <s v=" 31-12-2018"/>
    <x v="21"/>
    <s v=" Monthly"/>
    <n v="1.29"/>
    <n v="15440928"/>
    <n v="199188"/>
    <n v="351915.06795859511"/>
    <n v="193635.46499652276"/>
    <x v="1514"/>
    <n v="48.68"/>
  </r>
  <r>
    <s v=" 31-01-2019"/>
    <x v="21"/>
    <s v=" Monthly"/>
    <n v="2.67"/>
    <n v="15510576"/>
    <n v="414132"/>
    <n v="245006.1203875785"/>
    <n v="209994.4843568597"/>
    <x v="1515"/>
    <n v="49.52"/>
  </r>
  <r>
    <s v=" 28-02-2019"/>
    <x v="21"/>
    <s v=" Monthly"/>
    <n v="1.68"/>
    <n v="15640955"/>
    <n v="262768"/>
    <n v="363394.2361162735"/>
    <n v="209200.98088254195"/>
    <x v="1516"/>
    <n v="49.36"/>
  </r>
  <r>
    <s v=" 31-03-2019"/>
    <x v="21"/>
    <s v=" Monthly"/>
    <n v="1.21"/>
    <n v="16405972"/>
    <n v="198512"/>
    <n v="292955.87083488202"/>
    <n v="143822.5293394984"/>
    <x v="1517"/>
    <n v="51.46"/>
  </r>
  <r>
    <s v=" 30-04-2019"/>
    <x v="21"/>
    <s v=" Monthly"/>
    <n v="0.56999999999999995"/>
    <n v="15355003"/>
    <n v="87524"/>
    <n v="226845.16125046462"/>
    <n v="126027.57276072459"/>
    <x v="1518"/>
    <n v="47.78"/>
  </r>
  <r>
    <s v=" 31-05-2019"/>
    <x v="21"/>
    <s v=" Monthly"/>
    <n v="0.97"/>
    <n v="15844690"/>
    <n v="153693"/>
    <n v="129320.34837513938"/>
    <n v="113219.06509856878"/>
    <x v="1519"/>
    <n v="49.44"/>
  </r>
  <r>
    <s v=" 30-06-2019"/>
    <x v="21"/>
    <s v=" Monthly"/>
    <n v="0.92"/>
    <n v="16375303"/>
    <n v="150653"/>
    <n v="146381.20451254179"/>
    <n v="98190.387950621487"/>
    <x v="1520"/>
    <n v="50.99"/>
  </r>
  <r>
    <s v=" 31-07-2019"/>
    <x v="21"/>
    <s v=" Monthly"/>
    <n v="6.01"/>
    <n v="16455940"/>
    <n v="989002"/>
    <n v="149371.46135376254"/>
    <n v="81695.900256360183"/>
    <x v="1521"/>
    <n v="53.94"/>
  </r>
  <r>
    <s v=" 31-08-2019"/>
    <x v="21"/>
    <s v=" Monthly"/>
    <n v="2.91"/>
    <n v="16463934"/>
    <n v="479100"/>
    <n v="737112.83840612869"/>
    <n v="484971.37915939064"/>
    <x v="1522"/>
    <n v="52.17"/>
  </r>
  <r>
    <s v=" 30-09-2019"/>
    <x v="21"/>
    <s v=" Monthly"/>
    <n v="1.74"/>
    <n v="15062612"/>
    <n v="262089"/>
    <n v="556503.85152183857"/>
    <n v="507138.48024855583"/>
    <x v="1523"/>
    <n v="47.1"/>
  </r>
  <r>
    <s v=" 31-10-2019"/>
    <x v="21"/>
    <s v=" Monthly"/>
    <n v="1.46"/>
    <n v="15595650"/>
    <n v="227696"/>
    <n v="350413.45545655151"/>
    <n v="534861.40603785834"/>
    <x v="1524"/>
    <n v="48.55"/>
  </r>
  <r>
    <s v=" 30-11-2019"/>
    <x v="21"/>
    <s v=" Monthly"/>
    <n v="2.46"/>
    <n v="16223432"/>
    <n v="399096"/>
    <n v="264511.23663696542"/>
    <n v="236861.63573750819"/>
    <x v="1525"/>
    <n v="50.95"/>
  </r>
  <r>
    <s v=" 31-12-2019"/>
    <x v="21"/>
    <s v=" Monthly"/>
    <n v="3.73"/>
    <n v="15356936"/>
    <n v="572814"/>
    <n v="358720.57099108957"/>
    <n v="199877.24332686549"/>
    <x v="1526"/>
    <n v="48.8"/>
  </r>
  <r>
    <s v=" 31-01-2020"/>
    <x v="21"/>
    <s v=" Monthly"/>
    <n v="1.18"/>
    <n v="14954646"/>
    <n v="176465"/>
    <n v="508585.97129732685"/>
    <n v="162284.34792878013"/>
    <x v="1527"/>
    <n v="46.23"/>
  </r>
  <r>
    <s v=" 29-02-2020"/>
    <x v="21"/>
    <s v=" Monthly"/>
    <n v="1.17"/>
    <n v="15828488"/>
    <n v="185193"/>
    <n v="276101.29138919804"/>
    <n v="241007.18830895011"/>
    <x v="1528"/>
    <n v="48.86"/>
  </r>
  <r>
    <s v=" 31-03-2020"/>
    <x v="21"/>
    <s v=" Monthly"/>
    <n v="6.36"/>
    <n v="15848590"/>
    <n v="1007970"/>
    <n v="212465.4874167594"/>
    <n v="234097.31122162033"/>
    <x v="1529"/>
    <n v="51.56"/>
  </r>
  <r>
    <s v=" 30-04-2020"/>
    <x v="21"/>
    <s v=" Monthly"/>
    <n v="53.19"/>
    <n v="5086200"/>
    <n v="2705350"/>
    <n v="769318.64622502786"/>
    <n v="500465.14582572167"/>
    <x v="1530"/>
    <n v="33.049999999999997"/>
  </r>
  <r>
    <s v=" 31-05-2020"/>
    <x v="21"/>
    <s v=" Monthly"/>
    <n v="39.08"/>
    <n v="5749335"/>
    <n v="2246840"/>
    <n v="2124540.5938675082"/>
    <n v="1209587.9670068584"/>
    <x v="1531"/>
    <n v="28.67"/>
  </r>
  <r>
    <s v=" 30-06-2020"/>
    <x v="21"/>
    <s v=" Monthly"/>
    <n v="1.31"/>
    <n v="11087685"/>
    <n v="145249"/>
    <n v="2210150.1781602525"/>
    <n v="1210509.8068004807"/>
    <x v="1532"/>
    <n v="34.08"/>
  </r>
  <r>
    <s v=" 31-07-2020"/>
    <x v="21"/>
    <s v=" Monthly"/>
    <n v="4.53"/>
    <n v="14175868"/>
    <n v="642167"/>
    <n v="764719.35344807571"/>
    <n v="1635745.6427276738"/>
    <x v="1533"/>
    <n v="44.97"/>
  </r>
  <r>
    <s v=" 31-08-2020"/>
    <x v="21"/>
    <s v=" Monthly"/>
    <n v="1.8"/>
    <n v="14442862"/>
    <n v="259972"/>
    <n v="678932.70603442262"/>
    <n v="1196354.6157172103"/>
    <x v="1534"/>
    <n v="44.48"/>
  </r>
  <r>
    <s v=" 30-09-2020"/>
    <x v="21"/>
    <s v=" Monthly"/>
    <n v="6.44"/>
    <n v="12531831"/>
    <n v="807050"/>
    <n v="385660.21181032679"/>
    <n v="1218518.7767810724"/>
    <x v="1535"/>
    <n v="40.450000000000003"/>
  </r>
  <r>
    <s v=" 31-10-2020"/>
    <x v="21"/>
    <s v=" Monthly"/>
    <n v="1.04"/>
    <n v="13038797"/>
    <n v="135603"/>
    <n v="680633.06354309805"/>
    <n v="350293.45132667536"/>
    <x v="1536"/>
    <n v="39.74"/>
  </r>
  <r>
    <s v=" 30-11-2020"/>
    <x v="21"/>
    <s v=" Monthly"/>
    <n v="1.6"/>
    <n v="14028335"/>
    <n v="224453"/>
    <n v="299112.01906292938"/>
    <n v="465530.23423375096"/>
    <x v="1537"/>
    <n v="42.93"/>
  </r>
  <r>
    <s v=" 31-12-2020"/>
    <x v="21"/>
    <s v=" Monthly"/>
    <n v="0.97"/>
    <n v="13482287"/>
    <n v="130778"/>
    <n v="246850.70571887877"/>
    <n v="400083.7799277255"/>
    <x v="1538"/>
    <n v="40.94"/>
  </r>
  <r>
    <s v=" 31-01-2021"/>
    <x v="21"/>
    <s v=" Monthly"/>
    <n v="3.19"/>
    <n v="12662498"/>
    <n v="403934"/>
    <n v="165599.81171566361"/>
    <n v="324604.68897113088"/>
    <x v="1539"/>
    <n v="39.28"/>
  </r>
  <r>
    <s v=" 28-02-2021"/>
    <x v="21"/>
    <s v=" Monthly"/>
    <n v="2.7"/>
    <n v="13043798"/>
    <n v="352183"/>
    <n v="332433.74351469905"/>
    <n v="159007.36612443859"/>
    <x v="1540"/>
    <n v="40.200000000000003"/>
  </r>
  <r>
    <s v=" 31-03-2021"/>
    <x v="21"/>
    <s v=" Monthly"/>
    <n v="2.72"/>
    <n v="14192854"/>
    <n v="386046"/>
    <n v="346258.22305440967"/>
    <n v="153477.56779605409"/>
    <x v="1541"/>
    <n v="43.69"/>
  </r>
  <r>
    <s v=" 30-04-2021"/>
    <x v="21"/>
    <s v=" Monthly"/>
    <n v="1.46"/>
    <n v="13456380"/>
    <n v="196463"/>
    <n v="374109.66691632289"/>
    <n v="139971.76576146556"/>
    <x v="1542"/>
    <n v="40.83"/>
  </r>
  <r>
    <s v=" 31-05-2021"/>
    <x v="21"/>
    <s v=" Monthly"/>
    <n v="29.82"/>
    <n v="7602435"/>
    <n v="2267046"/>
    <n v="249757.00007489685"/>
    <n v="105722.02323778652"/>
    <x v="1543"/>
    <n v="32.340000000000003"/>
  </r>
  <r>
    <s v=" 30-06-2021"/>
    <x v="21"/>
    <s v=" Monthly"/>
    <n v="3.59"/>
    <n v="10707331"/>
    <n v="384393"/>
    <n v="1661859.3000224689"/>
    <n v="1169415.283333167"/>
    <x v="1544"/>
    <n v="33.119999999999997"/>
  </r>
  <r>
    <s v=" 31-07-2021"/>
    <x v="21"/>
    <s v=" Monthly"/>
    <n v="4.2300000000000004"/>
    <n v="14089239"/>
    <n v="595975"/>
    <n v="767632.89000674058"/>
    <n v="1382381.2058881584"/>
    <x v="1545"/>
    <n v="43.8"/>
  </r>
  <r>
    <s v=" 31-08-2021"/>
    <x v="21"/>
    <s v=" Monthly"/>
    <n v="5.05"/>
    <n v="13017311"/>
    <n v="657374"/>
    <n v="647472.36700202222"/>
    <n v="1382128.9722879801"/>
    <x v="1546"/>
    <n v="40.76"/>
  </r>
  <r>
    <s v=" 30-09-2021"/>
    <x v="21"/>
    <s v=" Monthly"/>
    <n v="6.81"/>
    <n v="11791783"/>
    <n v="803020"/>
    <n v="654403.5101006066"/>
    <n v="744196.34981427877"/>
    <x v="1547"/>
    <n v="37.57"/>
  </r>
  <r>
    <s v=" 31-10-2021"/>
    <x v="21"/>
    <s v=" Monthly"/>
    <n v="2.93"/>
    <n v="12421674"/>
    <n v="363955"/>
    <n v="758435.05303018191"/>
    <n v="131213.99138761763"/>
    <x v="1548"/>
    <n v="37.94"/>
  </r>
  <r>
    <s v=" 30-11-2021"/>
    <x v="21"/>
    <s v=" Monthly"/>
    <n v="3.81"/>
    <n v="13850256"/>
    <n v="527695"/>
    <n v="482299.01590905455"/>
    <n v="243447.06176411215"/>
    <x v="1549"/>
    <n v="42.63"/>
  </r>
  <r>
    <s v=" 31-12-2021"/>
    <x v="21"/>
    <s v=" Monthly"/>
    <n v="7.78"/>
    <n v="12530303"/>
    <n v="974858"/>
    <n v="514076.20477271639"/>
    <n v="244787.09707301226"/>
    <x v="1550"/>
    <n v="40.17"/>
  </r>
  <r>
    <s v=" 31-01-2022"/>
    <x v="21"/>
    <s v=" Monthly"/>
    <n v="5.8"/>
    <n v="12302972"/>
    <n v="713572"/>
    <n v="836623.46143181482"/>
    <n v="351186.16640520777"/>
    <x v="1551"/>
    <n v="38.549999999999997"/>
  </r>
  <r>
    <s v=" 28-02-2022"/>
    <x v="21"/>
    <s v=" Monthly"/>
    <n v="0.82"/>
    <n v="12112371"/>
    <n v="99321"/>
    <n v="750487.43842954445"/>
    <n v="276599.78328803822"/>
    <x v="1552"/>
    <n v="36"/>
  </r>
  <r>
    <s v=" 31-03-2022"/>
    <x v="21"/>
    <s v=" Monthly"/>
    <n v="3.89"/>
    <n v="13558345"/>
    <n v="527420"/>
    <n v="294670.93152886332"/>
    <n v="466004.02555857867"/>
    <x v="1553"/>
    <n v="41.53"/>
  </r>
  <r>
    <s v=" 30-04-2022"/>
    <x v="21"/>
    <s v=" Monthly"/>
    <n v="3.54"/>
    <n v="12054760"/>
    <n v="426739"/>
    <n v="457595.279458659"/>
    <n v="405516.75738975534"/>
    <x v="1554"/>
    <n v="36.729999999999997"/>
  </r>
  <r>
    <s v=" 31-01-2016"/>
    <x v="22"/>
    <s v=" Monthly"/>
    <n v="5.71"/>
    <n v="12840058"/>
    <n v="733167"/>
    <n v="435995.88383759768"/>
    <n v="399642.32733501028"/>
    <x v="1555"/>
    <n v="79.13"/>
  </r>
  <r>
    <s v=" 29-02-2016"/>
    <x v="22"/>
    <s v=" Monthly"/>
    <n v="2.38"/>
    <n v="11597906"/>
    <n v="276030"/>
    <n v="644015.6651512793"/>
    <n v="218658.72277548618"/>
    <x v="1556"/>
    <n v="68.94"/>
  </r>
  <r>
    <s v=" 31-03-2016"/>
    <x v="22"/>
    <s v=" Monthly"/>
    <n v="3.17"/>
    <n v="10829463"/>
    <n v="343294"/>
    <n v="386425.6995453838"/>
    <n v="273664.16890053911"/>
    <x v="1557"/>
    <n v="64.790000000000006"/>
  </r>
  <r>
    <s v=" 30-04-2016"/>
    <x v="22"/>
    <s v=" Monthly"/>
    <n v="5.03"/>
    <n v="11987505"/>
    <n v="602972"/>
    <n v="356233.50986361515"/>
    <n v="274216.74246461241"/>
    <x v="1558"/>
    <n v="73.010000000000005"/>
  </r>
  <r>
    <s v=" 31-05-2016"/>
    <x v="22"/>
    <s v=" Monthly"/>
    <n v="3.83"/>
    <n v="11461146"/>
    <n v="438962"/>
    <n v="528950.45295908453"/>
    <n v="257004.32926138656"/>
    <x v="1559"/>
    <n v="68.83"/>
  </r>
  <r>
    <s v=" 30-06-2016"/>
    <x v="22"/>
    <s v=" Monthly"/>
    <n v="7.61"/>
    <n v="8798470"/>
    <n v="669564"/>
    <n v="465958.5358877253"/>
    <n v="153664.2960985901"/>
    <x v="1560"/>
    <n v="54.91"/>
  </r>
  <r>
    <s v=" 31-07-2016"/>
    <x v="22"/>
    <s v=" Monthly"/>
    <n v="2.74"/>
    <n v="9121167"/>
    <n v="249920"/>
    <n v="608482.36076631758"/>
    <n v="191861.92013800537"/>
    <x v="1561"/>
    <n v="53.99"/>
  </r>
  <r>
    <s v=" 31-08-2016"/>
    <x v="22"/>
    <s v=" Monthly"/>
    <n v="2.76"/>
    <n v="11910609"/>
    <n v="328733"/>
    <n v="357488.70822989527"/>
    <n v="243666.48876463572"/>
    <x v="1562"/>
    <n v="70.41"/>
  </r>
  <r>
    <s v=" 30-09-2016"/>
    <x v="22"/>
    <s v=" Monthly"/>
    <n v="1.86"/>
    <n v="10743204"/>
    <n v="199824"/>
    <n v="337359.71246896859"/>
    <n v="238641.32244192506"/>
    <x v="1563"/>
    <n v="62.83"/>
  </r>
  <r>
    <s v=" 31-10-2016"/>
    <x v="22"/>
    <s v=" Monthly"/>
    <n v="6.48"/>
    <n v="10309634"/>
    <n v="668064"/>
    <n v="241084.71374069055"/>
    <n v="222343.52514256292"/>
    <x v="1564"/>
    <n v="63.17"/>
  </r>
  <r>
    <s v=" 30-11-2016"/>
    <x v="22"/>
    <s v=" Monthly"/>
    <n v="4.38"/>
    <n v="11040798"/>
    <n v="483587"/>
    <n v="539970.21412220714"/>
    <n v="259521.53016314399"/>
    <x v="1565"/>
    <n v="66.069999999999993"/>
  </r>
  <r>
    <s v=" 31-12-2016"/>
    <x v="22"/>
    <s v=" Monthly"/>
    <n v="2.5"/>
    <n v="12635254"/>
    <n v="315881"/>
    <n v="500501.96423666214"/>
    <n v="261027.7443322879"/>
    <x v="1566"/>
    <n v="74.03"/>
  </r>
  <r>
    <s v=" 31-01-2017"/>
    <x v="22"/>
    <s v=" Monthly"/>
    <n v="1.94"/>
    <n v="9931079"/>
    <n v="192663"/>
    <n v="371267.28927099862"/>
    <n v="270539.75565212523"/>
    <x v="1567"/>
    <n v="57.76"/>
  </r>
  <r>
    <s v=" 28-02-2017"/>
    <x v="22"/>
    <s v=" Monthly"/>
    <n v="15.8"/>
    <n v="9234905"/>
    <n v="1459115"/>
    <n v="246244.28678129957"/>
    <n v="151837.03919709896"/>
    <x v="1568"/>
    <n v="62.47"/>
  </r>
  <r>
    <s v=" 31-03-2017"/>
    <x v="22"/>
    <s v=" Monthly"/>
    <n v="4.99"/>
    <n v="12364421"/>
    <n v="616985"/>
    <n v="1095253.7860343899"/>
    <n v="715783.89652308519"/>
    <x v="1569"/>
    <n v="74"/>
  </r>
  <r>
    <s v=" 30-04-2017"/>
    <x v="22"/>
    <s v=" Monthly"/>
    <n v="2.12"/>
    <n v="11545305"/>
    <n v="244760"/>
    <n v="760465.63581031701"/>
    <n v="759757.83221244172"/>
    <x v="1570"/>
    <n v="66.97"/>
  </r>
  <r>
    <s v=" 31-05-2017"/>
    <x v="22"/>
    <s v=" Monthly"/>
    <n v="1.77"/>
    <n v="9587156"/>
    <n v="169693"/>
    <n v="399471.69074309513"/>
    <n v="809474.87123545539"/>
    <x v="1571"/>
    <n v="55.33"/>
  </r>
  <r>
    <s v=" 30-06-2017"/>
    <x v="22"/>
    <s v=" Monthly"/>
    <n v="14.7"/>
    <n v="9216543"/>
    <n v="1354832"/>
    <n v="238626.60722292852"/>
    <n v="427196.90277472098"/>
    <x v="1572"/>
    <n v="61.16"/>
  </r>
  <r>
    <s v=" 31-07-2017"/>
    <x v="22"/>
    <s v=" Monthly"/>
    <n v="4.24"/>
    <n v="9624337"/>
    <n v="408072"/>
    <n v="1019970.3821668784"/>
    <n v="722187.6552971421"/>
    <x v="1573"/>
    <n v="56.8"/>
  </r>
  <r>
    <s v=" 31-08-2017"/>
    <x v="22"/>
    <s v=" Monthly"/>
    <n v="1.1000000000000001"/>
    <n v="11190443"/>
    <n v="123095"/>
    <n v="591641.51465006347"/>
    <n v="746800.36504246364"/>
    <x v="1574"/>
    <n v="63.84"/>
  </r>
  <r>
    <s v=" 30-09-2017"/>
    <x v="22"/>
    <s v=" Monthly"/>
    <n v="1.86"/>
    <n v="9158081"/>
    <n v="170340"/>
    <n v="263658.95439501904"/>
    <n v="783128.33034222061"/>
    <x v="1575"/>
    <n v="52.57"/>
  </r>
  <r>
    <s v=" 31-10-2017"/>
    <x v="22"/>
    <s v=" Monthly"/>
    <n v="4.76"/>
    <n v="8619970"/>
    <n v="410311"/>
    <n v="198335.6863185057"/>
    <n v="448205.27058426588"/>
    <x v="1576"/>
    <n v="50.91"/>
  </r>
  <r>
    <s v=" 30-11-2017"/>
    <x v="22"/>
    <s v=" Monthly"/>
    <n v="1.79"/>
    <n v="11943007"/>
    <n v="213780"/>
    <n v="346718.40589555167"/>
    <n v="301760.27861558675"/>
    <x v="1577"/>
    <n v="68.290000000000006"/>
  </r>
  <r>
    <s v=" 31-12-2017"/>
    <x v="22"/>
    <s v=" Monthly"/>
    <n v="1.19"/>
    <n v="12162503"/>
    <n v="144734"/>
    <n v="253661.52176866549"/>
    <n v="154180.1766568344"/>
    <x v="1578"/>
    <n v="69.02"/>
  </r>
  <r>
    <s v=" 31-01-2018"/>
    <x v="22"/>
    <s v=" Monthly"/>
    <n v="4.62"/>
    <n v="9462240"/>
    <n v="437155"/>
    <n v="177412.25653059964"/>
    <n v="157555.66039877405"/>
    <x v="1579"/>
    <n v="55.54"/>
  </r>
  <r>
    <s v=" 28-02-2018"/>
    <x v="22"/>
    <s v=" Monthly"/>
    <n v="2.54"/>
    <n v="9609707"/>
    <n v="244087"/>
    <n v="359232.17695917987"/>
    <n v="179818.53588708467"/>
    <x v="1580"/>
    <n v="55.12"/>
  </r>
  <r>
    <s v=" 31-03-2018"/>
    <x v="22"/>
    <s v=" Monthly"/>
    <n v="3.6"/>
    <n v="10569654"/>
    <n v="380508"/>
    <n v="278630.55308775394"/>
    <n v="175679.54686553078"/>
    <x v="1581"/>
    <n v="61.2"/>
  </r>
  <r>
    <s v=" 30-04-2018"/>
    <x v="22"/>
    <s v=" Monthly"/>
    <n v="0.65"/>
    <n v="9325887"/>
    <n v="60618"/>
    <n v="349944.76592632616"/>
    <n v="174263.89829922613"/>
    <x v="1582"/>
    <n v="52.31"/>
  </r>
  <r>
    <s v=" 31-05-2018"/>
    <x v="22"/>
    <s v=" Monthly"/>
    <n v="0.94"/>
    <n v="9063618"/>
    <n v="85198"/>
    <n v="147416.02977789784"/>
    <n v="189162.54337447949"/>
    <x v="1583"/>
    <n v="50.91"/>
  </r>
  <r>
    <s v=" 30-06-2018"/>
    <x v="22"/>
    <s v=" Monthly"/>
    <n v="1.32"/>
    <n v="9545297"/>
    <n v="125998"/>
    <n v="103863.40893336936"/>
    <n v="180702.40258519718"/>
    <x v="1584"/>
    <n v="53.74"/>
  </r>
  <r>
    <s v=" 31-07-2018"/>
    <x v="22"/>
    <s v=" Monthly"/>
    <n v="0.27"/>
    <n v="11187838"/>
    <n v="30207"/>
    <n v="119357.6226800108"/>
    <n v="171338.84637613804"/>
    <x v="1585"/>
    <n v="62.23"/>
  </r>
  <r>
    <s v=" 31-08-2018"/>
    <x v="22"/>
    <s v=" Monthly"/>
    <n v="0.21"/>
    <n v="10444826"/>
    <n v="21934"/>
    <n v="56952.186804003242"/>
    <n v="64054.291751513432"/>
    <x v="1586"/>
    <n v="57.96"/>
  </r>
  <r>
    <s v=" 30-09-2018"/>
    <x v="22"/>
    <s v=" Monthly"/>
    <n v="0.62"/>
    <n v="10833856"/>
    <n v="67170"/>
    <n v="32439.456041200971"/>
    <n v="56756.929247921464"/>
    <x v="1587"/>
    <n v="60.28"/>
  </r>
  <r>
    <s v=" 31-10-2018"/>
    <x v="22"/>
    <s v=" Monthly"/>
    <n v="1.22"/>
    <n v="8902682"/>
    <n v="108613"/>
    <n v="56750.836812360292"/>
    <n v="58822.664608544088"/>
    <x v="1588"/>
    <n v="49.76"/>
  </r>
  <r>
    <s v=" 30-11-2018"/>
    <x v="22"/>
    <s v=" Monthly"/>
    <n v="0.41"/>
    <n v="11422038"/>
    <n v="46830"/>
    <n v="93054.351043708069"/>
    <n v="41320.568168147242"/>
    <x v="1589"/>
    <n v="63.22"/>
  </r>
  <r>
    <s v=" 31-12-2018"/>
    <x v="22"/>
    <s v=" Monthly"/>
    <n v="0.21"/>
    <n v="9676854"/>
    <n v="20321"/>
    <n v="60697.305313112418"/>
    <n v="44842.633299080459"/>
    <x v="1590"/>
    <n v="53.37"/>
  </r>
  <r>
    <s v=" 31-01-2019"/>
    <x v="22"/>
    <s v=" Monthly"/>
    <n v="3.01"/>
    <n v="10749055"/>
    <n v="323547"/>
    <n v="32433.891593933724"/>
    <n v="46391.883739331664"/>
    <x v="1591"/>
    <n v="60.9"/>
  </r>
  <r>
    <s v=" 28-02-2019"/>
    <x v="22"/>
    <s v=" Monthly"/>
    <n v="2.14"/>
    <n v="9965875"/>
    <n v="213270"/>
    <n v="236213.06747818011"/>
    <n v="171769.0101521922"/>
    <x v="1592"/>
    <n v="55.88"/>
  </r>
  <r>
    <s v=" 31-03-2019"/>
    <x v="22"/>
    <s v=" Monthly"/>
    <n v="2.33"/>
    <n v="11244921"/>
    <n v="262007"/>
    <n v="220152.92024345405"/>
    <n v="170199.36570767831"/>
    <x v="1593"/>
    <n v="63.07"/>
  </r>
  <r>
    <s v=" 30-04-2019"/>
    <x v="22"/>
    <s v=" Monthly"/>
    <n v="1.86"/>
    <n v="9642129"/>
    <n v="179344"/>
    <n v="249450.77607303619"/>
    <n v="170318.31984396913"/>
    <x v="1594"/>
    <n v="53.74"/>
  </r>
  <r>
    <s v=" 31-05-2019"/>
    <x v="22"/>
    <s v=" Monthly"/>
    <n v="2.23"/>
    <n v="11053352"/>
    <n v="246490"/>
    <n v="200376.03282191086"/>
    <n v="48966.343505617799"/>
    <x v="1595"/>
    <n v="61.74"/>
  </r>
  <r>
    <s v=" 30-06-2019"/>
    <x v="22"/>
    <s v=" Monthly"/>
    <n v="5.92"/>
    <n v="10728821"/>
    <n v="635146"/>
    <n v="232655.80984657325"/>
    <n v="54139.39419844553"/>
    <x v="1596"/>
    <n v="62.19"/>
  </r>
  <r>
    <s v=" 31-07-2019"/>
    <x v="22"/>
    <s v=" Monthly"/>
    <n v="2.4500000000000002"/>
    <n v="11538688"/>
    <n v="282698"/>
    <n v="514398.94295397191"/>
    <n v="237374.39569169932"/>
    <x v="1597"/>
    <n v="64.400000000000006"/>
  </r>
  <r>
    <s v=" 31-08-2019"/>
    <x v="22"/>
    <s v=" Monthly"/>
    <n v="1.4"/>
    <n v="10743961"/>
    <n v="150415"/>
    <n v="352208.2828861915"/>
    <n v="269450.16738066386"/>
    <x v="1598"/>
    <n v="59.23"/>
  </r>
  <r>
    <s v=" 30-09-2019"/>
    <x v="22"/>
    <s v=" Monthly"/>
    <n v="4.13"/>
    <n v="11415308"/>
    <n v="471452"/>
    <n v="210952.98486585746"/>
    <n v="292349.2256152379"/>
    <x v="1599"/>
    <n v="64.62"/>
  </r>
  <r>
    <s v=" 31-10-2019"/>
    <x v="22"/>
    <s v=" Monthly"/>
    <n v="7.29"/>
    <n v="11375348"/>
    <n v="829263"/>
    <n v="393302.29545975721"/>
    <n v="232569.41105084054"/>
    <x v="1600"/>
    <n v="66.489999999999995"/>
  </r>
  <r>
    <s v=" 30-11-2019"/>
    <x v="22"/>
    <s v=" Monthly"/>
    <n v="6.47"/>
    <n v="11265831"/>
    <n v="728899"/>
    <n v="698474.78863792715"/>
    <n v="315511.22632275679"/>
    <x v="1601"/>
    <n v="65.17"/>
  </r>
  <r>
    <s v=" 31-12-2019"/>
    <x v="22"/>
    <s v=" Monthly"/>
    <n v="1.35"/>
    <n v="11068057"/>
    <n v="149419"/>
    <n v="719771.73659137811"/>
    <n v="293738.60569452291"/>
    <x v="1602"/>
    <n v="60.61"/>
  </r>
  <r>
    <s v=" 31-01-2020"/>
    <x v="22"/>
    <s v=" Monthly"/>
    <n v="5.0199999999999996"/>
    <n v="12065915"/>
    <n v="605709"/>
    <n v="320524.82097741344"/>
    <n v="414845.1971026875"/>
    <x v="1603"/>
    <n v="68.510000000000005"/>
  </r>
  <r>
    <s v=" 29-02-2020"/>
    <x v="22"/>
    <s v=" Monthly"/>
    <n v="9.02"/>
    <n v="11304474"/>
    <n v="1019664"/>
    <n v="520153.74629322405"/>
    <n v="368581.91886339401"/>
    <x v="1604"/>
    <n v="66.92"/>
  </r>
  <r>
    <s v=" 31-03-2020"/>
    <x v="22"/>
    <s v=" Monthly"/>
    <n v="5.63"/>
    <n v="12028377"/>
    <n v="677198"/>
    <n v="869810.92388796713"/>
    <n v="467668.95473196579"/>
    <x v="1605"/>
    <n v="68.53"/>
  </r>
  <r>
    <s v=" 30-04-2020"/>
    <x v="22"/>
    <s v=" Monthly"/>
    <n v="4.51"/>
    <n v="8793799"/>
    <n v="396600"/>
    <n v="734981.87716639007"/>
    <n v="350209.57914353046"/>
    <x v="1606"/>
    <n v="49.44"/>
  </r>
  <r>
    <s v=" 31-05-2020"/>
    <x v="22"/>
    <s v=" Monthly"/>
    <n v="11.64"/>
    <n v="10648640"/>
    <n v="1239502"/>
    <n v="498114.56314991706"/>
    <n v="365655.81576191267"/>
    <x v="1607"/>
    <n v="64.599999999999994"/>
  </r>
  <r>
    <s v=" 30-06-2020"/>
    <x v="22"/>
    <s v=" Monthly"/>
    <n v="12.03"/>
    <n v="10514681"/>
    <n v="1264916"/>
    <n v="1017085.768944975"/>
    <n v="483479.52895734808"/>
    <x v="1608"/>
    <n v="63.97"/>
  </r>
  <r>
    <s v=" 31-07-2020"/>
    <x v="22"/>
    <s v=" Monthly"/>
    <n v="6.67"/>
    <n v="10693699"/>
    <n v="713270"/>
    <n v="1190566.9306834925"/>
    <n v="491791.77495445934"/>
    <x v="1609"/>
    <n v="61.22"/>
  </r>
  <r>
    <s v=" 31-08-2020"/>
    <x v="22"/>
    <s v=" Monthly"/>
    <n v="7.02"/>
    <n v="13608389"/>
    <n v="955309"/>
    <n v="856459.07920504769"/>
    <n v="528799.74627572251"/>
    <x v="1610"/>
    <n v="78.08"/>
  </r>
  <r>
    <s v=" 30-09-2020"/>
    <x v="22"/>
    <s v=" Monthly"/>
    <n v="4.1100000000000003"/>
    <n v="11469409"/>
    <n v="471393"/>
    <n v="925654.02376151423"/>
    <n v="315702.12242230173"/>
    <x v="1611"/>
    <n v="63.72"/>
  </r>
  <r>
    <s v=" 31-10-2020"/>
    <x v="22"/>
    <s v=" Monthly"/>
    <n v="2.5299999999999998"/>
    <n v="12262259"/>
    <n v="310235"/>
    <n v="607671.30712845421"/>
    <n v="384680.27615580097"/>
    <x v="1612"/>
    <n v="66.91"/>
  </r>
  <r>
    <s v=" 30-11-2020"/>
    <x v="22"/>
    <s v=" Monthly"/>
    <n v="1.65"/>
    <n v="11928707"/>
    <n v="196824"/>
    <n v="399465.89213853626"/>
    <n v="318639.1592110839"/>
    <x v="1613"/>
    <n v="64.41"/>
  </r>
  <r>
    <s v=" 31-12-2020"/>
    <x v="22"/>
    <s v=" Monthly"/>
    <n v="6.37"/>
    <n v="8556804"/>
    <n v="545068"/>
    <n v="257616.56764156086"/>
    <n v="334606.8194944415"/>
    <x v="1614"/>
    <n v="48.46"/>
  </r>
  <r>
    <s v=" 31-01-2021"/>
    <x v="22"/>
    <s v=" Monthly"/>
    <n v="4.82"/>
    <n v="11220791"/>
    <n v="540842"/>
    <n v="458832.57029246824"/>
    <n v="265932.58494877769"/>
    <x v="1615"/>
    <n v="62.41"/>
  </r>
  <r>
    <s v=" 28-02-2021"/>
    <x v="22"/>
    <s v=" Monthly"/>
    <n v="5.85"/>
    <n v="11047273"/>
    <n v="646265"/>
    <n v="516239.17108774045"/>
    <n v="208500.68662985187"/>
    <x v="1616"/>
    <n v="62.03"/>
  </r>
  <r>
    <s v=" 31-03-2021"/>
    <x v="22"/>
    <s v=" Monthly"/>
    <n v="3.86"/>
    <n v="11180051"/>
    <n v="431550"/>
    <n v="607257.25132632209"/>
    <n v="188202.54046301029"/>
    <x v="1617"/>
    <n v="61.37"/>
  </r>
  <r>
    <s v=" 30-04-2021"/>
    <x v="22"/>
    <s v=" Monthly"/>
    <n v="4"/>
    <n v="9247569"/>
    <n v="369903"/>
    <n v="484262.17539789662"/>
    <n v="134790.33213838213"/>
    <x v="1618"/>
    <n v="50.76"/>
  </r>
  <r>
    <s v=" 31-05-2021"/>
    <x v="22"/>
    <s v=" Monthly"/>
    <n v="8.5399999999999991"/>
    <n v="11589550"/>
    <n v="989748"/>
    <n v="404210.75261936896"/>
    <n v="142428.66676651203"/>
    <x v="1619"/>
    <n v="66.67"/>
  </r>
  <r>
    <s v=" 30-06-2021"/>
    <x v="22"/>
    <s v=" Monthly"/>
    <n v="4.3499999999999996"/>
    <n v="10115757"/>
    <n v="440035"/>
    <n v="814086.82578581059"/>
    <n v="359075.16726372886"/>
    <x v="1620"/>
    <n v="55.56"/>
  </r>
  <r>
    <s v=" 31-07-2021"/>
    <x v="22"/>
    <s v=" Monthly"/>
    <n v="4.03"/>
    <n v="11149816"/>
    <n v="449338"/>
    <n v="552250.54773574322"/>
    <n v="406549.15957010316"/>
    <x v="1621"/>
    <n v="60.94"/>
  </r>
  <r>
    <s v=" 31-08-2021"/>
    <x v="22"/>
    <s v=" Monthly"/>
    <n v="2.7"/>
    <n v="11331936"/>
    <n v="305962"/>
    <n v="480211.7643207229"/>
    <n v="405528.30929757387"/>
    <x v="1622"/>
    <n v="60.99"/>
  </r>
  <r>
    <s v=" 30-09-2021"/>
    <x v="22"/>
    <s v=" Monthly"/>
    <n v="3.39"/>
    <n v="11556605"/>
    <n v="391769"/>
    <n v="358236.92929621687"/>
    <n v="245539.36630812552"/>
    <x v="1623"/>
    <n v="62.55"/>
  </r>
  <r>
    <s v=" 31-10-2021"/>
    <x v="22"/>
    <s v=" Monthly"/>
    <n v="3.7"/>
    <n v="11882064"/>
    <n v="439636"/>
    <n v="381709.37878886505"/>
    <n v="118431.93912253655"/>
    <x v="1624"/>
    <n v="64.41"/>
  </r>
  <r>
    <s v=" 30-11-2021"/>
    <x v="22"/>
    <s v=" Monthly"/>
    <n v="4.53"/>
    <n v="10978770"/>
    <n v="497338"/>
    <n v="422258.01363665948"/>
    <n v="107769.6209149395"/>
    <x v="1625"/>
    <n v="59.94"/>
  </r>
  <r>
    <s v=" 31-12-2021"/>
    <x v="22"/>
    <s v=" Monthly"/>
    <n v="0.36"/>
    <n v="12204038"/>
    <n v="43935"/>
    <n v="474814.0040909978"/>
    <n v="58071.500649174479"/>
    <x v="1626"/>
    <n v="63.74"/>
  </r>
  <r>
    <s v=" 31-01-2022"/>
    <x v="22"/>
    <s v=" Monthly"/>
    <n v="0"/>
    <n v="10676237"/>
    <n v="0"/>
    <n v="173198.70122729935"/>
    <n v="254721.55645181649"/>
    <x v="1627"/>
    <n v="55.47"/>
  </r>
  <r>
    <s v=" 28-02-2022"/>
    <x v="22"/>
    <s v=" Monthly"/>
    <n v="16.23"/>
    <n v="9821061"/>
    <n v="1593958"/>
    <n v="51959.610368189802"/>
    <n v="271594.98683738179"/>
    <x v="1628"/>
    <n v="60.83"/>
  </r>
  <r>
    <s v=" 31-03-2022"/>
    <x v="22"/>
    <s v=" Monthly"/>
    <n v="6.19"/>
    <n v="11189165"/>
    <n v="692609"/>
    <n v="1131358.4831104567"/>
    <n v="929769.42301131284"/>
    <x v="1629"/>
    <n v="61.78"/>
  </r>
  <r>
    <s v=" 30-04-2022"/>
    <x v="22"/>
    <s v=" Monthly"/>
    <n v="9.8699999999999992"/>
    <n v="11776165"/>
    <n v="1162307"/>
    <n v="824233.84493313706"/>
    <n v="930995.51246029325"/>
    <x v="1630"/>
    <n v="67.58"/>
  </r>
  <r>
    <s v=" 30-09-2017"/>
    <x v="23"/>
    <s v=" Monthly"/>
    <n v="20"/>
    <n v="859255"/>
    <n v="171851"/>
    <n v="1060885.0534799411"/>
    <n v="945965.75003778585"/>
    <x v="1631"/>
    <n v="49.65"/>
  </r>
  <r>
    <s v=" 31-10-2017"/>
    <x v="23"/>
    <s v=" Monthly"/>
    <n v="8.57"/>
    <n v="1066870"/>
    <n v="91431"/>
    <n v="438561.21604398231"/>
    <n v="604752.32267806155"/>
    <x v="1632"/>
    <n v="53.85"/>
  </r>
  <r>
    <s v=" 31-01-2018"/>
    <x v="23"/>
    <s v=" Monthly"/>
    <n v="33.33"/>
    <n v="963790"/>
    <n v="321231"/>
    <n v="195570.06481319468"/>
    <n v="584572.32039459969"/>
    <x v="1633"/>
    <n v="66.38"/>
  </r>
  <r>
    <s v=" 28-02-2018"/>
    <x v="23"/>
    <s v=" Monthly"/>
    <n v="31.63"/>
    <n v="1021898"/>
    <n v="323226"/>
    <n v="283532.71944395837"/>
    <n v="555779.2144877133"/>
    <x v="1634"/>
    <n v="68.53"/>
  </r>
  <r>
    <s v=" 31-03-2018"/>
    <x v="23"/>
    <s v=" Monthly"/>
    <n v="15.29"/>
    <n v="936297"/>
    <n v="143160"/>
    <n v="311318.0158331875"/>
    <n v="214371.6508341413"/>
    <x v="1635"/>
    <n v="50.6"/>
  </r>
  <r>
    <s v=" 30-04-2018"/>
    <x v="23"/>
    <s v=" Monthly"/>
    <n v="13.26"/>
    <n v="1004529"/>
    <n v="133201"/>
    <n v="193607.40474995624"/>
    <n v="123346.86246824123"/>
    <x v="1636"/>
    <n v="52.92"/>
  </r>
  <r>
    <s v=" 31-05-2018"/>
    <x v="23"/>
    <s v=" Monthly"/>
    <n v="22.92"/>
    <n v="1036401"/>
    <n v="237543"/>
    <n v="151322.92142498685"/>
    <n v="105674.98686234554"/>
    <x v="1637"/>
    <n v="61.34"/>
  </r>
  <r>
    <s v=" 30-06-2018"/>
    <x v="23"/>
    <s v=" Monthly"/>
    <n v="20"/>
    <n v="1076286"/>
    <n v="215257"/>
    <n v="211676.97642749603"/>
    <n v="114542.50153436715"/>
    <x v="1638"/>
    <n v="61.28"/>
  </r>
  <r>
    <s v=" 31-07-2018"/>
    <x v="23"/>
    <s v=" Monthly"/>
    <n v="17.489999999999998"/>
    <n v="951442"/>
    <n v="166407"/>
    <n v="214182.9929282488"/>
    <n v="60815.711383042741"/>
    <x v="1639"/>
    <n v="52.44"/>
  </r>
  <r>
    <s v=" 31-08-2018"/>
    <x v="23"/>
    <s v=" Monthly"/>
    <n v="23.88"/>
    <n v="1043379"/>
    <n v="249159"/>
    <n v="180739.79787847464"/>
    <n v="56948.11679222063"/>
    <x v="1640"/>
    <n v="62.23"/>
  </r>
  <r>
    <s v=" 30-09-2018"/>
    <x v="23"/>
    <s v=" Monthly"/>
    <n v="39.19"/>
    <n v="967018"/>
    <n v="378974"/>
    <n v="228633.23936354238"/>
    <n v="48223.608630372124"/>
    <x v="1641"/>
    <n v="72.08"/>
  </r>
  <r>
    <s v=" 31-10-2018"/>
    <x v="23"/>
    <s v=" Monthly"/>
    <n v="33.090000000000003"/>
    <n v="1086837"/>
    <n v="359634"/>
    <n v="333871.77180906269"/>
    <n v="99274.160834151378"/>
    <x v="1642"/>
    <n v="73.5"/>
  </r>
  <r>
    <s v=" 30-11-2018"/>
    <x v="23"/>
    <s v=" Monthly"/>
    <n v="33.33"/>
    <n v="1012609"/>
    <n v="337503"/>
    <n v="351905.33154271881"/>
    <n v="96518.087992280343"/>
    <x v="1643"/>
    <n v="68.62"/>
  </r>
  <r>
    <s v=" 31-12-2018"/>
    <x v="23"/>
    <s v=" Monthly"/>
    <n v="23.11"/>
    <n v="1066060"/>
    <n v="246366"/>
    <n v="341823.6994628156"/>
    <n v="88456.135766033709"/>
    <x v="1644"/>
    <n v="62.54"/>
  </r>
  <r>
    <s v=" 31-01-2019"/>
    <x v="23"/>
    <s v=" Monthly"/>
    <n v="33.06"/>
    <n v="996372"/>
    <n v="329401"/>
    <n v="275003.30983884464"/>
    <n v="57686.774746503623"/>
    <x v="1645"/>
    <n v="67.03"/>
  </r>
  <r>
    <s v=" 28-02-2019"/>
    <x v="23"/>
    <s v=" Monthly"/>
    <n v="25.7"/>
    <n v="1137114"/>
    <n v="292238"/>
    <n v="313081.69295165339"/>
    <n v="63975.798120509797"/>
    <x v="1646"/>
    <n v="68.81"/>
  </r>
  <r>
    <s v=" 31-03-2019"/>
    <x v="23"/>
    <s v=" Monthly"/>
    <n v="22.95"/>
    <n v="1026566"/>
    <n v="235597"/>
    <n v="298491.10788549599"/>
    <n v="64564.542945967609"/>
    <x v="1647"/>
    <n v="59.8"/>
  </r>
  <r>
    <s v=" 30-04-2019"/>
    <x v="23"/>
    <s v=" Monthly"/>
    <n v="22.22"/>
    <n v="1077253"/>
    <n v="239366"/>
    <n v="254465.23236564879"/>
    <n v="49494.905587828842"/>
    <x v="1648"/>
    <n v="62.07"/>
  </r>
  <r>
    <s v=" 31-05-2019"/>
    <x v="23"/>
    <s v=" Monthly"/>
    <n v="29.25"/>
    <n v="1019549"/>
    <n v="298218"/>
    <n v="243895.76970969461"/>
    <n v="39234.827898212534"/>
    <x v="1649"/>
    <n v="64.47"/>
  </r>
  <r>
    <s v=" 30-06-2019"/>
    <x v="23"/>
    <s v=" Monthly"/>
    <n v="26.64"/>
    <n v="1107013"/>
    <n v="294908"/>
    <n v="281921.33091290836"/>
    <n v="48766.656397095881"/>
    <x v="1650"/>
    <n v="67.400000000000006"/>
  </r>
  <r>
    <s v=" 31-07-2019"/>
    <x v="23"/>
    <s v=" Monthly"/>
    <n v="22.47"/>
    <n v="1052598"/>
    <n v="236519"/>
    <n v="291011.99927387247"/>
    <n v="33404.316565989146"/>
    <x v="1651"/>
    <n v="60.54"/>
  </r>
  <r>
    <s v=" 31-08-2019"/>
    <x v="23"/>
    <s v=" Monthly"/>
    <n v="25.49"/>
    <n v="975501"/>
    <n v="248655"/>
    <n v="252866.89978216172"/>
    <n v="45051.989403180487"/>
    <x v="1652"/>
    <n v="58.29"/>
  </r>
  <r>
    <s v=" 30-09-2019"/>
    <x v="23"/>
    <s v=" Monthly"/>
    <n v="30.23"/>
    <n v="1034408"/>
    <n v="312702"/>
    <n v="249918.56993464852"/>
    <n v="32433.936155488238"/>
    <x v="1653"/>
    <n v="65.900000000000006"/>
  </r>
  <r>
    <s v=" 31-10-2019"/>
    <x v="23"/>
    <s v=" Monthly"/>
    <n v="27.54"/>
    <n v="1113764"/>
    <n v="306731"/>
    <n v="293866.97098039452"/>
    <n v="48058.943532597274"/>
    <x v="1654"/>
    <n v="68.209999999999994"/>
  </r>
  <r>
    <s v=" 30-11-2019"/>
    <x v="23"/>
    <s v=" Monthly"/>
    <n v="25.25"/>
    <n v="1084633"/>
    <n v="273870"/>
    <n v="302871.79129411833"/>
    <n v="37080.913478334136"/>
    <x v="1655"/>
    <n v="64.290000000000006"/>
  </r>
  <r>
    <s v=" 31-12-2019"/>
    <x v="23"/>
    <s v=" Monthly"/>
    <n v="26.53"/>
    <n v="1046878"/>
    <n v="277737"/>
    <n v="282570.53738823551"/>
    <n v="40613.405962628196"/>
    <x v="1656"/>
    <n v="63.02"/>
  </r>
  <r>
    <s v=" 31-01-2020"/>
    <x v="23"/>
    <s v=" Monthly"/>
    <n v="31.91"/>
    <n v="1057975"/>
    <n v="337600"/>
    <n v="279187.06121647067"/>
    <n v="18528.808421557318"/>
    <x v="1657"/>
    <n v="68.61"/>
  </r>
  <r>
    <s v=" 29-02-2020"/>
    <x v="23"/>
    <s v=" Monthly"/>
    <n v="26.22"/>
    <n v="1169347"/>
    <n v="306603"/>
    <n v="320076.11836494115"/>
    <n v="37755.963764149958"/>
    <x v="1658"/>
    <n v="69.88"/>
  </r>
  <r>
    <s v=" 31-03-2020"/>
    <x v="23"/>
    <s v=" Monthly"/>
    <n v="31.61"/>
    <n v="1060946"/>
    <n v="335365"/>
    <n v="310644.93550948234"/>
    <n v="34722.516323405725"/>
    <x v="1659"/>
    <n v="68.28"/>
  </r>
  <r>
    <s v=" 30-04-2020"/>
    <x v="23"/>
    <s v=" Monthly"/>
    <n v="43.64"/>
    <n v="675083"/>
    <n v="294606"/>
    <n v="327948.98065284465"/>
    <n v="37437.405199521207"/>
    <x v="1660"/>
    <n v="52.63"/>
  </r>
  <r>
    <s v=" 31-05-2020"/>
    <x v="23"/>
    <s v=" Monthly"/>
    <n v="20.88"/>
    <n v="891967"/>
    <n v="186243"/>
    <n v="304608.89419585338"/>
    <n v="25194.978770296271"/>
    <x v="1661"/>
    <n v="49.46"/>
  </r>
  <r>
    <s v=" 30-06-2020"/>
    <x v="23"/>
    <s v=" Monthly"/>
    <n v="18.95"/>
    <n v="1110234"/>
    <n v="210389"/>
    <n v="221752.768258756"/>
    <n v="72418.507892239999"/>
    <x v="1662"/>
    <n v="60"/>
  </r>
  <r>
    <s v=" 31-07-2020"/>
    <x v="23"/>
    <s v=" Monthly"/>
    <n v="15.79"/>
    <n v="988947"/>
    <n v="156155"/>
    <n v="213798.13047762678"/>
    <n v="71300.711769796151"/>
    <x v="1663"/>
    <n v="51.35"/>
  </r>
  <r>
    <s v=" 31-08-2020"/>
    <x v="23"/>
    <s v=" Monthly"/>
    <n v="27.44"/>
    <n v="970103"/>
    <n v="266196"/>
    <n v="173447.93914328804"/>
    <n v="76294.059683751198"/>
    <x v="1664"/>
    <n v="58.36"/>
  </r>
  <r>
    <s v=" 30-09-2020"/>
    <x v="23"/>
    <s v=" Monthly"/>
    <n v="19.309999999999999"/>
    <n v="948583"/>
    <n v="183171"/>
    <n v="238371.5817429864"/>
    <n v="63387.876109394296"/>
    <x v="1665"/>
    <n v="51.24"/>
  </r>
  <r>
    <s v=" 31-10-2020"/>
    <x v="23"/>
    <s v=" Monthly"/>
    <n v="12.44"/>
    <n v="1175851"/>
    <n v="146276"/>
    <n v="199731.17452289592"/>
    <n v="70644.739149977686"/>
    <x v="1666"/>
    <n v="58.43"/>
  </r>
  <r>
    <s v=" 30-11-2020"/>
    <x v="23"/>
    <s v=" Monthly"/>
    <n v="13.16"/>
    <n v="1037059"/>
    <n v="136477"/>
    <n v="162312.55235686878"/>
    <n v="69538.389159556391"/>
    <x v="1667"/>
    <n v="51.88"/>
  </r>
  <r>
    <s v=" 31-12-2020"/>
    <x v="23"/>
    <s v=" Monthly"/>
    <n v="16.420000000000002"/>
    <n v="993262"/>
    <n v="163094"/>
    <n v="144227.66570706063"/>
    <n v="46804.685212849836"/>
    <x v="1668"/>
    <n v="51.54"/>
  </r>
  <r>
    <s v=" 31-01-2021"/>
    <x v="23"/>
    <s v=" Monthly"/>
    <n v="20.27"/>
    <n v="976830"/>
    <n v="198003"/>
    <n v="157434.09971211819"/>
    <n v="35966.975679136129"/>
    <x v="1669"/>
    <n v="53.05"/>
  </r>
  <r>
    <s v=" 28-02-2021"/>
    <x v="23"/>
    <s v=" Monthly"/>
    <n v="11.82"/>
    <n v="1214206"/>
    <n v="143519"/>
    <n v="185832.32991363545"/>
    <n v="29828.677508987581"/>
    <x v="1670"/>
    <n v="59.53"/>
  </r>
  <r>
    <s v=" 31-03-2021"/>
    <x v="23"/>
    <s v=" Monthly"/>
    <n v="13.79"/>
    <n v="1064773"/>
    <n v="146832"/>
    <n v="156212.99897409062"/>
    <n v="35553.678331040021"/>
    <x v="1671"/>
    <n v="53.31"/>
  </r>
  <r>
    <s v=" 30-04-2021"/>
    <x v="23"/>
    <s v=" Monthly"/>
    <n v="15.13"/>
    <n v="1032300"/>
    <n v="156187"/>
    <n v="149646.29969222719"/>
    <n v="34274.658766597728"/>
    <x v="1672"/>
    <n v="52.41"/>
  </r>
  <r>
    <s v=" 31-05-2021"/>
    <x v="23"/>
    <s v=" Monthly"/>
    <n v="21.93"/>
    <n v="936126"/>
    <n v="205292"/>
    <n v="154224.78990766814"/>
    <n v="25306.137533861522"/>
    <x v="1673"/>
    <n v="51.58"/>
  </r>
  <r>
    <s v=" 30-06-2021"/>
    <x v="23"/>
    <s v=" Monthly"/>
    <n v="9.4700000000000006"/>
    <n v="1224662"/>
    <n v="115975"/>
    <n v="189971.83697230043"/>
    <n v="30213.925315337354"/>
    <x v="1674"/>
    <n v="58.1"/>
  </r>
  <r>
    <s v=" 31-07-2021"/>
    <x v="23"/>
    <s v=" Monthly"/>
    <n v="13.21"/>
    <n v="1153540"/>
    <n v="152383"/>
    <n v="138174.05109169014"/>
    <n v="52045.405141522562"/>
    <x v="1675"/>
    <n v="56.99"/>
  </r>
  <r>
    <s v=" 31-08-2021"/>
    <x v="23"/>
    <s v=" Monthly"/>
    <n v="12.77"/>
    <n v="1084275"/>
    <n v="138462"/>
    <n v="148120.31532750704"/>
    <n v="52552.469201736945"/>
    <x v="1676"/>
    <n v="53.21"/>
  </r>
  <r>
    <s v=" 30-09-2021"/>
    <x v="23"/>
    <s v=" Monthly"/>
    <n v="16.04"/>
    <n v="1006002"/>
    <n v="161363"/>
    <n v="141359.49459825212"/>
    <n v="43858.519377462362"/>
    <x v="1677"/>
    <n v="51.21"/>
  </r>
  <r>
    <s v=" 31-10-2021"/>
    <x v="23"/>
    <s v=" Monthly"/>
    <n v="10.36"/>
    <n v="1243741"/>
    <n v="128852"/>
    <n v="155361.94837947562"/>
    <n v="15224.076462435787"/>
    <x v="1678"/>
    <n v="59.2"/>
  </r>
  <r>
    <s v=" 30-11-2021"/>
    <x v="23"/>
    <s v=" Monthly"/>
    <n v="12.69"/>
    <n v="1098617"/>
    <n v="139414"/>
    <n v="136804.98451384268"/>
    <n v="19968.313619380217"/>
    <x v="1679"/>
    <n v="53.6"/>
  </r>
  <r>
    <s v=" 31-12-2021"/>
    <x v="23"/>
    <s v=" Monthly"/>
    <n v="12.77"/>
    <n v="1091394"/>
    <n v="139371"/>
    <n v="138631.2953541528"/>
    <n v="19232.997281124506"/>
    <x v="1680"/>
    <n v="53.21"/>
  </r>
  <r>
    <s v=" 31-01-2022"/>
    <x v="23"/>
    <s v=" Monthly"/>
    <n v="19.2"/>
    <n v="963096"/>
    <n v="184914"/>
    <n v="139149.08860624584"/>
    <n v="15385.398790764344"/>
    <x v="1681"/>
    <n v="50.61"/>
  </r>
  <r>
    <s v=" 28-02-2022"/>
    <x v="23"/>
    <s v=" Monthly"/>
    <n v="10.14"/>
    <n v="1153400"/>
    <n v="116955"/>
    <n v="171184.52658187374"/>
    <n v="26468.731487349785"/>
    <x v="1682"/>
    <n v="54.41"/>
  </r>
  <r>
    <s v=" 31-03-2022"/>
    <x v="23"/>
    <s v=" Monthly"/>
    <n v="13.1"/>
    <n v="1102622"/>
    <n v="144443"/>
    <n v="133223.85797456212"/>
    <n v="40970.785653257073"/>
    <x v="1683"/>
    <n v="53.7"/>
  </r>
  <r>
    <s v=" 30-04-2022"/>
    <x v="23"/>
    <s v=" Monthly"/>
    <n v="12.14"/>
    <n v="1102605"/>
    <n v="133856"/>
    <n v="141077.25739236863"/>
    <n v="41477.454984442113"/>
    <x v="1684"/>
    <n v="53.03"/>
  </r>
  <r>
    <s v=" 31-01-2016"/>
    <x v="24"/>
    <s v=" Monthly"/>
    <n v="13.76"/>
    <n v="42479419"/>
    <n v="5845168"/>
    <n v="136022.3772177106"/>
    <n v="32243.124638739835"/>
    <x v="1685"/>
    <n v="44.49"/>
  </r>
  <r>
    <s v=" 29-02-2016"/>
    <x v="24"/>
    <s v=" Monthly"/>
    <n v="13.33"/>
    <n v="41941441"/>
    <n v="5590794"/>
    <n v="4132424.3131653126"/>
    <n v="3296185.7632643767"/>
    <x v="1686"/>
    <n v="43.62"/>
  </r>
  <r>
    <s v=" 31-03-2016"/>
    <x v="24"/>
    <s v=" Monthly"/>
    <n v="12.16"/>
    <n v="43489501"/>
    <n v="5288323"/>
    <n v="5153283.0939495936"/>
    <n v="3402020.8715884741"/>
    <x v="1687"/>
    <n v="44.53"/>
  </r>
  <r>
    <s v=" 30-04-2016"/>
    <x v="24"/>
    <s v=" Monthly"/>
    <n v="13.15"/>
    <n v="42730696"/>
    <n v="5619087"/>
    <n v="5247811.0281848777"/>
    <n v="3402911.5798993162"/>
    <x v="1688"/>
    <n v="44.15"/>
  </r>
  <r>
    <s v=" 31-05-2016"/>
    <x v="24"/>
    <s v=" Monthly"/>
    <n v="15.3"/>
    <n v="44347442"/>
    <n v="6785159"/>
    <n v="5507704.2084554629"/>
    <n v="872338.57474256528"/>
    <x v="1689"/>
    <n v="46.89"/>
  </r>
  <r>
    <s v=" 30-06-2016"/>
    <x v="24"/>
    <s v=" Monthly"/>
    <n v="18.02"/>
    <n v="42975514"/>
    <n v="7744188"/>
    <n v="6401922.5625366382"/>
    <n v="772004.39720540948"/>
    <x v="1690"/>
    <n v="46.84"/>
  </r>
  <r>
    <s v=" 31-07-2016"/>
    <x v="24"/>
    <s v=" Monthly"/>
    <n v="11.83"/>
    <n v="43137820"/>
    <n v="5103204"/>
    <n v="7341508.3687609909"/>
    <n v="1091087.0873118653"/>
    <x v="1691"/>
    <n v="43.63"/>
  </r>
  <r>
    <s v=" 31-08-2016"/>
    <x v="24"/>
    <s v=" Monthly"/>
    <n v="16.899999999999999"/>
    <n v="43095763"/>
    <n v="7283184"/>
    <n v="5774695.3106282968"/>
    <n v="1677654.4833251913"/>
    <x v="1692"/>
    <n v="46.14"/>
  </r>
  <r>
    <s v=" 30-09-2016"/>
    <x v="24"/>
    <s v=" Monthly"/>
    <n v="8.89"/>
    <n v="46847283"/>
    <n v="4164723"/>
    <n v="6830637.3931884887"/>
    <n v="1740423.4233643268"/>
    <x v="1693"/>
    <n v="45.65"/>
  </r>
  <r>
    <s v=" 31-10-2016"/>
    <x v="24"/>
    <s v=" Monthly"/>
    <n v="8.09"/>
    <n v="44804448"/>
    <n v="3624680"/>
    <n v="4964497.3179565463"/>
    <n v="2190330.5781690008"/>
    <x v="1694"/>
    <n v="43.18"/>
  </r>
  <r>
    <s v=" 30-11-2016"/>
    <x v="24"/>
    <s v=" Monthly"/>
    <n v="5.13"/>
    <n v="42225753"/>
    <n v="2166181"/>
    <n v="4026625.1953869639"/>
    <n v="1930263.2051327594"/>
    <x v="1695"/>
    <n v="39.340000000000003"/>
  </r>
  <r>
    <s v=" 31-12-2016"/>
    <x v="24"/>
    <s v=" Monthly"/>
    <n v="7.23"/>
    <n v="42130453"/>
    <n v="3046032"/>
    <n v="2724314.2586160889"/>
    <n v="2030062.6099913656"/>
    <x v="1696"/>
    <n v="40.049999999999997"/>
  </r>
  <r>
    <s v=" 31-01-2017"/>
    <x v="24"/>
    <s v=" Monthly"/>
    <n v="2.94"/>
    <n v="43723080"/>
    <n v="1285459"/>
    <n v="2949516.6775848265"/>
    <n v="1336645.7215441053"/>
    <x v="1697"/>
    <n v="39.64"/>
  </r>
  <r>
    <s v=" 28-02-2017"/>
    <x v="24"/>
    <s v=" Monthly"/>
    <n v="2.16"/>
    <n v="42679666"/>
    <n v="921881"/>
    <n v="1784676.3032754478"/>
    <n v="1453024.7604679945"/>
    <x v="1698"/>
    <n v="38.31"/>
  </r>
  <r>
    <s v=" 31-03-2017"/>
    <x v="24"/>
    <s v=" Monthly"/>
    <n v="1.19"/>
    <n v="41651327"/>
    <n v="495651"/>
    <n v="1180719.5909826341"/>
    <n v="1098029.4462967652"/>
    <x v="1699"/>
    <n v="36.94"/>
  </r>
  <r>
    <s v=" 30-04-2017"/>
    <x v="24"/>
    <s v=" Monthly"/>
    <n v="5.51"/>
    <n v="42101198"/>
    <n v="2319776"/>
    <n v="701171.57729479019"/>
    <n v="1152218.5359896084"/>
    <x v="1700"/>
    <n v="38.96"/>
  </r>
  <r>
    <s v=" 31-05-2017"/>
    <x v="24"/>
    <s v=" Monthly"/>
    <n v="2.15"/>
    <n v="42996069"/>
    <n v="924415"/>
    <n v="1834194.673188437"/>
    <n v="1130429.8573118059"/>
    <x v="1701"/>
    <n v="38.340000000000003"/>
  </r>
  <r>
    <s v=" 30-06-2017"/>
    <x v="24"/>
    <s v=" Monthly"/>
    <n v="1.6"/>
    <n v="44172996"/>
    <n v="706768"/>
    <n v="1197348.9019565312"/>
    <n v="1142642.8875343711"/>
    <x v="1702"/>
    <n v="39.08"/>
  </r>
  <r>
    <s v=" 31-07-2017"/>
    <x v="24"/>
    <s v=" Monthly"/>
    <n v="1.26"/>
    <n v="42857326"/>
    <n v="540002"/>
    <n v="853942.27058695932"/>
    <n v="1108790.4749939924"/>
    <x v="1703"/>
    <n v="37.71"/>
  </r>
  <r>
    <s v=" 31-08-2017"/>
    <x v="24"/>
    <s v=" Monthly"/>
    <n v="7.13"/>
    <n v="42875942"/>
    <n v="3057055"/>
    <n v="634184.08117608773"/>
    <n v="623679.1826485676"/>
    <x v="1704"/>
    <n v="40.020000000000003"/>
  </r>
  <r>
    <s v=" 30-09-2017"/>
    <x v="24"/>
    <s v=" Monthly"/>
    <n v="2.61"/>
    <n v="43205468"/>
    <n v="1127663"/>
    <n v="2330193.7243528264"/>
    <n v="1438695.1963664074"/>
    <x v="1705"/>
    <n v="38.369999999999997"/>
  </r>
  <r>
    <s v=" 31-10-2017"/>
    <x v="24"/>
    <s v=" Monthly"/>
    <n v="2.46"/>
    <n v="44011138"/>
    <n v="1082674"/>
    <n v="1488422.2173058479"/>
    <n v="1572147.3770813574"/>
    <x v="1706"/>
    <n v="38.94"/>
  </r>
  <r>
    <s v=" 30-11-2017"/>
    <x v="24"/>
    <s v=" Monthly"/>
    <n v="1.46"/>
    <n v="42504146"/>
    <n v="620561"/>
    <n v="1204398.4651917543"/>
    <n v="1579136.3935330852"/>
    <x v="1707"/>
    <n v="37.15"/>
  </r>
  <r>
    <s v=" 31-12-2017"/>
    <x v="24"/>
    <s v=" Monthly"/>
    <n v="5.53"/>
    <n v="41991466"/>
    <n v="2322128"/>
    <n v="795712.23955752631"/>
    <n v="806551.9087698654"/>
    <x v="1708"/>
    <n v="38.200000000000003"/>
  </r>
  <r>
    <s v=" 31-01-2018"/>
    <x v="24"/>
    <s v=" Monthly"/>
    <n v="3.15"/>
    <n v="43350408"/>
    <n v="1365538"/>
    <n v="1864203.2718672578"/>
    <n v="972187.03196034289"/>
    <x v="1709"/>
    <n v="38.380000000000003"/>
  </r>
  <r>
    <s v=" 28-02-2018"/>
    <x v="24"/>
    <s v=" Monthly"/>
    <n v="2.81"/>
    <n v="44031310"/>
    <n v="1237280"/>
    <n v="1515137.5815601773"/>
    <n v="986488.437650632"/>
    <x v="1710"/>
    <n v="38.770000000000003"/>
  </r>
  <r>
    <s v=" 31-03-2018"/>
    <x v="24"/>
    <s v=" Monthly"/>
    <n v="2.1800000000000002"/>
    <n v="43365448"/>
    <n v="945367"/>
    <n v="1320637.2744680531"/>
    <n v="940889.11190853454"/>
    <x v="1711"/>
    <n v="37.85"/>
  </r>
  <r>
    <s v=" 30-04-2018"/>
    <x v="24"/>
    <s v=" Monthly"/>
    <n v="5.73"/>
    <n v="43192494"/>
    <n v="2474930"/>
    <n v="1057948.0823404158"/>
    <n v="394419.26419156417"/>
    <x v="1712"/>
    <n v="39.04"/>
  </r>
  <r>
    <s v=" 31-05-2018"/>
    <x v="24"/>
    <s v=" Monthly"/>
    <n v="4.74"/>
    <n v="43486815"/>
    <n v="2061275"/>
    <n v="2049835.4247021247"/>
    <n v="861369.13680179941"/>
    <x v="1713"/>
    <n v="38.81"/>
  </r>
  <r>
    <s v=" 30-06-2018"/>
    <x v="24"/>
    <s v=" Monthly"/>
    <n v="3.05"/>
    <n v="44046996"/>
    <n v="1343433"/>
    <n v="2057843.1274106372"/>
    <n v="846324.68114716595"/>
    <x v="1714"/>
    <n v="38.54"/>
  </r>
  <r>
    <s v=" 31-07-2018"/>
    <x v="24"/>
    <s v=" Monthly"/>
    <n v="2.94"/>
    <n v="43208316"/>
    <n v="1270324"/>
    <n v="1557756.0382231912"/>
    <n v="916215.12193809438"/>
    <x v="1715"/>
    <n v="37.68"/>
  </r>
  <r>
    <s v=" 31-08-2018"/>
    <x v="24"/>
    <s v=" Monthly"/>
    <n v="8.76"/>
    <n v="42706441"/>
    <n v="3741084"/>
    <n v="1356553.6114669573"/>
    <n v="444645.87805991439"/>
    <x v="1716"/>
    <n v="39.53"/>
  </r>
  <r>
    <s v=" 30-09-2018"/>
    <x v="24"/>
    <s v=" Monthly"/>
    <n v="7.3"/>
    <n v="43174661"/>
    <n v="3151750"/>
    <n v="3025724.8834400871"/>
    <n v="1446718.6066614757"/>
    <x v="1717"/>
    <n v="39.25"/>
  </r>
  <r>
    <s v=" 31-10-2018"/>
    <x v="24"/>
    <s v=" Monthly"/>
    <n v="5.05"/>
    <n v="42913894"/>
    <n v="2167152"/>
    <n v="3113942.4650320262"/>
    <n v="1388582.572318336"/>
    <x v="1718"/>
    <n v="38.01"/>
  </r>
  <r>
    <s v=" 30-11-2018"/>
    <x v="24"/>
    <s v=" Monthly"/>
    <n v="5.37"/>
    <n v="42743911"/>
    <n v="2295348"/>
    <n v="2451189.1395096076"/>
    <n v="1483046.3791935216"/>
    <x v="1719"/>
    <n v="37.9"/>
  </r>
  <r>
    <s v=" 31-12-2018"/>
    <x v="24"/>
    <s v=" Monthly"/>
    <n v="10.75"/>
    <n v="42924264"/>
    <n v="4614358"/>
    <n v="2342100.3418528819"/>
    <n v="558742.92700762756"/>
    <x v="1720"/>
    <n v="40.270000000000003"/>
  </r>
  <r>
    <s v=" 31-01-2019"/>
    <x v="24"/>
    <s v=" Monthly"/>
    <n v="8.14"/>
    <n v="42956774"/>
    <n v="3496681"/>
    <n v="3932680.7025558641"/>
    <n v="1424061.5050443385"/>
    <x v="1721"/>
    <n v="39.07"/>
  </r>
  <r>
    <s v=" 28-02-2019"/>
    <x v="24"/>
    <s v=" Monthly"/>
    <n v="8.7200000000000006"/>
    <n v="41959261"/>
    <n v="3658848"/>
    <n v="3627480.910766759"/>
    <n v="1338847.398125303"/>
    <x v="1722"/>
    <n v="38.32"/>
  </r>
  <r>
    <s v=" 31-03-2019"/>
    <x v="24"/>
    <s v=" Monthly"/>
    <n v="7.75"/>
    <n v="43342692"/>
    <n v="3359059"/>
    <n v="3649437.873230027"/>
    <n v="1335943.424441319"/>
    <x v="1723"/>
    <n v="39.08"/>
  </r>
  <r>
    <s v=" 30-04-2019"/>
    <x v="24"/>
    <s v=" Monthly"/>
    <n v="10.87"/>
    <n v="44306803"/>
    <n v="4816149"/>
    <n v="3446172.6619690079"/>
    <n v="302984.88682556874"/>
    <x v="1724"/>
    <n v="41.26"/>
  </r>
  <r>
    <s v=" 31-05-2019"/>
    <x v="24"/>
    <s v=" Monthly"/>
    <n v="10.26"/>
    <n v="43287812"/>
    <n v="4441330"/>
    <n v="4405156.0985907018"/>
    <n v="808731.30088019418"/>
    <x v="1725"/>
    <n v="39.96"/>
  </r>
  <r>
    <s v=" 30-06-2019"/>
    <x v="24"/>
    <s v=" Monthly"/>
    <n v="11.13"/>
    <n v="42276551"/>
    <n v="4705380"/>
    <n v="4430477.8295772104"/>
    <n v="808798.20473059837"/>
    <x v="1726"/>
    <n v="39.32"/>
  </r>
  <r>
    <s v=" 31-07-2019"/>
    <x v="24"/>
    <s v=" Monthly"/>
    <n v="9.19"/>
    <n v="42697003"/>
    <n v="3923855"/>
    <n v="4622909.3488731626"/>
    <n v="806993.37486151583"/>
    <x v="1727"/>
    <n v="38.78"/>
  </r>
  <r>
    <s v=" 31-08-2019"/>
    <x v="24"/>
    <s v=" Monthly"/>
    <n v="11.47"/>
    <n v="43298748"/>
    <n v="4966366"/>
    <n v="4133571.3046619487"/>
    <n v="434187.64650199015"/>
    <x v="1728"/>
    <n v="40.24"/>
  </r>
  <r>
    <s v=" 30-09-2019"/>
    <x v="24"/>
    <s v=" Monthly"/>
    <n v="6.37"/>
    <n v="44310100"/>
    <n v="2822553"/>
    <n v="4716527.5913985837"/>
    <n v="647506.80577242828"/>
    <x v="1729"/>
    <n v="38.86"/>
  </r>
  <r>
    <s v=" 31-10-2019"/>
    <x v="24"/>
    <s v=" Monthly"/>
    <n v="10.18"/>
    <n v="42833280"/>
    <n v="4360428"/>
    <n v="3390745.3774195751"/>
    <n v="1260867.920670138"/>
    <x v="1730"/>
    <n v="39.07"/>
  </r>
  <r>
    <s v=" 30-11-2019"/>
    <x v="24"/>
    <s v=" Monthly"/>
    <n v="6.94"/>
    <n v="43261536"/>
    <n v="3002351"/>
    <n v="4069523.2132258723"/>
    <n v="1319213.2940988075"/>
    <x v="1731"/>
    <n v="38.01"/>
  </r>
  <r>
    <s v=" 31-12-2019"/>
    <x v="24"/>
    <s v=" Monthly"/>
    <n v="8.43"/>
    <n v="44640064"/>
    <n v="3763157"/>
    <n v="3322502.6639677612"/>
    <n v="1374321.7325987013"/>
    <x v="1732"/>
    <n v="39.770000000000003"/>
  </r>
  <r>
    <s v=" 31-01-2020"/>
    <x v="24"/>
    <s v=" Monthly"/>
    <n v="6.06"/>
    <n v="45777509"/>
    <n v="2774117"/>
    <n v="3630960.6991903284"/>
    <n v="870501.22823575442"/>
    <x v="1733"/>
    <n v="39.67"/>
  </r>
  <r>
    <s v=" 29-02-2020"/>
    <x v="24"/>
    <s v=" Monthly"/>
    <n v="8.1199999999999992"/>
    <n v="44257432"/>
    <n v="3593703"/>
    <n v="3031170.1097570984"/>
    <n v="830103.18663557025"/>
    <x v="1734"/>
    <n v="39.130000000000003"/>
  </r>
  <r>
    <s v=" 31-03-2020"/>
    <x v="24"/>
    <s v=" Monthly"/>
    <n v="9.3699999999999992"/>
    <n v="43086706"/>
    <n v="4037224"/>
    <n v="3424943.132927129"/>
    <n v="644153.35164622916"/>
    <x v="1735"/>
    <n v="38.53"/>
  </r>
  <r>
    <s v=" 30-04-2020"/>
    <x v="24"/>
    <s v=" Monthly"/>
    <n v="19.920000000000002"/>
    <n v="39970677"/>
    <n v="7962159"/>
    <n v="3853539.7398781385"/>
    <n v="689326.29855308845"/>
    <x v="1736"/>
    <n v="40.369999999999997"/>
  </r>
  <r>
    <s v=" 31-05-2020"/>
    <x v="24"/>
    <s v=" Monthly"/>
    <n v="16.86"/>
    <n v="38547596"/>
    <n v="6499125"/>
    <n v="6729573.221963441"/>
    <n v="2420198.5688115796"/>
    <x v="1737"/>
    <n v="37.42"/>
  </r>
  <r>
    <s v=" 30-06-2020"/>
    <x v="24"/>
    <s v=" Monthly"/>
    <n v="8.51"/>
    <n v="41908909"/>
    <n v="3566448"/>
    <n v="6568259.4665890317"/>
    <n v="2401995.4529400431"/>
    <x v="1738"/>
    <n v="36.89"/>
  </r>
  <r>
    <s v=" 31-07-2020"/>
    <x v="24"/>
    <s v=" Monthly"/>
    <n v="4.3899999999999997"/>
    <n v="43316726"/>
    <n v="1901604"/>
    <n v="4466991.439976709"/>
    <n v="2940789.6155395531"/>
    <x v="1739"/>
    <n v="36.4"/>
  </r>
  <r>
    <s v=" 31-08-2020"/>
    <x v="24"/>
    <s v=" Monthly"/>
    <n v="5.69"/>
    <n v="42985424"/>
    <n v="2445871"/>
    <n v="2671220.2319930121"/>
    <n v="2283651.4022606979"/>
    <x v="1740"/>
    <n v="36.54"/>
  </r>
  <r>
    <s v=" 30-09-2020"/>
    <x v="24"/>
    <s v=" Monthly"/>
    <n v="3.26"/>
    <n v="42993059"/>
    <n v="1401574"/>
    <n v="2513475.7695979038"/>
    <n v="2283481.7767680627"/>
    <x v="1741"/>
    <n v="35.549999999999997"/>
  </r>
  <r>
    <s v=" 31-10-2020"/>
    <x v="24"/>
    <s v=" Monthly"/>
    <n v="3.22"/>
    <n v="43075281"/>
    <n v="1387024"/>
    <n v="1735144.5308793711"/>
    <n v="1619497.9200135912"/>
    <x v="1742"/>
    <n v="35.53"/>
  </r>
  <r>
    <s v=" 30-11-2020"/>
    <x v="24"/>
    <s v=" Monthly"/>
    <n v="4.71"/>
    <n v="43482416"/>
    <n v="2048022"/>
    <n v="1491460.1592638113"/>
    <n v="685151.01148445741"/>
    <x v="1743"/>
    <n v="36.35"/>
  </r>
  <r>
    <s v=" 31-12-2020"/>
    <x v="24"/>
    <s v=" Monthly"/>
    <n v="15.29"/>
    <n v="42975344"/>
    <n v="6570930"/>
    <n v="1881053.4477791432"/>
    <n v="745491.90288881061"/>
    <x v="1744"/>
    <n v="40.32"/>
  </r>
  <r>
    <s v=" 31-01-2021"/>
    <x v="24"/>
    <s v=" Monthly"/>
    <n v="4.22"/>
    <n v="42085759"/>
    <n v="1776019"/>
    <n v="5163967.0343337432"/>
    <n v="2734098.9412512966"/>
    <x v="1745"/>
    <n v="34.840000000000003"/>
  </r>
  <r>
    <s v=" 28-02-2021"/>
    <x v="24"/>
    <s v=" Monthly"/>
    <n v="3.65"/>
    <n v="43524091"/>
    <n v="1588629"/>
    <n v="2792403.4103001226"/>
    <n v="3355736.1358813918"/>
    <x v="1746"/>
    <n v="35.75"/>
  </r>
  <r>
    <s v=" 31-03-2021"/>
    <x v="24"/>
    <s v=" Monthly"/>
    <n v="3.68"/>
    <n v="42817381"/>
    <n v="1575680"/>
    <n v="1949761.3230900364"/>
    <n v="3411852.2237102762"/>
    <x v="1747"/>
    <n v="35.11"/>
  </r>
  <r>
    <s v=" 30-04-2021"/>
    <x v="24"/>
    <s v=" Monthly"/>
    <n v="5.03"/>
    <n v="43919364"/>
    <n v="2209144"/>
    <n v="1687904.3969270107"/>
    <n v="2087039.4941578589"/>
    <x v="1748"/>
    <n v="36.44"/>
  </r>
  <r>
    <s v=" 31-05-2021"/>
    <x v="24"/>
    <s v=" Monthly"/>
    <n v="6.04"/>
    <n v="42772497"/>
    <n v="2583459"/>
    <n v="2052772.119078103"/>
    <n v="787549.02302224713"/>
    <x v="1749"/>
    <n v="35.79"/>
  </r>
  <r>
    <s v=" 30-06-2021"/>
    <x v="24"/>
    <s v=" Monthly"/>
    <n v="3.77"/>
    <n v="42925293"/>
    <n v="1618284"/>
    <n v="2424252.9357234305"/>
    <n v="480713.40237855213"/>
    <x v="1750"/>
    <n v="35"/>
  </r>
  <r>
    <s v=" 31-07-2021"/>
    <x v="24"/>
    <s v=" Monthly"/>
    <n v="4.9000000000000004"/>
    <n v="42092151"/>
    <n v="2062515"/>
    <n v="1860074.6807170289"/>
    <n v="633220.6605245542"/>
    <x v="1751"/>
    <n v="34.65"/>
  </r>
  <r>
    <s v=" 31-08-2021"/>
    <x v="24"/>
    <s v=" Monthly"/>
    <n v="5.99"/>
    <n v="43728946"/>
    <n v="2619364"/>
    <n v="2001782.9042151086"/>
    <n v="569267.53341616166"/>
    <x v="1752"/>
    <n v="36.33"/>
  </r>
  <r>
    <s v=" 30-09-2021"/>
    <x v="24"/>
    <s v=" Monthly"/>
    <n v="4.0999999999999996"/>
    <n v="41874581"/>
    <n v="1716858"/>
    <n v="2434089.6712645325"/>
    <n v="597766.51464525785"/>
    <x v="1753"/>
    <n v="34.03"/>
  </r>
  <r>
    <s v=" 31-10-2021"/>
    <x v="24"/>
    <s v=" Monthly"/>
    <n v="4.17"/>
    <n v="41980265"/>
    <n v="1750577"/>
    <n v="1932027.5013793595"/>
    <n v="558811.16757129226"/>
    <x v="1754"/>
    <n v="34.07"/>
  </r>
  <r>
    <s v=" 30-11-2021"/>
    <x v="24"/>
    <s v=" Monthly"/>
    <n v="5.04"/>
    <n v="43266539"/>
    <n v="2180634"/>
    <n v="1805012.1504138077"/>
    <n v="556402.72123304184"/>
    <x v="1755"/>
    <n v="35.36"/>
  </r>
  <r>
    <s v=" 31-12-2021"/>
    <x v="24"/>
    <s v=" Monthly"/>
    <n v="3.99"/>
    <n v="44235000"/>
    <n v="1764977"/>
    <n v="2067947.4451241421"/>
    <n v="479039.77865527599"/>
    <x v="1756"/>
    <n v="35.68"/>
  </r>
  <r>
    <s v=" 31-01-2022"/>
    <x v="24"/>
    <s v=" Monthly"/>
    <n v="1.54"/>
    <n v="42383680"/>
    <n v="652709"/>
    <n v="1855868.1335372427"/>
    <n v="297661.52419378055"/>
    <x v="1757"/>
    <n v="33.26"/>
  </r>
  <r>
    <s v=" 28-02-2022"/>
    <x v="24"/>
    <s v=" Monthly"/>
    <n v="2.23"/>
    <n v="42049358"/>
    <n v="937701"/>
    <n v="1013656.7400611727"/>
    <n v="748437.20848163823"/>
    <x v="1758"/>
    <n v="33.159999999999997"/>
  </r>
  <r>
    <s v=" 31-03-2022"/>
    <x v="24"/>
    <s v=" Monthly"/>
    <n v="4.1900000000000004"/>
    <n v="42512634"/>
    <n v="1781279"/>
    <n v="960487.72201835178"/>
    <n v="717670.36669143348"/>
    <x v="1759"/>
    <n v="34.14"/>
  </r>
  <r>
    <s v=" 30-04-2022"/>
    <x v="24"/>
    <s v=" Monthly"/>
    <n v="1.67"/>
    <n v="43186335"/>
    <n v="721212"/>
    <n v="1535041.6166055053"/>
    <n v="842033.1539539831"/>
    <x v="1760"/>
    <n v="33.72"/>
  </r>
  <r>
    <s v=" 31-01-2016"/>
    <x v="25"/>
    <s v=" Monthly"/>
    <n v="0"/>
    <n v="3489729"/>
    <n v="0"/>
    <n v="965360.88498165156"/>
    <n v="668776.55494274304"/>
    <x v="1761"/>
    <n v="65.86"/>
  </r>
  <r>
    <s v=" 29-02-2016"/>
    <x v="25"/>
    <s v=" Monthly"/>
    <n v="4.76"/>
    <n v="2460661"/>
    <n v="117127"/>
    <n v="289608.26549449546"/>
    <n v="869470.8362231151"/>
    <x v="1762"/>
    <n v="48.68"/>
  </r>
  <r>
    <s v=" 31-03-2016"/>
    <x v="25"/>
    <s v=" Monthly"/>
    <n v="1.3"/>
    <n v="1879939"/>
    <n v="24439"/>
    <n v="168871.37964834861"/>
    <n v="735751.33255364746"/>
    <x v="1763"/>
    <n v="35.81"/>
  </r>
  <r>
    <s v=" 30-04-2016"/>
    <x v="25"/>
    <s v=" Monthly"/>
    <n v="0"/>
    <n v="3124021"/>
    <n v="0"/>
    <n v="67768.713894504574"/>
    <n v="572285.51658824552"/>
    <x v="1764"/>
    <n v="58.63"/>
  </r>
  <r>
    <s v=" 31-05-2016"/>
    <x v="25"/>
    <s v=" Monthly"/>
    <n v="0"/>
    <n v="3866562"/>
    <n v="0"/>
    <n v="20330.614168351371"/>
    <n v="135650.4058482472"/>
    <x v="1765"/>
    <n v="72.430000000000007"/>
  </r>
  <r>
    <s v=" 30-06-2016"/>
    <x v="25"/>
    <s v=" Monthly"/>
    <n v="2.3199999999999998"/>
    <n v="2357432"/>
    <n v="54692"/>
    <n v="6099.184250505411"/>
    <n v="92855.882503052882"/>
    <x v="1766"/>
    <n v="45.12"/>
  </r>
  <r>
    <s v=" 31-07-2016"/>
    <x v="25"/>
    <s v=" Monthly"/>
    <n v="0"/>
    <n v="2088677"/>
    <n v="0"/>
    <n v="40114.155275151614"/>
    <n v="49555.336738646416"/>
    <x v="1767"/>
    <n v="38.979999999999997"/>
  </r>
  <r>
    <s v=" 31-08-2016"/>
    <x v="25"/>
    <s v=" Monthly"/>
    <n v="0"/>
    <n v="2573999"/>
    <n v="0"/>
    <n v="12034.246582545484"/>
    <n v="38226.260905149458"/>
    <x v="1768"/>
    <n v="47.94"/>
  </r>
  <r>
    <s v=" 30-09-2016"/>
    <x v="25"/>
    <s v=" Monthly"/>
    <n v="0"/>
    <n v="2464390"/>
    <n v="0"/>
    <n v="3610.2739747636451"/>
    <n v="37037.054808721907"/>
    <x v="1769"/>
    <n v="45.81"/>
  </r>
  <r>
    <s v=" 31-10-2016"/>
    <x v="25"/>
    <s v=" Monthly"/>
    <n v="4.82"/>
    <n v="2206720"/>
    <n v="106364"/>
    <n v="1083.0821924290935"/>
    <n v="24269.340208181307"/>
    <x v="1289"/>
    <n v="43.02"/>
  </r>
  <r>
    <s v=" 30-11-2016"/>
    <x v="25"/>
    <s v=" Monthly"/>
    <n v="0"/>
    <n v="1799930"/>
    <n v="0"/>
    <n v="74779.724657728715"/>
    <n v="61215.27266782058"/>
    <x v="1770"/>
    <n v="33.33"/>
  </r>
  <r>
    <s v=" 31-12-2016"/>
    <x v="25"/>
    <s v=" Monthly"/>
    <n v="0"/>
    <n v="2462880"/>
    <n v="0"/>
    <n v="22433.917397318615"/>
    <n v="74585.773783081619"/>
    <x v="1771"/>
    <n v="45.52"/>
  </r>
  <r>
    <s v=" 31-01-2017"/>
    <x v="25"/>
    <s v=" Monthly"/>
    <n v="0"/>
    <n v="2900105"/>
    <n v="0"/>
    <n v="6730.1752191955848"/>
    <n v="75673.331991483719"/>
    <x v="1772"/>
    <n v="53.5"/>
  </r>
  <r>
    <s v=" 28-02-2017"/>
    <x v="25"/>
    <s v=" Monthly"/>
    <n v="3.43"/>
    <n v="2227459"/>
    <n v="76402"/>
    <n v="2019.0525657586754"/>
    <n v="45242.248426872386"/>
    <x v="1289"/>
    <n v="42.48"/>
  </r>
  <r>
    <s v=" 31-03-2017"/>
    <x v="25"/>
    <s v=" Monthly"/>
    <n v="0"/>
    <n v="2055971"/>
    <n v="0"/>
    <n v="54087.115769727599"/>
    <n v="45023.692937814783"/>
    <x v="1773"/>
    <n v="37.79"/>
  </r>
  <r>
    <s v=" 30-04-2017"/>
    <x v="25"/>
    <s v=" Monthly"/>
    <n v="0"/>
    <n v="2278360"/>
    <n v="0"/>
    <n v="16226.134730918278"/>
    <n v="53240.129663547646"/>
    <x v="1774"/>
    <n v="41.8"/>
  </r>
  <r>
    <s v=" 31-05-2017"/>
    <x v="25"/>
    <s v=" Monthly"/>
    <n v="0"/>
    <n v="2470733"/>
    <n v="0"/>
    <n v="4867.8404192754833"/>
    <n v="53918.229476368309"/>
    <x v="1775"/>
    <n v="45.24"/>
  </r>
  <r>
    <s v=" 30-06-2017"/>
    <x v="25"/>
    <s v=" Monthly"/>
    <n v="2.17"/>
    <n v="2046275"/>
    <n v="44404"/>
    <n v="1460.3521257826449"/>
    <n v="32723.077539362344"/>
    <x v="1776"/>
    <n v="38.229999999999997"/>
  </r>
  <r>
    <s v=" 31-07-2017"/>
    <x v="25"/>
    <s v=" Monthly"/>
    <n v="0"/>
    <n v="2017383"/>
    <n v="0"/>
    <n v="31520.905637734792"/>
    <n v="26652.956129969381"/>
    <x v="1777"/>
    <n v="36.799999999999997"/>
  </r>
  <r>
    <s v=" 31-08-2017"/>
    <x v="25"/>
    <s v=" Monthly"/>
    <n v="0"/>
    <n v="2315762"/>
    <n v="0"/>
    <n v="9456.2716913204367"/>
    <n v="30883.761943321639"/>
    <x v="1778"/>
    <n v="42.16"/>
  </r>
  <r>
    <s v=" 30-09-2017"/>
    <x v="25"/>
    <s v=" Monthly"/>
    <n v="0"/>
    <n v="2325614"/>
    <n v="0"/>
    <n v="2836.8815073961309"/>
    <n v="31236.439507236963"/>
    <x v="1779"/>
    <n v="42.26"/>
  </r>
  <r>
    <s v=" 31-10-2017"/>
    <x v="25"/>
    <s v=" Monthly"/>
    <n v="1.46"/>
    <n v="1985529"/>
    <n v="28989"/>
    <n v="851.06445221883928"/>
    <n v="19070.364995720942"/>
    <x v="1776"/>
    <n v="36.54"/>
  </r>
  <r>
    <s v=" 30-11-2017"/>
    <x v="25"/>
    <s v=" Monthly"/>
    <n v="3.73"/>
    <n v="2036233"/>
    <n v="75951"/>
    <n v="20547.619335665651"/>
    <n v="17216.391297037844"/>
    <x v="1780"/>
    <n v="38.29"/>
  </r>
  <r>
    <s v=" 31-12-2017"/>
    <x v="25"/>
    <s v=" Monthly"/>
    <n v="1.1399999999999999"/>
    <n v="1937959"/>
    <n v="22093"/>
    <n v="59329.985800699695"/>
    <n v="35913.441785378127"/>
    <x v="1781"/>
    <n v="35.409999999999997"/>
  </r>
  <r>
    <s v=" 31-01-2018"/>
    <x v="25"/>
    <s v=" Monthly"/>
    <n v="0.56000000000000005"/>
    <n v="2062357"/>
    <n v="11549"/>
    <n v="33264.095740209901"/>
    <n v="41824.518795596974"/>
    <x v="1782"/>
    <n v="37.39"/>
  </r>
  <r>
    <s v=" 28-02-2018"/>
    <x v="25"/>
    <s v=" Monthly"/>
    <n v="1.02"/>
    <n v="2025083"/>
    <n v="20656"/>
    <n v="18063.528722062969"/>
    <n v="40528.480042085343"/>
    <x v="1783"/>
    <n v="36.82"/>
  </r>
  <r>
    <s v=" 31-03-2018"/>
    <x v="25"/>
    <s v=" Monthly"/>
    <n v="3"/>
    <n v="2092959"/>
    <n v="62789"/>
    <n v="19878.258616618888"/>
    <n v="24932.304358368223"/>
    <x v="1784"/>
    <n v="38.76"/>
  </r>
  <r>
    <s v=" 30-04-2018"/>
    <x v="25"/>
    <s v=" Monthly"/>
    <n v="0.46"/>
    <n v="1918046"/>
    <n v="8823"/>
    <n v="49915.777584985663"/>
    <n v="27806.462177012181"/>
    <x v="1785"/>
    <n v="34.549999999999997"/>
  </r>
  <r>
    <s v=" 31-05-2018"/>
    <x v="25"/>
    <s v=" Monthly"/>
    <n v="1.02"/>
    <n v="2142532"/>
    <n v="21854"/>
    <n v="21150.833275495697"/>
    <n v="34334.962759299473"/>
    <x v="1786"/>
    <n v="38.74"/>
  </r>
  <r>
    <s v=" 30-06-2018"/>
    <x v="25"/>
    <s v=" Monthly"/>
    <n v="1.05"/>
    <n v="1963765"/>
    <n v="20620"/>
    <n v="21643.049982648707"/>
    <n v="34304.725326418062"/>
    <x v="1787"/>
    <n v="35.450000000000003"/>
  </r>
  <r>
    <s v=" 31-07-2018"/>
    <x v="25"/>
    <s v=" Monthly"/>
    <n v="3.03"/>
    <n v="2045727"/>
    <n v="61986"/>
    <n v="20926.91499479461"/>
    <n v="23735.749720330776"/>
    <x v="1788"/>
    <n v="37.61"/>
  </r>
  <r>
    <s v=" 31-08-2018"/>
    <x v="25"/>
    <s v=" Monthly"/>
    <n v="0.46"/>
    <n v="1930445"/>
    <n v="8880"/>
    <n v="49668.274498438383"/>
    <n v="23716.306177917122"/>
    <x v="1789"/>
    <n v="34.5"/>
  </r>
  <r>
    <s v=" 30-09-2018"/>
    <x v="25"/>
    <s v=" Monthly"/>
    <n v="1.55"/>
    <n v="2109007"/>
    <n v="32690"/>
    <n v="21116.482349531514"/>
    <n v="33419.44757817738"/>
    <x v="1790"/>
    <n v="38.04"/>
  </r>
  <r>
    <s v=" 31-10-2018"/>
    <x v="25"/>
    <s v=" Monthly"/>
    <n v="4.66"/>
    <n v="1940566"/>
    <n v="90430"/>
    <n v="29217.944704859452"/>
    <n v="34075.788613179822"/>
    <x v="1791"/>
    <n v="36.07"/>
  </r>
  <r>
    <s v=" 30-11-2018"/>
    <x v="25"/>
    <s v=" Monthly"/>
    <n v="4.58"/>
    <n v="2030567"/>
    <n v="93000"/>
    <n v="72066.38341145782"/>
    <n v="42990.484841884907"/>
    <x v="1792"/>
    <n v="37.64"/>
  </r>
  <r>
    <s v=" 31-12-2018"/>
    <x v="25"/>
    <s v=" Monthly"/>
    <n v="4.82"/>
    <n v="1958292"/>
    <n v="94390"/>
    <n v="86719.915023437337"/>
    <n v="37943.283673298218"/>
    <x v="1793"/>
    <n v="36.32"/>
  </r>
  <r>
    <s v=" 31-01-2019"/>
    <x v="25"/>
    <s v=" Monthly"/>
    <n v="1.71"/>
    <n v="2164406"/>
    <n v="37011"/>
    <n v="92088.974507031206"/>
    <n v="37611.887396048631"/>
    <x v="1794"/>
    <n v="38.799999999999997"/>
  </r>
  <r>
    <s v=" 28-02-2019"/>
    <x v="25"/>
    <s v=" Monthly"/>
    <n v="5.29"/>
    <n v="1958058"/>
    <n v="103581"/>
    <n v="53534.392352109353"/>
    <n v="34305.635022160037"/>
    <x v="1795"/>
    <n v="36.36"/>
  </r>
  <r>
    <s v=" 31-03-2019"/>
    <x v="25"/>
    <s v=" Monthly"/>
    <n v="5.04"/>
    <n v="1968509"/>
    <n v="99213"/>
    <n v="88567.01770563281"/>
    <n v="43193.658548475141"/>
    <x v="1796"/>
    <n v="36.39"/>
  </r>
  <r>
    <s v=" 30-04-2019"/>
    <x v="25"/>
    <s v=" Monthly"/>
    <n v="6.11"/>
    <n v="1902434"/>
    <n v="116239"/>
    <n v="96019.205311689831"/>
    <n v="43403.468186582613"/>
    <x v="1797"/>
    <n v="35.5"/>
  </r>
  <r>
    <s v=" 31-05-2019"/>
    <x v="25"/>
    <s v=" Monthly"/>
    <n v="1.63"/>
    <n v="2108044"/>
    <n v="34361"/>
    <n v="110173.06159350694"/>
    <n v="31763.920692673226"/>
    <x v="1798"/>
    <n v="37.47"/>
  </r>
  <r>
    <s v=" 30-06-2019"/>
    <x v="25"/>
    <s v=" Monthly"/>
    <n v="4.6500000000000004"/>
    <n v="2021553"/>
    <n v="94002"/>
    <n v="57104.618478052078"/>
    <n v="45715.226199108925"/>
    <x v="1799"/>
    <n v="37.01"/>
  </r>
  <r>
    <s v=" 31-07-2019"/>
    <x v="25"/>
    <s v=" Monthly"/>
    <n v="5.74"/>
    <n v="2000524"/>
    <n v="114830"/>
    <n v="82932.785543415608"/>
    <n v="50059.050275553869"/>
    <x v="1800"/>
    <n v="36.97"/>
  </r>
  <r>
    <s v=" 31-08-2019"/>
    <x v="25"/>
    <s v=" Monthly"/>
    <n v="6.11"/>
    <n v="1911380"/>
    <n v="116785"/>
    <n v="105260.83566302469"/>
    <n v="52045.86994925153"/>
    <x v="1801"/>
    <n v="35.39"/>
  </r>
  <r>
    <s v=" 30-09-2019"/>
    <x v="25"/>
    <s v=" Monthly"/>
    <n v="3.47"/>
    <n v="2157845"/>
    <n v="74877"/>
    <n v="113327.7506989074"/>
    <n v="28934.727790500776"/>
    <x v="1802"/>
    <n v="38.79"/>
  </r>
  <r>
    <s v=" 31-10-2019"/>
    <x v="25"/>
    <s v=" Monthly"/>
    <n v="4.83"/>
    <n v="2027663"/>
    <n v="97936"/>
    <n v="86412.225209672208"/>
    <n v="29601.232424030804"/>
    <x v="1803"/>
    <n v="36.9"/>
  </r>
  <r>
    <s v=" 30-11-2019"/>
    <x v="25"/>
    <s v=" Monthly"/>
    <n v="5.56"/>
    <n v="2007113"/>
    <n v="111595"/>
    <n v="94478.867562901665"/>
    <n v="24111.297340965404"/>
    <x v="1804"/>
    <n v="36.729999999999997"/>
  </r>
  <r>
    <s v=" 31-12-2019"/>
    <x v="25"/>
    <s v=" Monthly"/>
    <n v="4.5199999999999996"/>
    <n v="1947566"/>
    <n v="88030"/>
    <n v="106460.1602688705"/>
    <n v="25194.044298418441"/>
    <x v="1805"/>
    <n v="35.19"/>
  </r>
  <r>
    <s v=" 31-01-2020"/>
    <x v="25"/>
    <s v=" Monthly"/>
    <n v="4.17"/>
    <n v="1986386"/>
    <n v="82832"/>
    <n v="93559.048080661145"/>
    <n v="15973.208637786138"/>
    <x v="1806"/>
    <n v="35.69"/>
  </r>
  <r>
    <s v=" 29-02-2020"/>
    <x v="25"/>
    <s v=" Monthly"/>
    <n v="4.8499999999999996"/>
    <n v="2057523"/>
    <n v="99790"/>
    <n v="86050.114424198342"/>
    <n v="15787.150446543106"/>
    <x v="1807"/>
    <n v="37.159999999999997"/>
  </r>
  <r>
    <s v=" 30-04-2020"/>
    <x v="25"/>
    <s v=" Monthly"/>
    <n v="3.66"/>
    <n v="1972074"/>
    <n v="72178"/>
    <n v="95668.034327259506"/>
    <n v="14646.101002168816"/>
    <x v="1808"/>
    <n v="35.04"/>
  </r>
  <r>
    <s v=" 31-05-2020"/>
    <x v="25"/>
    <s v=" Monthly"/>
    <n v="3.57"/>
    <n v="1915482"/>
    <n v="68383"/>
    <n v="79225.010298177847"/>
    <n v="16888.21807115608"/>
    <x v="1809"/>
    <n v="33.94"/>
  </r>
  <r>
    <s v=" 30-06-2020"/>
    <x v="25"/>
    <s v=" Monthly"/>
    <n v="10.71"/>
    <n v="1675441"/>
    <n v="179440"/>
    <n v="71635.603089453347"/>
    <n v="16912.671340721103"/>
    <x v="1810"/>
    <n v="32"/>
  </r>
  <r>
    <s v=" 31-08-2020"/>
    <x v="25"/>
    <s v=" Monthly"/>
    <n v="11.54"/>
    <n v="1907133"/>
    <n v="220083"/>
    <n v="147098.68092683598"/>
    <n v="64008.121602518295"/>
    <x v="1811"/>
    <n v="36.619999999999997"/>
  </r>
  <r>
    <s v=" 31-10-2020"/>
    <x v="25"/>
    <s v=" Monthly"/>
    <n v="10.1"/>
    <n v="1783067"/>
    <n v="180090"/>
    <n v="198187.70427805078"/>
    <n v="75423.356265650873"/>
    <x v="1812"/>
    <n v="33.56"/>
  </r>
  <r>
    <s v=" 31-12-2020"/>
    <x v="25"/>
    <s v=" Monthly"/>
    <n v="5.56"/>
    <n v="1811937"/>
    <n v="100744"/>
    <n v="185519.31128341521"/>
    <n v="75885.935728029493"/>
    <x v="1813"/>
    <n v="32.340000000000003"/>
  </r>
  <r>
    <s v=" 31-01-2021"/>
    <x v="25"/>
    <s v=" Monthly"/>
    <n v="2.59"/>
    <n v="1786648"/>
    <n v="46274"/>
    <n v="126176.59338502455"/>
    <n v="65424.488620875331"/>
    <x v="1814"/>
    <n v="30.85"/>
  </r>
  <r>
    <s v=" 28-02-2021"/>
    <x v="25"/>
    <s v=" Monthly"/>
    <n v="4.17"/>
    <n v="1806312"/>
    <n v="75323"/>
    <n v="70244.778015507356"/>
    <n v="68065.666168752781"/>
    <x v="1815"/>
    <n v="31.65"/>
  </r>
  <r>
    <s v=" 31-03-2021"/>
    <x v="25"/>
    <s v=" Monthly"/>
    <n v="2.27"/>
    <n v="1666221"/>
    <n v="37823"/>
    <n v="73799.533404652204"/>
    <n v="67322.770222702267"/>
    <x v="1816"/>
    <n v="28.57"/>
  </r>
  <r>
    <s v=" 30-04-2021"/>
    <x v="25"/>
    <s v=" Monthly"/>
    <n v="5.95"/>
    <n v="2031872"/>
    <n v="120896"/>
    <n v="48615.960021395658"/>
    <n v="50677.160286110513"/>
    <x v="1817"/>
    <n v="36.130000000000003"/>
  </r>
  <r>
    <s v=" 31-05-2021"/>
    <x v="25"/>
    <s v=" Monthly"/>
    <n v="3.95"/>
    <n v="1669166"/>
    <n v="65932"/>
    <n v="99211.988006418687"/>
    <n v="46706.542987924375"/>
    <x v="1818"/>
    <n v="29.01"/>
  </r>
  <r>
    <s v=" 30-06-2021"/>
    <x v="25"/>
    <s v=" Monthly"/>
    <n v="4.82"/>
    <n v="1852243"/>
    <n v="89278"/>
    <n v="75915.9964019256"/>
    <n v="50419.152236797447"/>
    <x v="1819"/>
    <n v="32.42"/>
  </r>
  <r>
    <s v=" 31-07-2021"/>
    <x v="25"/>
    <s v=" Monthly"/>
    <n v="2.13"/>
    <n v="1686888"/>
    <n v="35931"/>
    <n v="85269.398920577674"/>
    <n v="46585.06527908906"/>
    <x v="1820"/>
    <n v="28.66"/>
  </r>
  <r>
    <s v=" 31-08-2021"/>
    <x v="25"/>
    <s v=" Monthly"/>
    <n v="6.33"/>
    <n v="1949057"/>
    <n v="123375"/>
    <n v="50732.519676173295"/>
    <n v="35215.424413687368"/>
    <x v="1821"/>
    <n v="34.53"/>
  </r>
  <r>
    <s v=" 30-09-2021"/>
    <x v="25"/>
    <s v=" Monthly"/>
    <n v="3.75"/>
    <n v="1781224"/>
    <n v="66796"/>
    <n v="101582.25590285199"/>
    <n v="51282.715398070737"/>
    <x v="1822"/>
    <n v="30.65"/>
  </r>
  <r>
    <s v=" 31-10-2021"/>
    <x v="25"/>
    <s v=" Monthly"/>
    <n v="3.16"/>
    <n v="1908449"/>
    <n v="60307"/>
    <n v="77231.876770855597"/>
    <n v="54532.226421271043"/>
    <x v="1823"/>
    <n v="32.58"/>
  </r>
  <r>
    <s v=" 30-11-2021"/>
    <x v="25"/>
    <s v=" Monthly"/>
    <n v="2.27"/>
    <n v="1761053"/>
    <n v="39976"/>
    <n v="65384.463031256673"/>
    <n v="47516.540983271996"/>
    <x v="1824"/>
    <n v="29.73"/>
  </r>
  <r>
    <s v=" 31-12-2021"/>
    <x v="25"/>
    <s v=" Monthly"/>
    <n v="5.09"/>
    <n v="1945373"/>
    <n v="99019"/>
    <n v="47598.538909376999"/>
    <n v="26721.558381814048"/>
    <x v="1825"/>
    <n v="33.75"/>
  </r>
  <r>
    <s v=" 31-01-2022"/>
    <x v="25"/>
    <s v=" Monthly"/>
    <n v="3.54"/>
    <n v="1832358"/>
    <n v="64865"/>
    <n v="83592.861672813087"/>
    <n v="34525.86115793811"/>
    <x v="1826"/>
    <n v="31.22"/>
  </r>
  <r>
    <s v=" 28-02-2022"/>
    <x v="25"/>
    <s v=" Monthly"/>
    <n v="5.13"/>
    <n v="1790210"/>
    <n v="91838"/>
    <n v="70483.358501843933"/>
    <n v="34834.784412609915"/>
    <x v="1827"/>
    <n v="30.95"/>
  </r>
  <r>
    <s v=" 31-03-2022"/>
    <x v="25"/>
    <s v=" Monthly"/>
    <n v="2.08"/>
    <n v="1631256"/>
    <n v="33930"/>
    <n v="85431.607550553177"/>
    <n v="33915.666660719224"/>
    <x v="1828"/>
    <n v="27.27"/>
  </r>
  <r>
    <s v=" 30-04-2022"/>
    <x v="25"/>
    <s v=" Monthly"/>
    <n v="5.53"/>
    <n v="1915518"/>
    <n v="105928"/>
    <n v="49380.482265165949"/>
    <n v="33956.68366533058"/>
    <x v="1829"/>
    <n v="33.130000000000003"/>
  </r>
  <r>
    <s v=" 31-01-2016"/>
    <x v="26"/>
    <s v=" Monthly"/>
    <n v="8.3000000000000007"/>
    <n v="22075472"/>
    <n v="1832264"/>
    <n v="88963.744679549767"/>
    <n v="45847.784591251286"/>
    <x v="1830"/>
    <n v="48.57"/>
  </r>
  <r>
    <s v=" 29-02-2016"/>
    <x v="26"/>
    <s v=" Monthly"/>
    <n v="4.66"/>
    <n v="21471002"/>
    <n v="1000549"/>
    <n v="1309273.9234038647"/>
    <n v="1007463.1205065871"/>
    <x v="1831"/>
    <n v="45.35"/>
  </r>
  <r>
    <s v=" 31-03-2016"/>
    <x v="26"/>
    <s v=" Monthly"/>
    <n v="8.4"/>
    <n v="21405797"/>
    <n v="1798087"/>
    <n v="1093166.4770211594"/>
    <n v="1022676.9578403926"/>
    <x v="1832"/>
    <n v="46.96"/>
  </r>
  <r>
    <s v=" 30-04-2016"/>
    <x v="26"/>
    <s v=" Monthly"/>
    <n v="7.64"/>
    <n v="21089931"/>
    <n v="1611271"/>
    <n v="1586610.8431063476"/>
    <n v="1100199.9518644828"/>
    <x v="1833"/>
    <n v="45.8"/>
  </r>
  <r>
    <s v=" 31-05-2016"/>
    <x v="26"/>
    <s v=" Monthly"/>
    <n v="5.64"/>
    <n v="22359938"/>
    <n v="1261101"/>
    <n v="1603872.9529319042"/>
    <n v="444534.26766504889"/>
    <x v="1834"/>
    <n v="47.42"/>
  </r>
  <r>
    <s v=" 30-06-2016"/>
    <x v="26"/>
    <s v=" Monthly"/>
    <n v="5.72"/>
    <n v="20823298"/>
    <n v="1191093"/>
    <n v="1363932.5858795713"/>
    <n v="452774.2921042571"/>
    <x v="1835"/>
    <n v="44.12"/>
  </r>
  <r>
    <s v=" 31-07-2016"/>
    <x v="26"/>
    <s v=" Monthly"/>
    <n v="8.17"/>
    <n v="21126808"/>
    <n v="1726060"/>
    <n v="1242944.8757638712"/>
    <n v="222091.76594506516"/>
    <x v="1836"/>
    <n v="45.86"/>
  </r>
  <r>
    <s v=" 31-08-2016"/>
    <x v="26"/>
    <s v=" Monthly"/>
    <n v="6.41"/>
    <n v="22080987"/>
    <n v="1415391"/>
    <n v="1581125.4627291614"/>
    <n v="356261.30738989107"/>
    <x v="1837"/>
    <n v="46.93"/>
  </r>
  <r>
    <s v=" 30-09-2016"/>
    <x v="26"/>
    <s v=" Monthly"/>
    <n v="7.74"/>
    <n v="23690379"/>
    <n v="1833635"/>
    <n v="1465111.3388187485"/>
    <n v="311309.95157497271"/>
    <x v="1838"/>
    <n v="50.97"/>
  </r>
  <r>
    <s v=" 31-10-2016"/>
    <x v="26"/>
    <s v=" Monthly"/>
    <n v="4.07"/>
    <n v="22053746"/>
    <n v="897587"/>
    <n v="1723077.9016456245"/>
    <n v="363628.85118952807"/>
    <x v="1839"/>
    <n v="45.54"/>
  </r>
  <r>
    <s v=" 30-11-2016"/>
    <x v="26"/>
    <s v=" Monthly"/>
    <n v="7.92"/>
    <n v="21312030"/>
    <n v="1687913"/>
    <n v="1145234.2704936871"/>
    <n v="530632.58779380913"/>
    <x v="1840"/>
    <n v="45.76"/>
  </r>
  <r>
    <s v=" 31-12-2016"/>
    <x v="26"/>
    <s v=" Monthly"/>
    <n v="5.48"/>
    <n v="22049104"/>
    <n v="1208291"/>
    <n v="1525109.381148106"/>
    <n v="608754.22544973646"/>
    <x v="1841"/>
    <n v="46.02"/>
  </r>
  <r>
    <s v=" 31-01-2017"/>
    <x v="26"/>
    <s v=" Monthly"/>
    <n v="5.75"/>
    <n v="22887232"/>
    <n v="1316016"/>
    <n v="1303336.5143444317"/>
    <n v="598973.93343160837"/>
    <x v="1842"/>
    <n v="47.81"/>
  </r>
  <r>
    <s v=" 28-02-2017"/>
    <x v="26"/>
    <s v=" Monthly"/>
    <n v="4.18"/>
    <n v="22306933"/>
    <n v="932430"/>
    <n v="1312212.1543033295"/>
    <n v="362875.02873963933"/>
    <x v="1843"/>
    <n v="45.75"/>
  </r>
  <r>
    <s v=" 31-03-2017"/>
    <x v="26"/>
    <s v=" Monthly"/>
    <n v="6.9"/>
    <n v="21696106"/>
    <n v="1497031"/>
    <n v="1046364.6462909989"/>
    <n v="285639.13172455574"/>
    <x v="1844"/>
    <n v="45.7"/>
  </r>
  <r>
    <s v=" 30-04-2017"/>
    <x v="26"/>
    <s v=" Monthly"/>
    <n v="4.75"/>
    <n v="22540227"/>
    <n v="1070661"/>
    <n v="1361831.0938872995"/>
    <n v="340340.71969578479"/>
    <x v="1845"/>
    <n v="46.31"/>
  </r>
  <r>
    <s v=" 31-05-2017"/>
    <x v="26"/>
    <s v=" Monthly"/>
    <n v="4.67"/>
    <n v="23554388"/>
    <n v="1099990"/>
    <n v="1158012.0281661898"/>
    <n v="379523.67983521277"/>
    <x v="1846"/>
    <n v="48.26"/>
  </r>
  <r>
    <s v=" 30-06-2017"/>
    <x v="26"/>
    <s v=" Monthly"/>
    <n v="4.1399999999999997"/>
    <n v="23015128"/>
    <n v="952826"/>
    <n v="1117396.608449857"/>
    <n v="311580.24204166274"/>
    <x v="1847"/>
    <n v="46.8"/>
  </r>
  <r>
    <s v=" 31-07-2017"/>
    <x v="26"/>
    <s v=" Monthly"/>
    <n v="6.71"/>
    <n v="21847440"/>
    <n v="1465963"/>
    <n v="1002197.1825349571"/>
    <n v="195984.74812462073"/>
    <x v="1848"/>
    <n v="45.55"/>
  </r>
  <r>
    <s v=" 31-08-2017"/>
    <x v="26"/>
    <s v=" Monthly"/>
    <n v="4.55"/>
    <n v="22455769"/>
    <n v="1021737"/>
    <n v="1326833.254760487"/>
    <n v="286082.0245821664"/>
    <x v="1849"/>
    <n v="45.67"/>
  </r>
  <r>
    <s v=" 30-09-2017"/>
    <x v="26"/>
    <s v=" Monthly"/>
    <n v="6.24"/>
    <n v="22305161"/>
    <n v="1391842"/>
    <n v="1113265.8764281459"/>
    <n v="334288.27045104431"/>
    <x v="1850"/>
    <n v="46.08"/>
  </r>
  <r>
    <s v=" 31-10-2017"/>
    <x v="26"/>
    <s v=" Monthly"/>
    <n v="5.08"/>
    <n v="23412291"/>
    <n v="1189344"/>
    <n v="1308269.1629284436"/>
    <n v="358593.13747951936"/>
    <x v="1851"/>
    <n v="47.68"/>
  </r>
  <r>
    <s v=" 30-11-2017"/>
    <x v="26"/>
    <s v=" Monthly"/>
    <n v="5.95"/>
    <n v="22561441"/>
    <n v="1342406"/>
    <n v="1225021.5488785331"/>
    <n v="248214.67568132345"/>
    <x v="1852"/>
    <n v="46.28"/>
  </r>
  <r>
    <s v=" 31-12-2017"/>
    <x v="26"/>
    <s v=" Monthly"/>
    <n v="4.4800000000000004"/>
    <n v="23349724"/>
    <n v="1046068"/>
    <n v="1307190.6646635598"/>
    <n v="187551.73541094011"/>
    <x v="1853"/>
    <n v="47.06"/>
  </r>
  <r>
    <s v=" 31-01-2018"/>
    <x v="26"/>
    <s v=" Monthly"/>
    <n v="7.87"/>
    <n v="22219046"/>
    <n v="1748639"/>
    <n v="1124404.7993990679"/>
    <n v="178985.42747352627"/>
    <x v="1854"/>
    <n v="46.33"/>
  </r>
  <r>
    <s v=" 28-02-2018"/>
    <x v="26"/>
    <s v=" Monthly"/>
    <n v="8.7899999999999991"/>
    <n v="23869814"/>
    <n v="2098157"/>
    <n v="1561368.7398197202"/>
    <n v="396498.21040620544"/>
    <x v="1855"/>
    <n v="50.19"/>
  </r>
  <r>
    <s v=" 31-03-2018"/>
    <x v="26"/>
    <s v=" Monthly"/>
    <n v="8.7200000000000006"/>
    <n v="22389479"/>
    <n v="1952363"/>
    <n v="1937120.5219459159"/>
    <n v="498663.21950733254"/>
    <x v="1856"/>
    <n v="46.94"/>
  </r>
  <r>
    <s v=" 30-04-2018"/>
    <x v="26"/>
    <s v=" Monthly"/>
    <n v="5.63"/>
    <n v="22899228"/>
    <n v="1289227"/>
    <n v="1947790.2565837745"/>
    <n v="475409.40483071562"/>
    <x v="1857"/>
    <n v="46.34"/>
  </r>
  <r>
    <s v=" 31-05-2018"/>
    <x v="26"/>
    <s v=" Monthly"/>
    <n v="7.33"/>
    <n v="22622121"/>
    <n v="1658201"/>
    <n v="1486795.9769751322"/>
    <n v="490604.90972092381"/>
    <x v="1858"/>
    <n v="46.52"/>
  </r>
  <r>
    <s v=" 30-06-2018"/>
    <x v="26"/>
    <s v=" Monthly"/>
    <n v="7.56"/>
    <n v="24109126"/>
    <n v="1822650"/>
    <n v="1606779.4930925397"/>
    <n v="392987.52226909663"/>
    <x v="1859"/>
    <n v="49.6"/>
  </r>
  <r>
    <s v=" 31-07-2018"/>
    <x v="26"/>
    <s v=" Monthly"/>
    <n v="6.21"/>
    <n v="23719522"/>
    <n v="1472982"/>
    <n v="1757888.847927762"/>
    <n v="412183.34132311627"/>
    <x v="1860"/>
    <n v="48"/>
  </r>
  <r>
    <s v=" 31-08-2018"/>
    <x v="26"/>
    <s v=" Monthly"/>
    <n v="4.8"/>
    <n v="23036472"/>
    <n v="1105751"/>
    <n v="1558454.0543783284"/>
    <n v="228875.27146663103"/>
    <x v="1861"/>
    <n v="45.83"/>
  </r>
  <r>
    <s v=" 30-09-2018"/>
    <x v="26"/>
    <s v=" Monthly"/>
    <n v="6.37"/>
    <n v="22959228"/>
    <n v="1462503"/>
    <n v="1241561.9163134985"/>
    <n v="333022.54337711359"/>
    <x v="1862"/>
    <n v="46.35"/>
  </r>
  <r>
    <s v=" 31-10-2018"/>
    <x v="26"/>
    <s v=" Monthly"/>
    <n v="6.27"/>
    <n v="24343879"/>
    <n v="1526361"/>
    <n v="1396220.6748940495"/>
    <n v="334129.18155516154"/>
    <x v="1863"/>
    <n v="48.99"/>
  </r>
  <r>
    <s v=" 30-11-2018"/>
    <x v="26"/>
    <s v=" Monthly"/>
    <n v="5.73"/>
    <n v="24083524"/>
    <n v="1379986"/>
    <n v="1487318.9024682147"/>
    <n v="300383.93328245543"/>
    <x v="1864"/>
    <n v="48.09"/>
  </r>
  <r>
    <s v=" 31-12-2018"/>
    <x v="26"/>
    <s v=" Monthly"/>
    <n v="5.38"/>
    <n v="23436809"/>
    <n v="1260900"/>
    <n v="1412185.8707404644"/>
    <n v="160490.72520605818"/>
    <x v="1865"/>
    <n v="46.53"/>
  </r>
  <r>
    <s v=" 31-01-2019"/>
    <x v="26"/>
    <s v=" Monthly"/>
    <n v="6.7"/>
    <n v="23418234"/>
    <n v="1569022"/>
    <n v="1306285.7612221392"/>
    <n v="130823.38075516712"/>
    <x v="1866"/>
    <n v="47.06"/>
  </r>
  <r>
    <s v=" 28-02-2019"/>
    <x v="26"/>
    <s v=" Monthly"/>
    <n v="5.99"/>
    <n v="24664811"/>
    <n v="1477422"/>
    <n v="1490201.1283666417"/>
    <n v="185686.20286663633"/>
    <x v="1867"/>
    <n v="49.09"/>
  </r>
  <r>
    <s v=" 31-03-2019"/>
    <x v="26"/>
    <s v=" Monthly"/>
    <n v="5.54"/>
    <n v="25033573"/>
    <n v="1386860"/>
    <n v="1481255.7385099924"/>
    <n v="175196.130070129"/>
    <x v="1868"/>
    <n v="49.49"/>
  </r>
  <r>
    <s v=" 30-04-2019"/>
    <x v="26"/>
    <s v=" Monthly"/>
    <n v="6.51"/>
    <n v="24167841"/>
    <n v="1573326"/>
    <n v="1415178.7215529976"/>
    <n v="161352.81501293476"/>
    <x v="1869"/>
    <n v="48.18"/>
  </r>
  <r>
    <s v=" 31-05-2019"/>
    <x v="26"/>
    <s v=" Monthly"/>
    <n v="6.02"/>
    <n v="23452891"/>
    <n v="1411864"/>
    <n v="1525881.8164658993"/>
    <n v="106590.21726664488"/>
    <x v="1870"/>
    <n v="46.41"/>
  </r>
  <r>
    <s v=" 30-06-2019"/>
    <x v="26"/>
    <s v=" Monthly"/>
    <n v="5.85"/>
    <n v="25543479"/>
    <n v="1494294"/>
    <n v="1446069.3449397697"/>
    <n v="125061.55764354885"/>
    <x v="1871"/>
    <n v="50.36"/>
  </r>
  <r>
    <s v=" 31-07-2019"/>
    <x v="26"/>
    <s v=" Monthly"/>
    <n v="5.62"/>
    <n v="24857801"/>
    <n v="1397008"/>
    <n v="1479826.6034819309"/>
    <n v="115954.36100397921"/>
    <x v="1872"/>
    <n v="48.78"/>
  </r>
  <r>
    <s v=" 31-08-2019"/>
    <x v="26"/>
    <s v=" Monthly"/>
    <n v="5.58"/>
    <n v="24924839"/>
    <n v="1390806"/>
    <n v="1421853.5810445792"/>
    <n v="85993.412364023563"/>
    <x v="1873"/>
    <n v="48.79"/>
  </r>
  <r>
    <s v=" 30-09-2019"/>
    <x v="26"/>
    <s v=" Monthly"/>
    <n v="5.81"/>
    <n v="24623902"/>
    <n v="1430649"/>
    <n v="1400120.2743133737"/>
    <n v="58162.103145992478"/>
    <x v="1874"/>
    <n v="48.22"/>
  </r>
  <r>
    <s v=" 31-10-2019"/>
    <x v="26"/>
    <s v=" Monthly"/>
    <n v="6.78"/>
    <n v="24353011"/>
    <n v="1651134"/>
    <n v="1421490.382294012"/>
    <n v="54021.219483539629"/>
    <x v="1875"/>
    <n v="48.09"/>
  </r>
  <r>
    <s v=" 30-11-2019"/>
    <x v="26"/>
    <s v=" Monthly"/>
    <n v="5.83"/>
    <n v="25630349"/>
    <n v="1494249"/>
    <n v="1582240.9146882035"/>
    <n v="134947.08411554378"/>
    <x v="1876"/>
    <n v="50"/>
  </r>
  <r>
    <s v=" 31-12-2019"/>
    <x v="26"/>
    <s v=" Monthly"/>
    <n v="5.79"/>
    <n v="24906236"/>
    <n v="1442071"/>
    <n v="1520646.5744064609"/>
    <n v="143074.30621375187"/>
    <x v="1877"/>
    <n v="48.47"/>
  </r>
  <r>
    <s v=" 31-01-2020"/>
    <x v="26"/>
    <s v=" Monthly"/>
    <n v="6.79"/>
    <n v="24612171"/>
    <n v="1671166"/>
    <n v="1465643.6723219382"/>
    <n v="149055.79391276644"/>
    <x v="1878"/>
    <n v="48.3"/>
  </r>
  <r>
    <s v=" 29-02-2020"/>
    <x v="26"/>
    <s v=" Monthly"/>
    <n v="3.78"/>
    <n v="26093009"/>
    <n v="986316"/>
    <n v="1609509.3016965813"/>
    <n v="136816.33079669249"/>
    <x v="1879"/>
    <n v="49.51"/>
  </r>
  <r>
    <s v=" 31-03-2020"/>
    <x v="26"/>
    <s v=" Monthly"/>
    <n v="7.02"/>
    <n v="25097812"/>
    <n v="1761866"/>
    <n v="1173273.9905089743"/>
    <n v="381568.44704762124"/>
    <x v="1880"/>
    <n v="49.18"/>
  </r>
  <r>
    <s v=" 30-04-2020"/>
    <x v="26"/>
    <s v=" Monthly"/>
    <n v="18.32"/>
    <n v="17639370"/>
    <n v="3231533"/>
    <n v="1585288.3971526923"/>
    <n v="508936.7583797875"/>
    <x v="1881"/>
    <n v="39.270000000000003"/>
  </r>
  <r>
    <s v=" 31-05-2020"/>
    <x v="26"/>
    <s v=" Monthly"/>
    <n v="18.43"/>
    <n v="19115772"/>
    <n v="3523037"/>
    <n v="2737659.6191458073"/>
    <n v="1071592.5434168933"/>
    <x v="1882"/>
    <n v="42.53"/>
  </r>
  <r>
    <s v=" 30-06-2020"/>
    <x v="26"/>
    <s v=" Monthly"/>
    <n v="5.96"/>
    <n v="21532156"/>
    <n v="1283316"/>
    <n v="3287423.7857437422"/>
    <n v="1106553.1281714351"/>
    <x v="1883"/>
    <n v="41.47"/>
  </r>
  <r>
    <s v=" 31-07-2020"/>
    <x v="26"/>
    <s v=" Monthly"/>
    <n v="4.4000000000000004"/>
    <n v="25839438"/>
    <n v="1136935"/>
    <n v="1884548.3357231226"/>
    <n v="1564543.2709090074"/>
    <x v="1884"/>
    <n v="48.85"/>
  </r>
  <r>
    <s v=" 31-08-2020"/>
    <x v="26"/>
    <s v=" Monthly"/>
    <n v="13.13"/>
    <n v="23276167"/>
    <n v="3056161"/>
    <n v="1361219.0007169368"/>
    <n v="1315572.2895362729"/>
    <x v="1885"/>
    <n v="48.32"/>
  </r>
  <r>
    <s v=" 30-09-2020"/>
    <x v="26"/>
    <s v=" Monthly"/>
    <n v="8"/>
    <n v="25355088"/>
    <n v="2028407"/>
    <n v="2547678.4002150809"/>
    <n v="1575669.3918843307"/>
    <x v="1886"/>
    <n v="49.6"/>
  </r>
  <r>
    <s v=" 31-10-2020"/>
    <x v="26"/>
    <s v=" Monthly"/>
    <n v="10.48"/>
    <n v="23913470"/>
    <n v="2506132"/>
    <n v="2184188.4200645243"/>
    <n v="1110765.0318235704"/>
    <x v="1887"/>
    <n v="47.98"/>
  </r>
  <r>
    <s v=" 30-11-2020"/>
    <x v="26"/>
    <s v=" Monthly"/>
    <n v="12.38"/>
    <n v="23159145"/>
    <n v="2867102"/>
    <n v="2409548.9260193571"/>
    <n v="1040211.3305600723"/>
    <x v="1888"/>
    <n v="47.38"/>
  </r>
  <r>
    <s v=" 31-12-2020"/>
    <x v="26"/>
    <s v=" Monthly"/>
    <n v="5.52"/>
    <n v="25277052"/>
    <n v="1395293"/>
    <n v="2729836.0778058069"/>
    <n v="440698.41208856064"/>
    <x v="1889"/>
    <n v="47.85"/>
  </r>
  <r>
    <s v=" 31-01-2021"/>
    <x v="26"/>
    <s v=" Monthly"/>
    <n v="4.83"/>
    <n v="25877979"/>
    <n v="1249906"/>
    <n v="1795655.923341742"/>
    <n v="835465.48117206327"/>
    <x v="1890"/>
    <n v="48.54"/>
  </r>
  <r>
    <s v=" 28-02-2021"/>
    <x v="26"/>
    <s v=" Monthly"/>
    <n v="6.35"/>
    <n v="26281435"/>
    <n v="1668871"/>
    <n v="1413630.9770025224"/>
    <n v="873346.63237763138"/>
    <x v="1891"/>
    <n v="50"/>
  </r>
  <r>
    <s v=" 31-03-2021"/>
    <x v="26"/>
    <s v=" Monthly"/>
    <n v="7.68"/>
    <n v="25044372"/>
    <n v="1923408"/>
    <n v="1592298.9931007568"/>
    <n v="845378.74641816935"/>
    <x v="1892"/>
    <n v="48.23"/>
  </r>
  <r>
    <s v=" 30-04-2021"/>
    <x v="26"/>
    <s v=" Monthly"/>
    <n v="7.49"/>
    <n v="23876542"/>
    <n v="1788353"/>
    <n v="1824075.2979302269"/>
    <n v="396914.60988356732"/>
    <x v="1893"/>
    <n v="45.8"/>
  </r>
  <r>
    <s v=" 31-05-2021"/>
    <x v="26"/>
    <s v=" Monthly"/>
    <n v="21.81"/>
    <n v="18987650"/>
    <n v="4141206"/>
    <n v="1799069.6893790679"/>
    <n v="242251.05872418932"/>
    <x v="1894"/>
    <n v="43"/>
  </r>
  <r>
    <s v=" 30-06-2021"/>
    <x v="26"/>
    <s v=" Monthly"/>
    <n v="25.56"/>
    <n v="19779606"/>
    <n v="5055667"/>
    <n v="3438565.10681372"/>
    <n v="1365834.5134688718"/>
    <x v="1895"/>
    <n v="46.95"/>
  </r>
  <r>
    <s v=" 31-07-2021"/>
    <x v="26"/>
    <s v=" Monthly"/>
    <n v="6.59"/>
    <n v="24573809"/>
    <n v="1619414"/>
    <n v="4570536.4320441158"/>
    <n v="1643360.0856218436"/>
    <x v="1896"/>
    <n v="46.39"/>
  </r>
  <r>
    <s v=" 31-08-2021"/>
    <x v="26"/>
    <s v=" Monthly"/>
    <n v="6.62"/>
    <n v="24494680"/>
    <n v="1621548"/>
    <n v="2504750.7296132343"/>
    <n v="2367118.1240339247"/>
    <x v="1897"/>
    <n v="46.16"/>
  </r>
  <r>
    <s v=" 30-09-2021"/>
    <x v="26"/>
    <s v=" Monthly"/>
    <n v="6.59"/>
    <n v="25210093"/>
    <n v="1661345"/>
    <n v="1886508.8188839701"/>
    <n v="2008663.6688320003"/>
    <x v="1898"/>
    <n v="47.4"/>
  </r>
  <r>
    <s v=" 31-10-2021"/>
    <x v="26"/>
    <s v=" Monthly"/>
    <n v="5.6"/>
    <n v="25424790"/>
    <n v="1423788"/>
    <n v="1728894.1456651911"/>
    <n v="1783243.245311256"/>
    <x v="1899"/>
    <n v="47.2"/>
  </r>
  <r>
    <s v=" 30-11-2021"/>
    <x v="26"/>
    <s v=" Monthly"/>
    <n v="5.93"/>
    <n v="25006196"/>
    <n v="1482867"/>
    <n v="1515319.8436995572"/>
    <n v="554928.09355607803"/>
    <x v="1900"/>
    <n v="46.49"/>
  </r>
  <r>
    <s v=" 31-12-2021"/>
    <x v="26"/>
    <s v=" Monthly"/>
    <n v="6.8"/>
    <n v="24215396"/>
    <n v="1646647"/>
    <n v="1492602.8531098671"/>
    <n v="219728.38727337139"/>
    <x v="1901"/>
    <n v="45.35"/>
  </r>
  <r>
    <s v=" 31-01-2022"/>
    <x v="26"/>
    <s v=" Monthly"/>
    <n v="5.82"/>
    <n v="25640434"/>
    <n v="1492273"/>
    <n v="1600433.75593296"/>
    <n v="198219.1938048765"/>
    <x v="1902"/>
    <n v="47.42"/>
  </r>
  <r>
    <s v=" 28-02-2022"/>
    <x v="26"/>
    <s v=" Monthly"/>
    <n v="6.54"/>
    <n v="25330389"/>
    <n v="1656607"/>
    <n v="1524721.2267798879"/>
    <n v="110274.71057815276"/>
    <x v="1903"/>
    <n v="47.12"/>
  </r>
  <r>
    <s v=" 31-03-2022"/>
    <x v="26"/>
    <s v=" Monthly"/>
    <n v="5.0599999999999996"/>
    <n v="24580354"/>
    <n v="1243766"/>
    <n v="1617041.2680339662"/>
    <n v="132692.88538195385"/>
    <x v="1904"/>
    <n v="44.92"/>
  </r>
  <r>
    <s v=" 30-04-2022"/>
    <x v="26"/>
    <s v=" Monthly"/>
    <n v="5.26"/>
    <n v="24548458"/>
    <n v="1291249"/>
    <n v="1355748.5804101899"/>
    <n v="236943.75705898751"/>
    <x v="1905"/>
    <n v="44.86"/>
  </r>
  <r>
    <m/>
    <x v="27"/>
    <m/>
    <m/>
    <m/>
    <m/>
    <m/>
    <m/>
    <x v="190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95674-DAB0-4CD6-BDA4-707EE429222C}" name="PivotTable13" cacheId="44" applyNumberFormats="0" applyBorderFormats="0" applyFontFormats="0" applyPatternFormats="0" applyAlignmentFormats="0" applyWidthHeightFormats="1" dataCaption="Values" grandTotalCaption="India" updatedVersion="7" minRefreshableVersion="3" useAutoFormatting="1" itemPrintTitles="1" createdVersion="7" indent="0" outline="1" outlineData="1" multipleFieldFilters="0" rowHeaderCaption="States">
  <location ref="A3:F32" firstHeaderRow="0" firstDataRow="1" firstDataCol="1"/>
  <pivotFields count="10">
    <pivotField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dataField="1" showAll="0"/>
    <pivotField showAll="0"/>
    <pivotField dataField="1" showAll="0"/>
    <pivotField dataField="1" showAll="0"/>
    <pivotField dataField="1" showAll="0"/>
    <pivotField dataField="1" showAll="0">
      <items count="1908">
        <item x="1776"/>
        <item x="1289"/>
        <item x="1288"/>
        <item x="1474"/>
        <item x="1475"/>
        <item x="1766"/>
        <item x="1476"/>
        <item x="1282"/>
        <item x="1248"/>
        <item x="1772"/>
        <item x="1775"/>
        <item x="1779"/>
        <item x="219"/>
        <item x="1769"/>
        <item x="1249"/>
        <item x="1287"/>
        <item x="1764"/>
        <item x="1162"/>
        <item x="1247"/>
        <item x="1765"/>
        <item x="1473"/>
        <item x="1293"/>
        <item x="1250"/>
        <item x="1281"/>
        <item x="593"/>
        <item x="1628"/>
        <item x="1479"/>
        <item x="417"/>
        <item x="494"/>
        <item x="1121"/>
        <item x="1763"/>
        <item x="592"/>
        <item x="1278"/>
        <item x="218"/>
        <item x="863"/>
        <item x="78"/>
        <item x="859"/>
        <item x="1139"/>
        <item x="1303"/>
        <item x="493"/>
        <item x="1477"/>
        <item x="871"/>
        <item x="1291"/>
        <item x="1771"/>
        <item x="1264"/>
        <item x="1774"/>
        <item x="1778"/>
        <item x="1286"/>
        <item x="1284"/>
        <item x="1768"/>
        <item x="1535"/>
        <item x="1122"/>
        <item x="1161"/>
        <item x="220"/>
        <item x="1292"/>
        <item x="872"/>
        <item x="755"/>
        <item x="1762"/>
        <item x="873"/>
        <item x="1633"/>
        <item x="1575"/>
        <item x="1120"/>
        <item x="1251"/>
        <item x="1272"/>
        <item x="594"/>
        <item x="901"/>
        <item x="754"/>
        <item x="1335"/>
        <item x="1478"/>
        <item x="452"/>
        <item x="293"/>
        <item x="125"/>
        <item x="600"/>
        <item x="531"/>
        <item x="1576"/>
        <item x="1163"/>
        <item x="1783"/>
        <item x="858"/>
        <item x="1226"/>
        <item x="1533"/>
        <item x="1546"/>
        <item x="416"/>
        <item x="1246"/>
        <item x="1230"/>
        <item x="606"/>
        <item x="1134"/>
        <item x="1571"/>
        <item x="126"/>
        <item x="848"/>
        <item x="1153"/>
        <item x="1276"/>
        <item x="534"/>
        <item x="1472"/>
        <item x="1138"/>
        <item x="666"/>
        <item x="1299"/>
        <item x="1634"/>
        <item x="1539"/>
        <item x="217"/>
        <item x="1030"/>
        <item x="268"/>
        <item x="751"/>
        <item x="591"/>
        <item x="1339"/>
        <item x="79"/>
        <item x="832"/>
        <item x="1133"/>
        <item x="1280"/>
        <item x="1416"/>
        <item x="273"/>
        <item x="1545"/>
        <item x="1572"/>
        <item x="599"/>
        <item x="1021"/>
        <item x="1534"/>
        <item x="1747"/>
        <item x="1587"/>
        <item x="1584"/>
        <item x="855"/>
        <item x="758"/>
        <item x="1306"/>
        <item x="314"/>
        <item x="759"/>
        <item x="833"/>
        <item x="1700"/>
        <item x="1194"/>
        <item x="235"/>
        <item x="862"/>
        <item x="1029"/>
        <item x="1786"/>
        <item x="1538"/>
        <item x="1283"/>
        <item x="1787"/>
        <item x="642"/>
        <item x="1790"/>
        <item x="1237"/>
        <item x="1553"/>
        <item x="307"/>
        <item x="415"/>
        <item x="251"/>
        <item x="1307"/>
        <item x="1537"/>
        <item x="1414"/>
        <item x="1300"/>
        <item x="1524"/>
        <item x="1252"/>
        <item x="421"/>
        <item x="1295"/>
        <item x="1497"/>
        <item x="1263"/>
        <item x="1627"/>
        <item x="412"/>
        <item x="596"/>
        <item x="822"/>
        <item x="1585"/>
        <item x="1119"/>
        <item x="402"/>
        <item x="1591"/>
        <item x="1022"/>
        <item x="750"/>
        <item x="831"/>
        <item x="1148"/>
        <item x="1481"/>
        <item x="885"/>
        <item x="1241"/>
        <item x="292"/>
        <item x="1599"/>
        <item x="864"/>
        <item x="1273"/>
        <item x="1632"/>
        <item x="1494"/>
        <item x="451"/>
        <item x="1490"/>
        <item x="1193"/>
        <item x="1033"/>
        <item x="492"/>
        <item x="988"/>
        <item x="1318"/>
        <item x="313"/>
        <item x="1225"/>
        <item x="1336"/>
        <item x="1707"/>
        <item x="844"/>
        <item x="1417"/>
        <item x="1614"/>
        <item x="1703"/>
        <item x="1603"/>
        <item x="291"/>
        <item x="860"/>
        <item x="1583"/>
        <item x="1424"/>
        <item x="837"/>
        <item x="283"/>
        <item x="1574"/>
        <item x="1782"/>
        <item x="608"/>
        <item x="1784"/>
        <item x="835"/>
        <item x="602"/>
        <item x="221"/>
        <item x="1331"/>
        <item x="1748"/>
        <item x="1767"/>
        <item x="390"/>
        <item x="315"/>
        <item x="411"/>
        <item x="510"/>
        <item x="127"/>
        <item x="1158"/>
        <item x="275"/>
        <item x="1746"/>
        <item x="509"/>
        <item x="1165"/>
        <item x="52"/>
        <item x="603"/>
        <item x="756"/>
        <item x="1227"/>
        <item x="282"/>
        <item x="1791"/>
        <item x="107"/>
        <item x="1157"/>
        <item x="1020"/>
        <item x="823"/>
        <item x="242"/>
        <item x="294"/>
        <item x="401"/>
        <item x="1023"/>
        <item x="523"/>
        <item x="878"/>
        <item x="1032"/>
        <item x="1547"/>
        <item x="530"/>
        <item x="1788"/>
        <item x="847"/>
        <item x="1379"/>
        <item x="1630"/>
        <item x="2"/>
        <item x="1277"/>
        <item x="1586"/>
        <item x="227"/>
        <item x="525"/>
        <item x="388"/>
        <item x="1155"/>
        <item x="746"/>
        <item x="1529"/>
        <item x="979"/>
        <item x="598"/>
        <item x="978"/>
        <item x="1265"/>
        <item x="147"/>
        <item x="1898"/>
        <item x="607"/>
        <item x="948"/>
        <item x="821"/>
        <item x="1706"/>
        <item x="309"/>
        <item x="1334"/>
        <item x="1099"/>
        <item x="1260"/>
        <item x="1142"/>
        <item x="795"/>
        <item x="1817"/>
        <item x="527"/>
        <item x="1588"/>
        <item x="658"/>
        <item x="1899"/>
        <item x="498"/>
        <item x="1302"/>
        <item x="1137"/>
        <item x="1708"/>
        <item x="990"/>
        <item x="1141"/>
        <item x="1274"/>
        <item x="252"/>
        <item x="1570"/>
        <item x="1180"/>
        <item x="274"/>
        <item x="529"/>
        <item x="528"/>
        <item x="77"/>
        <item x="524"/>
        <item x="269"/>
        <item x="843"/>
        <item x="1301"/>
        <item x="1704"/>
        <item x="101"/>
        <item x="224"/>
        <item x="1498"/>
        <item x="1037"/>
        <item x="1374"/>
        <item x="1330"/>
        <item x="1486"/>
        <item x="610"/>
        <item x="1815"/>
        <item x="991"/>
        <item x="1885"/>
        <item x="1327"/>
        <item x="1268"/>
        <item x="310"/>
        <item x="849"/>
        <item x="972"/>
        <item x="1028"/>
        <item x="796"/>
        <item x="1185"/>
        <item x="1702"/>
        <item x="1285"/>
        <item x="243"/>
        <item x="1897"/>
        <item x="325"/>
        <item x="4"/>
        <item x="1259"/>
        <item x="644"/>
        <item x="1832"/>
        <item x="1742"/>
        <item x="1304"/>
        <item x="1699"/>
        <item x="1135"/>
        <item x="298"/>
        <item x="234"/>
        <item x="1564"/>
        <item x="1340"/>
        <item x="1555"/>
        <item x="886"/>
        <item x="1816"/>
        <item x="1523"/>
        <item x="900"/>
        <item x="1741"/>
        <item x="128"/>
        <item x="1189"/>
        <item x="133"/>
        <item x="836"/>
        <item x="883"/>
        <item x="105"/>
        <item x="1525"/>
        <item x="226"/>
        <item x="1631"/>
        <item x="1036"/>
        <item x="466"/>
        <item x="1579"/>
        <item x="1371"/>
        <item x="1554"/>
        <item x="887"/>
        <item x="851"/>
        <item x="907"/>
        <item x="1149"/>
        <item x="1491"/>
        <item x="902"/>
        <item x="685"/>
        <item x="222"/>
        <item x="752"/>
        <item x="90"/>
        <item x="1519"/>
        <item x="1528"/>
        <item x="532"/>
        <item x="1577"/>
        <item x="670"/>
        <item x="1059"/>
        <item x="1017"/>
        <item x="1188"/>
        <item x="374"/>
        <item x="1167"/>
        <item x="869"/>
        <item x="1098"/>
        <item x="1515"/>
        <item x="1513"/>
        <item x="495"/>
        <item x="1740"/>
        <item x="995"/>
        <item x="1125"/>
        <item x="870"/>
        <item x="1777"/>
        <item x="1622"/>
        <item x="812"/>
        <item x="1123"/>
        <item x="10"/>
        <item x="54"/>
        <item x="1242"/>
        <item x="1780"/>
        <item x="250"/>
        <item x="680"/>
        <item x="1773"/>
        <item x="284"/>
        <item x="1154"/>
        <item x="1884"/>
        <item x="108"/>
        <item x="1355"/>
        <item x="253"/>
        <item x="1324"/>
        <item x="236"/>
        <item x="1496"/>
        <item x="446"/>
        <item x="1290"/>
        <item x="1480"/>
        <item x="1231"/>
        <item x="422"/>
        <item x="1629"/>
        <item x="1238"/>
        <item x="939"/>
        <item x="1097"/>
        <item x="749"/>
        <item x="1770"/>
        <item x="305"/>
        <item x="986"/>
        <item x="1195"/>
        <item x="1296"/>
        <item x="909"/>
        <item x="1698"/>
        <item x="1058"/>
        <item x="455"/>
        <item x="1338"/>
        <item x="1168"/>
        <item x="1326"/>
        <item x="723"/>
        <item x="1391"/>
        <item x="1171"/>
        <item x="156"/>
        <item x="1482"/>
        <item x="1186"/>
        <item x="244"/>
        <item x="1799"/>
        <item x="659"/>
        <item x="1320"/>
        <item x="905"/>
        <item x="1613"/>
        <item x="1686"/>
        <item x="423"/>
        <item x="152"/>
        <item x="748"/>
        <item x="949"/>
        <item x="667"/>
        <item x="840"/>
        <item x="1181"/>
        <item x="1044"/>
        <item x="1314"/>
        <item x="601"/>
        <item x="1279"/>
        <item x="1412"/>
        <item x="499"/>
        <item x="1294"/>
        <item x="1319"/>
        <item x="21"/>
        <item x="1593"/>
        <item x="442"/>
        <item x="845"/>
        <item x="1558"/>
        <item x="418"/>
        <item x="1831"/>
        <item x="982"/>
        <item x="957"/>
        <item x="453"/>
        <item x="535"/>
        <item x="1598"/>
        <item x="441"/>
        <item x="93"/>
        <item x="15"/>
        <item x="1499"/>
        <item x="324"/>
        <item x="1140"/>
        <item x="263"/>
        <item x="980"/>
        <item x="1310"/>
        <item x="726"/>
        <item x="1232"/>
        <item x="987"/>
        <item x="9"/>
        <item x="643"/>
        <item x="856"/>
        <item x="404"/>
        <item x="897"/>
        <item x="1759"/>
        <item x="1696"/>
        <item x="1495"/>
        <item x="408"/>
        <item x="1485"/>
        <item x="132"/>
        <item x="465"/>
        <item x="511"/>
        <item x="295"/>
        <item x="413"/>
        <item x="1590"/>
        <item x="1758"/>
        <item x="1621"/>
        <item x="1332"/>
        <item x="246"/>
        <item x="1607"/>
        <item x="1160"/>
        <item x="1423"/>
        <item x="684"/>
        <item x="1233"/>
        <item x="1419"/>
        <item x="1261"/>
        <item x="20"/>
        <item x="462"/>
        <item x="1298"/>
        <item x="403"/>
        <item x="1567"/>
        <item x="1308"/>
        <item x="1592"/>
        <item x="1824"/>
        <item x="1487"/>
        <item x="1147"/>
        <item x="439"/>
        <item x="1322"/>
        <item x="1436"/>
        <item x="447"/>
        <item x="1415"/>
        <item x="297"/>
        <item x="86"/>
        <item x="989"/>
        <item x="725"/>
        <item x="150"/>
        <item x="53"/>
        <item x="794"/>
        <item x="1711"/>
        <item x="380"/>
        <item x="1311"/>
        <item x="270"/>
        <item x="683"/>
        <item x="1604"/>
        <item x="1557"/>
        <item x="1573"/>
        <item x="1563"/>
        <item x="1823"/>
        <item x="1245"/>
        <item x="1305"/>
        <item x="1323"/>
        <item x="762"/>
        <item x="259"/>
        <item x="1544"/>
        <item x="1316"/>
        <item x="760"/>
        <item x="867"/>
        <item x="1637"/>
        <item x="1236"/>
        <item x="1821"/>
        <item x="1833"/>
        <item x="1761"/>
        <item x="389"/>
        <item x="249"/>
        <item x="1635"/>
        <item x="1829"/>
        <item x="1040"/>
        <item x="80"/>
        <item x="1380"/>
        <item x="1156"/>
        <item x="1623"/>
        <item x="1594"/>
        <item x="790"/>
        <item x="923"/>
        <item x="1562"/>
        <item x="383"/>
        <item x="1224"/>
        <item x="311"/>
        <item x="64"/>
        <item x="1159"/>
        <item x="890"/>
        <item x="391"/>
        <item x="983"/>
        <item x="571"/>
        <item x="129"/>
        <item x="1520"/>
        <item x="595"/>
        <item x="1240"/>
        <item x="882"/>
        <item x="306"/>
        <item x="854"/>
        <item x="419"/>
        <item x="196"/>
        <item x="238"/>
        <item x="904"/>
        <item x="256"/>
        <item x="1819"/>
        <item x="1145"/>
        <item x="1420"/>
        <item x="1687"/>
        <item x="1219"/>
        <item x="1739"/>
        <item x="1522"/>
        <item x="1096"/>
        <item x="240"/>
        <item x="1018"/>
        <item x="1569"/>
        <item x="875"/>
        <item x="1381"/>
        <item x="868"/>
        <item x="1710"/>
        <item x="1530"/>
        <item x="1489"/>
        <item x="1688"/>
        <item x="1255"/>
        <item x="500"/>
        <item x="1383"/>
        <item x="1315"/>
        <item x="517"/>
        <item x="384"/>
        <item x="611"/>
        <item x="151"/>
        <item x="92"/>
        <item x="1373"/>
        <item x="394"/>
        <item x="3"/>
        <item x="818"/>
        <item x="1795"/>
        <item x="65"/>
        <item x="1124"/>
        <item x="428"/>
        <item x="597"/>
        <item x="1372"/>
        <item x="1636"/>
        <item x="747"/>
        <item x="102"/>
        <item x="647"/>
        <item x="1390"/>
        <item x="1612"/>
        <item x="299"/>
        <item x="1581"/>
        <item x="88"/>
        <item x="279"/>
        <item x="1038"/>
        <item x="136"/>
        <item x="405"/>
        <item x="1170"/>
        <item x="1166"/>
        <item x="6"/>
        <item x="935"/>
        <item x="937"/>
        <item x="106"/>
        <item x="109"/>
        <item x="1164"/>
        <item x="91"/>
        <item x="1184"/>
        <item x="379"/>
        <item x="1269"/>
        <item x="1886"/>
        <item x="1891"/>
        <item x="1610"/>
        <item x="1705"/>
        <item x="351"/>
        <item x="1568"/>
        <item x="1701"/>
        <item x="82"/>
        <item x="669"/>
        <item x="942"/>
        <item x="999"/>
        <item x="225"/>
        <item x="223"/>
        <item x="1387"/>
        <item x="1493"/>
        <item x="892"/>
        <item x="409"/>
        <item x="1578"/>
        <item x="1410"/>
        <item x="575"/>
        <item x="857"/>
        <item x="1781"/>
        <item x="1719"/>
        <item x="280"/>
        <item x="1800"/>
        <item x="1043"/>
        <item x="1418"/>
        <item x="1031"/>
        <item x="157"/>
        <item x="681"/>
        <item x="1045"/>
        <item x="788"/>
        <item x="1792"/>
        <item x="11"/>
        <item x="169"/>
        <item x="195"/>
        <item x="1239"/>
        <item x="1600"/>
        <item x="1174"/>
        <item x="884"/>
        <item x="1221"/>
        <item x="1715"/>
        <item x="660"/>
        <item x="866"/>
        <item x="308"/>
        <item x="1211"/>
        <item x="1172"/>
        <item x="507"/>
        <item x="1432"/>
        <item x="1438"/>
        <item x="889"/>
        <item x="1321"/>
        <item x="1615"/>
        <item x="1024"/>
        <item x="920"/>
        <item x="464"/>
        <item x="1042"/>
        <item x="1492"/>
        <item x="94"/>
        <item x="247"/>
        <item x="1146"/>
        <item x="879"/>
        <item x="1516"/>
        <item x="761"/>
        <item x="668"/>
        <item x="370"/>
        <item x="1337"/>
        <item x="146"/>
        <item x="791"/>
        <item x="956"/>
        <item x="1143"/>
        <item x="131"/>
        <item x="1531"/>
        <item x="1175"/>
        <item x="1209"/>
        <item x="830"/>
        <item x="1271"/>
        <item x="1150"/>
        <item x="135"/>
        <item x="793"/>
        <item x="813"/>
        <item x="137"/>
        <item x="1825"/>
        <item x="60"/>
        <item x="1262"/>
        <item x="573"/>
        <item x="140"/>
        <item x="1325"/>
        <item x="612"/>
        <item x="420"/>
        <item x="1526"/>
        <item x="1785"/>
        <item x="429"/>
        <item x="1034"/>
        <item x="1518"/>
        <item x="898"/>
        <item x="1344"/>
        <item x="514"/>
        <item x="103"/>
        <item x="440"/>
        <item x="613"/>
        <item x="1341"/>
        <item x="682"/>
        <item x="604"/>
        <item x="1052"/>
        <item x="940"/>
        <item x="134"/>
        <item x="194"/>
        <item x="850"/>
        <item x="1409"/>
        <item x="143"/>
        <item x="724"/>
        <item x="536"/>
        <item x="1514"/>
        <item x="1223"/>
        <item x="87"/>
        <item x="1760"/>
        <item x="1532"/>
        <item x="1521"/>
        <item x="1220"/>
        <item x="645"/>
        <item x="1820"/>
        <item x="272"/>
        <item x="385"/>
        <item x="257"/>
        <item x="516"/>
        <item x="838"/>
        <item x="1437"/>
        <item x="911"/>
        <item x="1190"/>
        <item x="414"/>
        <item x="1328"/>
        <item x="753"/>
        <item x="861"/>
        <item x="1638"/>
        <item x="1425"/>
        <item x="508"/>
        <item x="1605"/>
        <item x="789"/>
        <item x="944"/>
        <item x="450"/>
        <item x="865"/>
        <item x="933"/>
        <item x="819"/>
        <item x="820"/>
        <item x="742"/>
        <item x="350"/>
        <item x="1488"/>
        <item x="877"/>
        <item x="1187"/>
        <item x="474"/>
        <item x="614"/>
        <item x="1892"/>
        <item x="646"/>
        <item x="903"/>
        <item x="1413"/>
        <item x="1745"/>
        <item x="671"/>
        <item x="1466"/>
        <item x="281"/>
        <item x="543"/>
        <item x="1309"/>
        <item x="1057"/>
        <item x="947"/>
        <item x="515"/>
        <item x="454"/>
        <item x="14"/>
        <item x="1566"/>
        <item x="1709"/>
        <item x="1243"/>
        <item x="63"/>
        <item x="312"/>
        <item x="1392"/>
        <item x="757"/>
        <item x="496"/>
        <item x="945"/>
        <item x="1267"/>
        <item x="1814"/>
        <item x="371"/>
        <item x="258"/>
        <item x="228"/>
        <item x="1095"/>
        <item x="1019"/>
        <item x="996"/>
        <item x="881"/>
        <item x="583"/>
        <item x="1830"/>
        <item x="1433"/>
        <item x="1536"/>
        <item x="1384"/>
        <item x="1041"/>
        <item x="148"/>
        <item x="1440"/>
        <item x="59"/>
        <item x="906"/>
        <item x="814"/>
        <item x="1356"/>
        <item x="1511"/>
        <item x="1266"/>
        <item x="1887"/>
        <item x="1222"/>
        <item x="589"/>
        <item x="985"/>
        <item x="737"/>
        <item x="1434"/>
        <item x="1822"/>
        <item x="375"/>
        <item x="1549"/>
        <item x="943"/>
        <item x="880"/>
        <item x="241"/>
        <item x="1094"/>
        <item x="1126"/>
        <item x="973"/>
        <item x="264"/>
        <item x="448"/>
        <item x="1580"/>
        <item x="130"/>
        <item x="615"/>
        <item x="1179"/>
        <item x="158"/>
        <item x="463"/>
        <item x="1582"/>
        <item x="1244"/>
        <item x="572"/>
        <item x="434"/>
        <item x="410"/>
        <item x="1127"/>
        <item x="1375"/>
        <item x="13"/>
        <item x="893"/>
        <item x="1442"/>
        <item x="1388"/>
        <item x="1801"/>
        <item x="1827"/>
        <item x="1039"/>
        <item x="876"/>
        <item x="1517"/>
        <item x="908"/>
        <item x="526"/>
        <item x="1367"/>
        <item x="792"/>
        <item x="1382"/>
        <item x="113"/>
        <item x="1359"/>
        <item x="950"/>
        <item x="1796"/>
        <item x="377"/>
        <item x="673"/>
        <item x="1132"/>
        <item x="1559"/>
        <item x="841"/>
        <item x="974"/>
        <item x="145"/>
        <item x="255"/>
        <item x="301"/>
        <item x="1270"/>
        <item x="971"/>
        <item x="1235"/>
        <item x="1351"/>
        <item x="74"/>
        <item x="138"/>
        <item x="1422"/>
        <item x="381"/>
        <item x="1329"/>
        <item x="1565"/>
        <item x="925"/>
        <item x="373"/>
        <item x="1695"/>
        <item x="1540"/>
        <item x="1717"/>
        <item x="1173"/>
        <item x="505"/>
        <item x="1789"/>
        <item x="1055"/>
        <item x="1606"/>
        <item x="1550"/>
        <item x="533"/>
        <item x="1608"/>
        <item x="970"/>
        <item x="276"/>
        <item x="75"/>
        <item x="443"/>
        <item x="95"/>
        <item x="544"/>
        <item x="994"/>
        <item x="1025"/>
        <item x="984"/>
        <item x="1818"/>
        <item x="691"/>
        <item x="1007"/>
        <item x="1000"/>
        <item x="50"/>
        <item x="393"/>
        <item x="739"/>
        <item x="1509"/>
        <item x="941"/>
        <item x="139"/>
        <item x="539"/>
        <item x="144"/>
        <item x="1890"/>
        <item x="1210"/>
        <item x="780"/>
        <item x="506"/>
        <item x="1212"/>
        <item x="1840"/>
        <item x="672"/>
        <item x="917"/>
        <item x="1256"/>
        <item x="916"/>
        <item x="1597"/>
        <item x="585"/>
        <item x="1842"/>
        <item x="1743"/>
        <item x="124"/>
        <item x="237"/>
        <item x="7"/>
        <item x="470"/>
        <item x="1408"/>
        <item x="248"/>
        <item x="1376"/>
        <item x="852"/>
        <item x="576"/>
        <item x="17"/>
        <item x="537"/>
        <item x="1297"/>
        <item x="609"/>
        <item x="326"/>
        <item x="1697"/>
        <item x="1343"/>
        <item x="894"/>
        <item x="1456"/>
        <item x="1385"/>
        <item x="1228"/>
        <item x="1797"/>
        <item x="1601"/>
        <item x="910"/>
        <item x="547"/>
        <item x="1386"/>
        <item x="239"/>
        <item x="1345"/>
        <item x="1718"/>
        <item x="969"/>
        <item x="1441"/>
        <item x="938"/>
        <item x="839"/>
        <item x="197"/>
        <item x="1053"/>
        <item x="1589"/>
        <item x="438"/>
        <item x="81"/>
        <item x="96"/>
        <item x="1541"/>
        <item x="1192"/>
        <item x="392"/>
        <item x="1694"/>
        <item x="1620"/>
        <item x="577"/>
        <item x="1664"/>
        <item x="559"/>
        <item x="323"/>
        <item x="1793"/>
        <item x="1394"/>
        <item x="1081"/>
        <item x="1400"/>
        <item x="1080"/>
        <item x="1811"/>
        <item x="924"/>
        <item x="1397"/>
        <item x="149"/>
        <item x="650"/>
        <item x="376"/>
        <item x="61"/>
        <item x="265"/>
        <item x="1888"/>
        <item x="541"/>
        <item x="497"/>
        <item x="1446"/>
        <item x="437"/>
        <item x="888"/>
        <item x="981"/>
        <item x="1667"/>
        <item x="921"/>
        <item x="919"/>
        <item x="76"/>
        <item x="934"/>
        <item x="936"/>
        <item x="19"/>
        <item x="584"/>
        <item x="740"/>
        <item x="1131"/>
        <item x="1543"/>
        <item x="648"/>
        <item x="975"/>
        <item x="155"/>
        <item x="1046"/>
        <item x="51"/>
        <item x="349"/>
        <item x="1483"/>
        <item x="513"/>
        <item x="1713"/>
        <item x="1346"/>
        <item x="1551"/>
        <item x="958"/>
        <item x="899"/>
        <item x="853"/>
        <item x="563"/>
        <item x="302"/>
        <item x="810"/>
        <item x="997"/>
        <item x="662"/>
        <item x="1047"/>
        <item x="457"/>
        <item x="1253"/>
        <item x="1411"/>
        <item x="1732"/>
        <item x="1357"/>
        <item x="913"/>
        <item x="1609"/>
        <item x="1826"/>
        <item x="321"/>
        <item x="745"/>
        <item x="1714"/>
        <item x="1048"/>
        <item x="386"/>
        <item x="548"/>
        <item x="154"/>
        <item x="1144"/>
        <item x="1389"/>
        <item x="300"/>
        <item x="1396"/>
        <item x="955"/>
        <item x="1813"/>
        <item x="5"/>
        <item x="1182"/>
        <item x="1794"/>
        <item x="1602"/>
        <item x="173"/>
        <item x="1512"/>
        <item x="425"/>
        <item x="114"/>
        <item x="153"/>
        <item x="1395"/>
        <item x="891"/>
        <item x="1616"/>
        <item x="1464"/>
        <item x="1060"/>
        <item x="692"/>
        <item x="1398"/>
        <item x="540"/>
        <item x="426"/>
        <item x="998"/>
        <item x="445"/>
        <item x="874"/>
        <item x="364"/>
        <item x="1467"/>
        <item x="1468"/>
        <item x="1169"/>
        <item x="430"/>
        <item x="83"/>
        <item x="1841"/>
        <item x="555"/>
        <item x="1458"/>
        <item x="479"/>
        <item x="287"/>
        <item x="471"/>
        <item x="8"/>
        <item x="456"/>
        <item x="1895"/>
        <item x="1828"/>
        <item x="1078"/>
        <item x="1744"/>
        <item x="1254"/>
        <item x="472"/>
        <item x="387"/>
        <item x="22"/>
        <item x="824"/>
        <item x="1470"/>
        <item x="1354"/>
        <item x="1005"/>
        <item x="395"/>
        <item x="16"/>
        <item x="1101"/>
        <item x="1882"/>
        <item x="1342"/>
        <item x="918"/>
        <item x="1426"/>
        <item x="18"/>
        <item x="785"/>
        <item x="328"/>
        <item x="424"/>
        <item x="1457"/>
        <item x="569"/>
        <item x="1484"/>
        <item x="192"/>
        <item x="651"/>
        <item x="1454"/>
        <item x="686"/>
        <item x="296"/>
        <item x="1749"/>
        <item x="1352"/>
        <item x="590"/>
        <item x="730"/>
        <item x="842"/>
        <item x="1056"/>
        <item x="1812"/>
        <item x="372"/>
        <item x="396"/>
        <item x="277"/>
        <item x="1079"/>
        <item x="829"/>
        <item x="1439"/>
        <item x="1347"/>
        <item x="1675"/>
        <item x="1444"/>
        <item x="545"/>
        <item x="560"/>
        <item x="278"/>
        <item x="993"/>
        <item x="1542"/>
        <item x="104"/>
        <item x="271"/>
        <item x="656"/>
        <item x="288"/>
        <item x="1712"/>
        <item x="168"/>
        <item x="1730"/>
        <item x="738"/>
        <item x="567"/>
        <item x="1393"/>
        <item x="170"/>
        <item x="1008"/>
        <item x="303"/>
        <item x="1363"/>
        <item x="1366"/>
        <item x="504"/>
        <item x="1722"/>
        <item x="111"/>
        <item x="1108"/>
        <item x="1552"/>
        <item x="693"/>
        <item x="359"/>
        <item x="12"/>
        <item x="1507"/>
        <item x="568"/>
        <item x="366"/>
        <item x="778"/>
        <item x="1900"/>
        <item x="1723"/>
        <item x="729"/>
        <item x="1738"/>
        <item x="1312"/>
        <item x="1333"/>
        <item x="427"/>
        <item x="811"/>
        <item x="1465"/>
        <item x="1721"/>
        <item x="1353"/>
        <item x="1257"/>
        <item x="797"/>
        <item x="1054"/>
        <item x="931"/>
        <item x="784"/>
        <item x="551"/>
        <item x="322"/>
        <item x="1737"/>
        <item x="1896"/>
        <item x="519"/>
        <item x="478"/>
        <item x="230"/>
        <item x="914"/>
        <item x="473"/>
        <item x="727"/>
        <item x="1035"/>
        <item x="1213"/>
        <item x="110"/>
        <item x="912"/>
        <item x="122"/>
        <item x="1358"/>
        <item x="1676"/>
        <item x="1001"/>
        <item x="731"/>
        <item x="1401"/>
        <item x="1421"/>
        <item x="1503"/>
        <item x="1666"/>
        <item x="193"/>
        <item x="720"/>
        <item x="1455"/>
        <item x="1619"/>
        <item x="362"/>
        <item x="741"/>
        <item x="432"/>
        <item x="846"/>
        <item x="1443"/>
        <item x="1368"/>
        <item x="967"/>
        <item x="834"/>
        <item x="368"/>
        <item x="561"/>
        <item x="84"/>
        <item x="652"/>
        <item x="1404"/>
        <item x="1508"/>
        <item x="657"/>
        <item x="512"/>
        <item x="556"/>
        <item x="587"/>
        <item x="174"/>
        <item x="798"/>
        <item x="161"/>
        <item x="564"/>
        <item x="1803"/>
        <item x="1399"/>
        <item x="1183"/>
        <item x="66"/>
        <item x="62"/>
        <item x="167"/>
        <item x="1611"/>
        <item x="1751"/>
        <item x="1051"/>
        <item x="1556"/>
        <item x="777"/>
        <item x="1445"/>
        <item x="1176"/>
        <item x="1429"/>
        <item x="502"/>
        <item x="655"/>
        <item x="245"/>
        <item x="176"/>
        <item x="1883"/>
        <item x="378"/>
        <item x="896"/>
        <item x="480"/>
        <item x="89"/>
        <item x="732"/>
        <item x="574"/>
        <item x="728"/>
        <item x="1663"/>
        <item x="1136"/>
        <item x="123"/>
        <item x="334"/>
        <item x="261"/>
        <item x="1835"/>
        <item x="1469"/>
        <item x="915"/>
        <item x="557"/>
        <item x="1858"/>
        <item x="552"/>
        <item x="1560"/>
        <item x="1453"/>
        <item x="743"/>
        <item x="363"/>
        <item x="1716"/>
        <item x="1846"/>
        <item x="1013"/>
        <item x="522"/>
        <item x="963"/>
        <item x="1662"/>
        <item x="695"/>
        <item x="171"/>
        <item x="433"/>
        <item x="44"/>
        <item x="895"/>
        <item x="553"/>
        <item x="1880"/>
        <item x="166"/>
        <item x="960"/>
        <item x="1668"/>
        <item x="1430"/>
        <item x="367"/>
        <item x="1731"/>
        <item x="799"/>
        <item x="1471"/>
        <item x="45"/>
        <item x="369"/>
        <item x="1012"/>
        <item x="1447"/>
        <item x="1881"/>
        <item x="786"/>
        <item x="922"/>
        <item x="1527"/>
        <item x="1009"/>
        <item x="1504"/>
        <item x="162"/>
        <item x="289"/>
        <item x="160"/>
        <item x="687"/>
        <item x="206"/>
        <item x="968"/>
        <item x="1360"/>
        <item x="175"/>
        <item x="1071"/>
        <item x="1561"/>
        <item x="231"/>
        <item x="1640"/>
        <item x="68"/>
        <item x="435"/>
        <item x="633"/>
        <item x="808"/>
        <item x="694"/>
        <item x="744"/>
        <item x="961"/>
        <item x="1196"/>
        <item x="721"/>
        <item x="1624"/>
        <item x="1677"/>
        <item x="546"/>
        <item x="520"/>
        <item x="503"/>
        <item x="1617"/>
        <item x="467"/>
        <item x="542"/>
        <item x="1348"/>
        <item x="570"/>
        <item x="1755"/>
        <item x="501"/>
        <item x="1683"/>
        <item x="787"/>
        <item x="688"/>
        <item x="588"/>
        <item x="586"/>
        <item x="1428"/>
        <item x="661"/>
        <item x="779"/>
        <item x="809"/>
        <item x="304"/>
        <item x="964"/>
        <item x="361"/>
        <item x="260"/>
        <item x="360"/>
        <item x="1130"/>
        <item x="335"/>
        <item x="316"/>
        <item x="581"/>
        <item x="1100"/>
        <item x="1151"/>
        <item x="382"/>
        <item x="966"/>
        <item x="115"/>
        <item x="1407"/>
        <item x="1850"/>
        <item x="444"/>
        <item x="1427"/>
        <item x="558"/>
        <item x="825"/>
        <item x="632"/>
        <item x="97"/>
        <item x="266"/>
        <item x="1642"/>
        <item x="232"/>
        <item x="736"/>
        <item x="1405"/>
        <item x="254"/>
        <item x="327"/>
        <item x="365"/>
        <item x="461"/>
        <item x="1361"/>
        <item x="538"/>
        <item x="1275"/>
        <item x="1349"/>
        <item x="1684"/>
        <item x="579"/>
        <item x="697"/>
        <item x="617"/>
        <item x="962"/>
        <item x="475"/>
        <item x="627"/>
        <item x="1692"/>
        <item x="932"/>
        <item x="965"/>
        <item x="1754"/>
        <item x="1006"/>
        <item x="55"/>
        <item x="436"/>
        <item x="1798"/>
        <item x="926"/>
        <item x="776"/>
        <item x="398"/>
        <item x="696"/>
        <item x="26"/>
        <item x="735"/>
        <item x="578"/>
        <item x="929"/>
        <item x="1114"/>
        <item x="229"/>
        <item x="1070"/>
        <item x="267"/>
        <item x="476"/>
        <item x="1752"/>
        <item x="1639"/>
        <item x="112"/>
        <item x="689"/>
        <item x="397"/>
        <item x="482"/>
        <item x="1197"/>
        <item x="620"/>
        <item x="1459"/>
        <item x="815"/>
        <item x="1502"/>
        <item x="1406"/>
        <item x="930"/>
        <item x="1152"/>
        <item x="1847"/>
        <item x="817"/>
        <item x="1618"/>
        <item x="654"/>
        <item x="580"/>
        <item x="827"/>
        <item x="1834"/>
        <item x="1843"/>
        <item x="618"/>
        <item x="562"/>
        <item x="1107"/>
        <item x="565"/>
        <item x="1431"/>
        <item x="1643"/>
        <item x="1851"/>
        <item x="1002"/>
        <item x="1734"/>
        <item x="1011"/>
        <item x="460"/>
        <item x="484"/>
        <item x="1844"/>
        <item x="1115"/>
        <item x="992"/>
        <item x="619"/>
        <item x="807"/>
        <item x="634"/>
        <item x="828"/>
        <item x="355"/>
        <item x="1205"/>
        <item x="27"/>
        <item x="713"/>
        <item x="1510"/>
        <item x="1862"/>
        <item x="262"/>
        <item x="1365"/>
        <item x="816"/>
        <item x="1003"/>
        <item x="1665"/>
        <item x="1026"/>
        <item x="49"/>
        <item x="1350"/>
        <item x="554"/>
        <item x="719"/>
        <item x="357"/>
        <item x="1106"/>
        <item x="566"/>
        <item x="406"/>
        <item x="1072"/>
        <item x="639"/>
        <item x="100"/>
        <item x="290"/>
        <item x="826"/>
        <item x="28"/>
        <item x="483"/>
        <item x="205"/>
        <item x="635"/>
        <item x="1644"/>
        <item x="959"/>
        <item x="1118"/>
        <item x="185"/>
        <item x="1856"/>
        <item x="485"/>
        <item x="1364"/>
        <item x="1460"/>
        <item x="1129"/>
        <item x="621"/>
        <item x="204"/>
        <item x="67"/>
        <item x="488"/>
        <item x="1802"/>
        <item x="1625"/>
        <item x="1804"/>
        <item x="1693"/>
        <item x="1066"/>
        <item x="1004"/>
        <item x="1069"/>
        <item x="1855"/>
        <item x="40"/>
        <item x="1027"/>
        <item x="356"/>
        <item x="354"/>
        <item x="781"/>
        <item x="616"/>
        <item x="1207"/>
        <item x="582"/>
        <item x="954"/>
        <item x="487"/>
        <item x="163"/>
        <item x="674"/>
        <item x="477"/>
        <item x="1208"/>
        <item x="177"/>
        <item x="1845"/>
        <item x="625"/>
        <item x="1116"/>
        <item x="165"/>
        <item x="699"/>
        <item x="521"/>
        <item x="1753"/>
        <item x="399"/>
        <item x="30"/>
        <item x="85"/>
        <item x="207"/>
        <item x="320"/>
        <item x="1859"/>
        <item x="1595"/>
        <item x="1857"/>
        <item x="1067"/>
        <item x="1234"/>
        <item x="631"/>
        <item x="733"/>
        <item x="701"/>
        <item x="191"/>
        <item x="716"/>
        <item x="1733"/>
        <item x="764"/>
        <item x="1863"/>
        <item x="1206"/>
        <item x="722"/>
        <item x="1720"/>
        <item x="626"/>
        <item x="703"/>
        <item x="1685"/>
        <item x="704"/>
        <item x="1805"/>
        <item x="1810"/>
        <item x="333"/>
        <item x="1860"/>
        <item x="675"/>
        <item x="1191"/>
        <item x="622"/>
        <item x="782"/>
        <item x="1378"/>
        <item x="1369"/>
        <item x="43"/>
        <item x="1596"/>
        <item x="734"/>
        <item x="638"/>
        <item x="178"/>
        <item x="1756"/>
        <item x="700"/>
        <item x="486"/>
        <item x="653"/>
        <item x="1672"/>
        <item x="1500"/>
        <item x="1669"/>
        <item x="1671"/>
        <item x="330"/>
        <item x="358"/>
        <item x="772"/>
        <item x="1082"/>
        <item x="549"/>
        <item x="1229"/>
        <item x="1837"/>
        <item x="664"/>
        <item x="1362"/>
        <item x="676"/>
        <item x="336"/>
        <item x="352"/>
        <item x="458"/>
        <item x="73"/>
        <item x="714"/>
        <item x="518"/>
        <item x="953"/>
        <item x="142"/>
        <item x="31"/>
        <item x="705"/>
        <item x="1893"/>
        <item x="186"/>
        <item x="1462"/>
        <item x="706"/>
        <item x="715"/>
        <item x="481"/>
        <item x="459"/>
        <item x="1647"/>
        <item x="1849"/>
        <item x="119"/>
        <item x="233"/>
        <item x="1402"/>
        <item x="629"/>
        <item x="489"/>
        <item x="623"/>
        <item x="1809"/>
        <item x="491"/>
        <item x="1838"/>
        <item x="1461"/>
        <item x="707"/>
        <item x="637"/>
        <item x="1839"/>
        <item x="1641"/>
        <item x="188"/>
        <item x="1645"/>
        <item x="329"/>
        <item x="407"/>
        <item x="763"/>
        <item x="663"/>
        <item x="708"/>
        <item x="800"/>
        <item x="198"/>
        <item x="449"/>
        <item x="1201"/>
        <item x="767"/>
        <item x="1062"/>
        <item x="946"/>
        <item x="665"/>
        <item x="1063"/>
        <item x="216"/>
        <item x="1646"/>
        <item x="1198"/>
        <item x="773"/>
        <item x="1852"/>
        <item x="768"/>
        <item x="1463"/>
        <item x="1864"/>
        <item x="711"/>
        <item x="927"/>
        <item x="928"/>
        <item x="1073"/>
        <item x="605"/>
        <item x="806"/>
        <item x="1750"/>
        <item x="1202"/>
        <item x="400"/>
        <item x="1083"/>
        <item x="1102"/>
        <item x="769"/>
        <item x="1068"/>
        <item x="628"/>
        <item x="1848"/>
        <item x="72"/>
        <item x="1648"/>
        <item x="550"/>
        <item x="187"/>
        <item x="718"/>
        <item x="1448"/>
        <item x="1065"/>
        <item x="184"/>
        <item x="1435"/>
        <item x="25"/>
        <item x="172"/>
        <item x="58"/>
        <item x="952"/>
        <item x="774"/>
        <item x="1735"/>
        <item x="712"/>
        <item x="56"/>
        <item x="977"/>
        <item x="24"/>
        <item x="1074"/>
        <item x="210"/>
        <item x="57"/>
        <item x="1370"/>
        <item x="1725"/>
        <item x="1807"/>
        <item x="39"/>
        <item x="29"/>
        <item x="1726"/>
        <item x="46"/>
        <item x="1109"/>
        <item x="347"/>
        <item x="679"/>
        <item x="1317"/>
        <item x="211"/>
        <item x="23"/>
        <item x="1736"/>
        <item x="1836"/>
        <item x="1061"/>
        <item x="159"/>
        <item x="1652"/>
        <item x="337"/>
        <item x="180"/>
        <item x="179"/>
        <item x="1905"/>
        <item x="1727"/>
        <item x="1110"/>
        <item x="1548"/>
        <item x="1650"/>
        <item x="698"/>
        <item x="41"/>
        <item x="332"/>
        <item x="1103"/>
        <item x="346"/>
        <item x="34"/>
        <item x="1806"/>
        <item x="624"/>
        <item x="649"/>
        <item x="1214"/>
        <item x="208"/>
        <item x="38"/>
        <item x="630"/>
        <item x="765"/>
        <item x="42"/>
        <item x="1215"/>
        <item x="32"/>
        <item x="490"/>
        <item x="1673"/>
        <item x="1014"/>
        <item x="1654"/>
        <item x="141"/>
        <item x="1016"/>
        <item x="1889"/>
        <item x="766"/>
        <item x="1649"/>
        <item x="1670"/>
        <item x="1757"/>
        <item x="338"/>
        <item x="1200"/>
        <item x="1854"/>
        <item x="120"/>
        <item x="1674"/>
        <item x="121"/>
        <item x="1452"/>
        <item x="1689"/>
        <item x="951"/>
        <item x="803"/>
        <item x="468"/>
        <item x="209"/>
        <item x="200"/>
        <item x="286"/>
        <item x="1682"/>
        <item x="1377"/>
        <item x="640"/>
        <item x="1808"/>
        <item x="70"/>
        <item x="717"/>
        <item x="802"/>
        <item x="801"/>
        <item x="1203"/>
        <item x="331"/>
        <item x="1075"/>
        <item x="1403"/>
        <item x="69"/>
        <item x="183"/>
        <item x="199"/>
        <item x="1691"/>
        <item x="1505"/>
        <item x="783"/>
        <item x="1177"/>
        <item x="1084"/>
        <item x="1901"/>
        <item x="1861"/>
        <item x="1015"/>
        <item x="804"/>
        <item x="1679"/>
        <item x="1204"/>
        <item x="678"/>
        <item x="353"/>
        <item x="190"/>
        <item x="1064"/>
        <item x="1178"/>
        <item x="1656"/>
        <item x="341"/>
        <item x="189"/>
        <item x="1853"/>
        <item x="48"/>
        <item x="212"/>
        <item x="431"/>
        <item x="1093"/>
        <item x="1501"/>
        <item x="1680"/>
        <item x="340"/>
        <item x="976"/>
        <item x="345"/>
        <item x="1729"/>
        <item x="203"/>
        <item x="35"/>
        <item x="1313"/>
        <item x="775"/>
        <item x="1085"/>
        <item x="36"/>
        <item x="805"/>
        <item x="1894"/>
        <item x="342"/>
        <item x="1092"/>
        <item x="1010"/>
        <item x="117"/>
        <item x="1653"/>
        <item x="317"/>
        <item x="641"/>
        <item x="319"/>
        <item x="1451"/>
        <item x="118"/>
        <item x="1450"/>
        <item x="1867"/>
        <item x="1902"/>
        <item x="1091"/>
        <item x="1655"/>
        <item x="1626"/>
        <item x="1090"/>
        <item x="1690"/>
        <item x="677"/>
        <item x="33"/>
        <item x="709"/>
        <item x="1868"/>
        <item x="1658"/>
        <item x="1050"/>
        <item x="1449"/>
        <item x="1651"/>
        <item x="702"/>
        <item x="339"/>
        <item x="1660"/>
        <item x="1869"/>
        <item x="1865"/>
        <item x="116"/>
        <item x="1199"/>
        <item x="690"/>
        <item x="1086"/>
        <item x="1659"/>
        <item x="1681"/>
        <item x="1217"/>
        <item x="37"/>
        <item x="1117"/>
        <item x="348"/>
        <item x="1728"/>
        <item x="771"/>
        <item x="1218"/>
        <item x="1878"/>
        <item x="710"/>
        <item x="201"/>
        <item x="47"/>
        <item x="1866"/>
        <item x="1678"/>
        <item x="1104"/>
        <item x="1088"/>
        <item x="1877"/>
        <item x="1128"/>
        <item x="343"/>
        <item x="71"/>
        <item x="164"/>
        <item x="1724"/>
        <item x="1089"/>
        <item x="636"/>
        <item x="202"/>
        <item x="1871"/>
        <item x="1506"/>
        <item x="1876"/>
        <item x="1879"/>
        <item x="1661"/>
        <item x="770"/>
        <item x="1904"/>
        <item x="99"/>
        <item x="285"/>
        <item x="1113"/>
        <item x="1872"/>
        <item x="318"/>
        <item x="344"/>
        <item x="181"/>
        <item x="1903"/>
        <item x="98"/>
        <item x="1870"/>
        <item x="1087"/>
        <item x="1216"/>
        <item x="1049"/>
        <item x="1657"/>
        <item x="213"/>
        <item x="182"/>
        <item x="1258"/>
        <item x="1873"/>
        <item x="1111"/>
        <item x="1105"/>
        <item x="469"/>
        <item x="214"/>
        <item x="1112"/>
        <item x="1077"/>
        <item x="1076"/>
        <item x="1874"/>
        <item x="1875"/>
        <item x="215"/>
        <item x="1"/>
        <item x="0"/>
        <item x="1906"/>
        <item t="default"/>
      </items>
    </pivotField>
    <pivotField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 Estimated Unemployed" fld="5" subtotal="average" baseField="1" baseItem="3"/>
    <dataField name="Average of  Estimated Unemployment Rate (%)" fld="3" subtotal="average" baseField="1" baseItem="0"/>
    <dataField name="Average of Exp Smoothing Actual" fld="6" subtotal="average" baseField="1" baseItem="0"/>
    <dataField name="Average of Exp Smoothing Forecast" fld="7" subtotal="average" baseField="1" baseItem="0"/>
    <dataField name="Average of MAPE" fld="8" subtotal="average" baseField="1" baseItem="0" numFmtId="168"/>
  </dataFields>
  <formats count="11">
    <format dxfId="75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">
      <pivotArea field="1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651D6-8F7A-42F9-9490-905B180E2FE9}" name="PivotTable9" cacheId="28" applyNumberFormats="0" applyBorderFormats="0" applyFontFormats="0" applyPatternFormats="0" applyAlignmentFormats="0" applyWidthHeightFormats="1" dataCaption="Values" grandTotalCaption="India" updatedVersion="7" minRefreshableVersion="3" useAutoFormatting="1" itemPrintTitles="1" createdVersion="7" indent="0" outline="1" outlineData="1" multipleFieldFilters="0" chartFormat="9" rowHeaderCaption="States">
  <location ref="A3:E32" firstHeaderRow="0" firstDataRow="1" firstDataCol="1"/>
  <pivotFields count="6">
    <pivotField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 Estimated Unemployment Rate (%)" fld="2" subtotal="average" baseField="1" baseItem="0"/>
    <dataField name="Average of  Estimated Unemployed" fld="3" subtotal="average" baseField="1" baseItem="0"/>
    <dataField name="Average of Exp Smoothing Actual" fld="4" subtotal="average" baseField="1" baseItem="0"/>
    <dataField name="Average of Exp Smoothing Forecast" fld="5" subtotal="average" baseField="1" baseItem="0"/>
  </dataFields>
  <formats count="6">
    <format dxfId="99">
      <pivotArea collapsedLevelsAreSubtotals="1" fieldPosition="0">
        <references count="1">
          <reference field="1" count="2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dxfId="9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151F-55CF-4625-841E-F4A1F79C44F6}">
  <dimension ref="A2:F32"/>
  <sheetViews>
    <sheetView tabSelected="1" workbookViewId="0">
      <selection activeCell="F4" sqref="F4:F31"/>
    </sheetView>
  </sheetViews>
  <sheetFormatPr defaultRowHeight="15" x14ac:dyDescent="0.25"/>
  <cols>
    <col min="1" max="1" width="18.42578125" style="19" bestFit="1" customWidth="1"/>
    <col min="2" max="2" width="14.42578125" style="19" customWidth="1"/>
    <col min="3" max="3" width="22.42578125" style="19" customWidth="1"/>
    <col min="4" max="4" width="18.5703125" style="19" customWidth="1"/>
    <col min="5" max="5" width="16.85546875" style="20" customWidth="1"/>
    <col min="6" max="6" width="9.5703125" style="19" customWidth="1"/>
    <col min="7" max="16384" width="9.140625" style="19"/>
  </cols>
  <sheetData>
    <row r="2" spans="1:6" ht="16.5" customHeight="1" x14ac:dyDescent="0.25"/>
    <row r="3" spans="1:6" s="27" customFormat="1" ht="45" x14ac:dyDescent="0.25">
      <c r="A3" s="24" t="s">
        <v>118</v>
      </c>
      <c r="B3" s="25" t="s">
        <v>115</v>
      </c>
      <c r="C3" s="25" t="s">
        <v>114</v>
      </c>
      <c r="D3" s="25" t="s">
        <v>116</v>
      </c>
      <c r="E3" s="25" t="s">
        <v>117</v>
      </c>
      <c r="F3" s="26" t="s">
        <v>121</v>
      </c>
    </row>
    <row r="4" spans="1:6" x14ac:dyDescent="0.25">
      <c r="A4" s="23" t="s">
        <v>8</v>
      </c>
      <c r="B4" s="22">
        <v>660794.71052631584</v>
      </c>
      <c r="C4" s="22">
        <v>5.4509210526315801</v>
      </c>
      <c r="D4" s="22">
        <v>663441.92051218718</v>
      </c>
      <c r="E4" s="22">
        <v>235820.5773049063</v>
      </c>
      <c r="F4" s="21" t="e">
        <v>#DIV/0!</v>
      </c>
    </row>
    <row r="5" spans="1:6" x14ac:dyDescent="0.25">
      <c r="A5" s="23" t="s">
        <v>85</v>
      </c>
      <c r="B5" s="22">
        <v>543113.31818181823</v>
      </c>
      <c r="C5" s="22">
        <v>5.8680303030303032</v>
      </c>
      <c r="D5" s="22">
        <v>540717.97766982042</v>
      </c>
      <c r="E5" s="22">
        <v>294508.89377945347</v>
      </c>
      <c r="F5" s="21">
        <v>0.35970634723204242</v>
      </c>
    </row>
    <row r="6" spans="1:6" x14ac:dyDescent="0.25">
      <c r="A6" s="23" t="s">
        <v>86</v>
      </c>
      <c r="B6" s="22">
        <v>2212343.8026315789</v>
      </c>
      <c r="C6" s="22">
        <v>9.9790789473684214</v>
      </c>
      <c r="D6" s="22">
        <v>2153144.8228207384</v>
      </c>
      <c r="E6" s="22">
        <v>648356.51482130832</v>
      </c>
      <c r="F6" s="21">
        <v>0.67622021971373047</v>
      </c>
    </row>
    <row r="7" spans="1:6" x14ac:dyDescent="0.25">
      <c r="A7" s="23" t="s">
        <v>87</v>
      </c>
      <c r="B7" s="22">
        <v>296036.65789473685</v>
      </c>
      <c r="C7" s="22">
        <v>4.5539473684210519</v>
      </c>
      <c r="D7" s="22">
        <v>368559.09436419839</v>
      </c>
      <c r="E7" s="22">
        <v>295365.17882859998</v>
      </c>
      <c r="F7" s="21">
        <v>0.10354118868892263</v>
      </c>
    </row>
    <row r="8" spans="1:6" x14ac:dyDescent="0.25">
      <c r="A8" s="23" t="s">
        <v>88</v>
      </c>
      <c r="B8" s="22">
        <v>16292.473684210527</v>
      </c>
      <c r="C8" s="22">
        <v>11.371578947368418</v>
      </c>
      <c r="D8" s="22">
        <v>17002.674543316207</v>
      </c>
      <c r="E8" s="22">
        <v>7976.1294996565985</v>
      </c>
      <c r="F8" s="21">
        <v>0.52352500626567156</v>
      </c>
    </row>
    <row r="9" spans="1:6" x14ac:dyDescent="0.25">
      <c r="A9" s="23" t="s">
        <v>89</v>
      </c>
      <c r="B9" s="22">
        <v>17643.057142857142</v>
      </c>
      <c r="C9" s="22">
        <v>9.9700000000000024</v>
      </c>
      <c r="D9" s="22">
        <v>17397.247459183262</v>
      </c>
      <c r="E9" s="22">
        <v>9528.2057296081421</v>
      </c>
      <c r="F9" s="21">
        <v>0.32335907320612117</v>
      </c>
    </row>
    <row r="10" spans="1:6" x14ac:dyDescent="0.25">
      <c r="A10" s="23" t="s">
        <v>90</v>
      </c>
      <c r="B10" s="22">
        <v>454491.01315789472</v>
      </c>
      <c r="C10" s="22">
        <v>3.5643421052631594</v>
      </c>
      <c r="D10" s="22">
        <v>451298.51760564174</v>
      </c>
      <c r="E10" s="22">
        <v>218311.01523837511</v>
      </c>
      <c r="F10" s="21">
        <v>0.3828435833787116</v>
      </c>
    </row>
    <row r="11" spans="1:6" x14ac:dyDescent="0.25">
      <c r="A11" s="23" t="s">
        <v>91</v>
      </c>
      <c r="B11" s="22">
        <v>838898.25</v>
      </c>
      <c r="C11" s="22">
        <v>18.088157894736842</v>
      </c>
      <c r="D11" s="22">
        <v>818449.18855547498</v>
      </c>
      <c r="E11" s="22">
        <v>332587.26570201374</v>
      </c>
      <c r="F11" s="21">
        <v>0.49256486423517032</v>
      </c>
    </row>
    <row r="12" spans="1:6" x14ac:dyDescent="0.25">
      <c r="A12" s="23" t="s">
        <v>92</v>
      </c>
      <c r="B12" s="22">
        <v>209555.51315789475</v>
      </c>
      <c r="C12" s="22">
        <v>10.8675</v>
      </c>
      <c r="D12" s="22">
        <v>232645.97955957142</v>
      </c>
      <c r="E12" s="22">
        <v>117044.56545934532</v>
      </c>
      <c r="F12" s="21">
        <v>0.30042400628098492</v>
      </c>
    </row>
    <row r="13" spans="1:6" x14ac:dyDescent="0.25">
      <c r="A13" s="23" t="s">
        <v>93</v>
      </c>
      <c r="B13" s="22">
        <v>352659.78082191781</v>
      </c>
      <c r="C13" s="22">
        <v>14.772465753424658</v>
      </c>
      <c r="D13" s="22">
        <v>346789.80294819857</v>
      </c>
      <c r="E13" s="22">
        <v>117643.5365889196</v>
      </c>
      <c r="F13" s="21">
        <v>0.6176720580389865</v>
      </c>
    </row>
    <row r="14" spans="1:6" x14ac:dyDescent="0.25">
      <c r="A14" s="23" t="s">
        <v>94</v>
      </c>
      <c r="B14" s="22">
        <v>617684.78947368416</v>
      </c>
      <c r="C14" s="22">
        <v>9.125657894736845</v>
      </c>
      <c r="D14" s="22">
        <v>605749.50130580319</v>
      </c>
      <c r="E14" s="22">
        <v>244686.32991651408</v>
      </c>
      <c r="F14" s="21">
        <v>0.45236596309027671</v>
      </c>
    </row>
    <row r="15" spans="1:6" x14ac:dyDescent="0.25">
      <c r="A15" s="23" t="s">
        <v>95</v>
      </c>
      <c r="B15" s="22">
        <v>414833.96052631579</v>
      </c>
      <c r="C15" s="22">
        <v>3.1605263157894736</v>
      </c>
      <c r="D15" s="22">
        <v>429342.64804732119</v>
      </c>
      <c r="E15" s="22">
        <v>324794.43520325306</v>
      </c>
      <c r="F15" s="21">
        <v>3.1071357135665931E-2</v>
      </c>
    </row>
    <row r="16" spans="1:6" x14ac:dyDescent="0.25">
      <c r="A16" s="23" t="s">
        <v>96</v>
      </c>
      <c r="B16" s="22">
        <v>473781.48</v>
      </c>
      <c r="C16" s="22">
        <v>9.345600000000001</v>
      </c>
      <c r="D16" s="22">
        <v>472439.46045377821</v>
      </c>
      <c r="E16" s="22">
        <v>228555.23810840101</v>
      </c>
      <c r="F16" s="21">
        <v>0.49770124071954513</v>
      </c>
    </row>
    <row r="17" spans="1:6" x14ac:dyDescent="0.25">
      <c r="A17" s="23" t="s">
        <v>97</v>
      </c>
      <c r="B17" s="22">
        <v>600758.07894736843</v>
      </c>
      <c r="C17" s="22">
        <v>3.813421052631579</v>
      </c>
      <c r="D17" s="22">
        <v>601988.63993978954</v>
      </c>
      <c r="E17" s="22">
        <v>329945.22078446264</v>
      </c>
      <c r="F17" s="21">
        <v>0.3791626789347472</v>
      </c>
    </row>
    <row r="18" spans="1:6" x14ac:dyDescent="0.25">
      <c r="A18" s="23" t="s">
        <v>98</v>
      </c>
      <c r="B18" s="22">
        <v>1052076.0789473683</v>
      </c>
      <c r="C18" s="22">
        <v>4.3034210526315784</v>
      </c>
      <c r="D18" s="22">
        <v>1045040.3159300599</v>
      </c>
      <c r="E18" s="22">
        <v>349883.02355864446</v>
      </c>
      <c r="F18" s="21">
        <v>0.68751635808330014</v>
      </c>
    </row>
    <row r="19" spans="1:6" x14ac:dyDescent="0.25">
      <c r="A19" s="23" t="s">
        <v>99</v>
      </c>
      <c r="B19" s="22">
        <v>29055.384615384617</v>
      </c>
      <c r="C19" s="22">
        <v>2.8190384615384607</v>
      </c>
      <c r="D19" s="22">
        <v>45115.246825456838</v>
      </c>
      <c r="E19" s="22">
        <v>43706.143060544826</v>
      </c>
      <c r="F19" s="21">
        <v>-0.22797865120646182</v>
      </c>
    </row>
    <row r="20" spans="1:6" x14ac:dyDescent="0.25">
      <c r="A20" s="23" t="s">
        <v>100</v>
      </c>
      <c r="B20" s="22">
        <v>559002.23684210528</v>
      </c>
      <c r="C20" s="22">
        <v>5.0593421052631582</v>
      </c>
      <c r="D20" s="22">
        <v>552160.18819186988</v>
      </c>
      <c r="E20" s="22">
        <v>269420.20570353762</v>
      </c>
      <c r="F20" s="21">
        <v>0.40585633303933405</v>
      </c>
    </row>
    <row r="21" spans="1:6" x14ac:dyDescent="0.25">
      <c r="A21" s="23" t="s">
        <v>101</v>
      </c>
      <c r="B21" s="22">
        <v>6664.2191780821922</v>
      </c>
      <c r="C21" s="22">
        <v>5.2026027397260277</v>
      </c>
      <c r="D21" s="22">
        <v>13863.04890665829</v>
      </c>
      <c r="E21" s="22">
        <v>37829.773102905368</v>
      </c>
      <c r="F21" s="21">
        <v>-1.6263021051911735</v>
      </c>
    </row>
    <row r="22" spans="1:6" x14ac:dyDescent="0.25">
      <c r="A22" s="23" t="s">
        <v>102</v>
      </c>
      <c r="B22" s="22">
        <v>486004.28947368421</v>
      </c>
      <c r="C22" s="22">
        <v>8.1932894736842119</v>
      </c>
      <c r="D22" s="22">
        <v>479271.05988502043</v>
      </c>
      <c r="E22" s="22">
        <v>251290.12133371588</v>
      </c>
      <c r="F22" s="21">
        <v>0.39985510164618232</v>
      </c>
    </row>
    <row r="23" spans="1:6" x14ac:dyDescent="0.25">
      <c r="A23" s="23" t="s">
        <v>103</v>
      </c>
      <c r="B23" s="22">
        <v>1742072.5921052631</v>
      </c>
      <c r="C23" s="22">
        <v>11.776578947368421</v>
      </c>
      <c r="D23" s="22">
        <v>1674696.6576519972</v>
      </c>
      <c r="E23" s="22">
        <v>636874.61009761586</v>
      </c>
      <c r="F23" s="21">
        <v>0.54310380852360962</v>
      </c>
    </row>
    <row r="24" spans="1:6" x14ac:dyDescent="0.25">
      <c r="A24" s="23" t="s">
        <v>104</v>
      </c>
      <c r="B24" s="22">
        <v>7702.625</v>
      </c>
      <c r="C24" s="22">
        <v>4.9312499999999995</v>
      </c>
      <c r="D24" s="22">
        <v>712993.68509180588</v>
      </c>
      <c r="E24" s="22">
        <v>1179443.3993667513</v>
      </c>
      <c r="F24" s="21">
        <v>-7.8767121497958668</v>
      </c>
    </row>
    <row r="25" spans="1:6" x14ac:dyDescent="0.25">
      <c r="A25" s="23" t="s">
        <v>105</v>
      </c>
      <c r="B25" s="22">
        <v>684291.17105263157</v>
      </c>
      <c r="C25" s="22">
        <v>5.2652631578947364</v>
      </c>
      <c r="D25" s="22">
        <v>676136.25908981997</v>
      </c>
      <c r="E25" s="22">
        <v>510086.81309537089</v>
      </c>
      <c r="F25" s="21">
        <v>0.14128900393745697</v>
      </c>
    </row>
    <row r="26" spans="1:6" x14ac:dyDescent="0.25">
      <c r="A26" s="23" t="s">
        <v>106</v>
      </c>
      <c r="B26" s="22">
        <v>451445.39473684208</v>
      </c>
      <c r="C26" s="22">
        <v>4.2173684210526314</v>
      </c>
      <c r="D26" s="22">
        <v>439699.35771348985</v>
      </c>
      <c r="E26" s="22">
        <v>301768.73167926818</v>
      </c>
      <c r="F26" s="21">
        <v>0.14223121620580917</v>
      </c>
    </row>
    <row r="27" spans="1:6" x14ac:dyDescent="0.25">
      <c r="A27" s="23" t="s">
        <v>107</v>
      </c>
      <c r="B27" s="22">
        <v>219423.72222222222</v>
      </c>
      <c r="C27" s="22">
        <v>21.389259259259259</v>
      </c>
      <c r="D27" s="22">
        <v>243890.98879000606</v>
      </c>
      <c r="E27" s="22">
        <v>100036.39422371521</v>
      </c>
      <c r="F27" s="21">
        <v>0.63218676898320769</v>
      </c>
    </row>
    <row r="28" spans="1:6" x14ac:dyDescent="0.25">
      <c r="A28" s="23" t="s">
        <v>108</v>
      </c>
      <c r="B28" s="22">
        <v>2939152.5526315789</v>
      </c>
      <c r="C28" s="22">
        <v>6.8510526315789493</v>
      </c>
      <c r="D28" s="22">
        <v>2923563.4829367683</v>
      </c>
      <c r="E28" s="22">
        <v>1279647.9690803518</v>
      </c>
      <c r="F28" s="21">
        <v>0.46665212634146447</v>
      </c>
    </row>
    <row r="29" spans="1:6" x14ac:dyDescent="0.25">
      <c r="A29" s="23" t="s">
        <v>109</v>
      </c>
      <c r="B29" s="22">
        <v>60105.819444444445</v>
      </c>
      <c r="C29" s="22">
        <v>3.0961111111111106</v>
      </c>
      <c r="D29" s="22">
        <v>77494.651593295668</v>
      </c>
      <c r="E29" s="22">
        <v>79378.517167272847</v>
      </c>
      <c r="F29" s="21">
        <v>-2.0764974040016733</v>
      </c>
    </row>
    <row r="30" spans="1:6" x14ac:dyDescent="0.25">
      <c r="A30" s="23" t="s">
        <v>110</v>
      </c>
      <c r="B30" s="22">
        <v>1640791.5789473683</v>
      </c>
      <c r="C30" s="22">
        <v>7.1706578947368396</v>
      </c>
      <c r="D30" s="22">
        <v>1617828.5126044452</v>
      </c>
      <c r="E30" s="22">
        <v>529621.90517759568</v>
      </c>
      <c r="F30" s="21">
        <v>0.68521785712816941</v>
      </c>
    </row>
    <row r="31" spans="1:6" x14ac:dyDescent="0.25">
      <c r="A31" s="23" t="s">
        <v>113</v>
      </c>
      <c r="B31" s="22"/>
      <c r="C31" s="22"/>
      <c r="D31" s="22"/>
      <c r="E31" s="22"/>
      <c r="F31" s="21"/>
    </row>
    <row r="32" spans="1:6" x14ac:dyDescent="0.25">
      <c r="A32" s="23" t="s">
        <v>119</v>
      </c>
      <c r="B32" s="22">
        <v>692417.4086865515</v>
      </c>
      <c r="C32" s="22">
        <v>7.7980062794348433</v>
      </c>
      <c r="D32" s="22">
        <v>692028.73501224269</v>
      </c>
      <c r="E32" s="22">
        <v>311128.08349721681</v>
      </c>
      <c r="F32" s="21" t="e"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12"/>
  <sheetViews>
    <sheetView workbookViewId="0">
      <selection activeCell="C1" sqref="A1:XFD1048576"/>
    </sheetView>
  </sheetViews>
  <sheetFormatPr defaultRowHeight="15" x14ac:dyDescent="0.25"/>
  <cols>
    <col min="1" max="1" width="10.85546875" bestFit="1" customWidth="1"/>
    <col min="2" max="2" width="16.85546875" bestFit="1" customWidth="1"/>
    <col min="3" max="3" width="10.7109375" bestFit="1" customWidth="1"/>
    <col min="4" max="4" width="33.140625" bestFit="1" customWidth="1"/>
    <col min="5" max="5" width="19.85546875" bestFit="1" customWidth="1"/>
    <col min="6" max="6" width="22.5703125" bestFit="1" customWidth="1"/>
    <col min="7" max="7" width="22.5703125" style="5" customWidth="1"/>
    <col min="8" max="8" width="22.42578125" style="5" bestFit="1" customWidth="1"/>
    <col min="9" max="9" width="22.42578125" style="18" customWidth="1"/>
    <col min="10" max="10" width="37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111</v>
      </c>
      <c r="H1" s="3" t="s">
        <v>112</v>
      </c>
      <c r="I1" s="16" t="s">
        <v>120</v>
      </c>
      <c r="J1" t="s">
        <v>6</v>
      </c>
    </row>
    <row r="2" spans="1:10" x14ac:dyDescent="0.25">
      <c r="A2" t="s">
        <v>7</v>
      </c>
      <c r="B2" t="s">
        <v>8</v>
      </c>
      <c r="C2" t="s">
        <v>9</v>
      </c>
      <c r="D2">
        <v>17.11</v>
      </c>
      <c r="E2" s="1">
        <v>15403662</v>
      </c>
      <c r="F2" s="1">
        <v>2635567</v>
      </c>
      <c r="G2" s="4">
        <v>0</v>
      </c>
      <c r="H2" s="4">
        <v>0</v>
      </c>
      <c r="I2" s="17" t="e">
        <f>(G2-H2)/G2</f>
        <v>#DIV/0!</v>
      </c>
      <c r="J2">
        <v>67.400000000000006</v>
      </c>
    </row>
    <row r="3" spans="1:10" x14ac:dyDescent="0.25">
      <c r="A3" t="s">
        <v>10</v>
      </c>
      <c r="B3" t="s">
        <v>8</v>
      </c>
      <c r="C3" t="s">
        <v>9</v>
      </c>
      <c r="D3">
        <v>10.08</v>
      </c>
      <c r="E3" s="1">
        <v>13879174</v>
      </c>
      <c r="F3" s="1">
        <v>1399021</v>
      </c>
      <c r="G3" s="4">
        <f>F2</f>
        <v>2635567</v>
      </c>
      <c r="H3" s="4">
        <v>0</v>
      </c>
      <c r="I3" s="17">
        <f t="shared" ref="I3:I66" si="0">(G3-H3)/G3</f>
        <v>1</v>
      </c>
      <c r="J3">
        <v>55.92</v>
      </c>
    </row>
    <row r="4" spans="1:10" x14ac:dyDescent="0.25">
      <c r="A4" t="s">
        <v>11</v>
      </c>
      <c r="B4" t="s">
        <v>8</v>
      </c>
      <c r="C4" t="s">
        <v>9</v>
      </c>
      <c r="D4">
        <v>8.74</v>
      </c>
      <c r="E4" s="1">
        <v>14314579</v>
      </c>
      <c r="F4" s="1">
        <v>1251094</v>
      </c>
      <c r="G4" s="4">
        <f t="shared" ref="G4:G67" si="1">0.7*F3+0.3*G3</f>
        <v>1769984.7999999998</v>
      </c>
      <c r="H4" s="4">
        <v>0</v>
      </c>
      <c r="I4" s="17">
        <f t="shared" si="0"/>
        <v>1</v>
      </c>
      <c r="J4">
        <v>56.76</v>
      </c>
    </row>
    <row r="5" spans="1:10" x14ac:dyDescent="0.25">
      <c r="A5" t="s">
        <v>12</v>
      </c>
      <c r="B5" t="s">
        <v>8</v>
      </c>
      <c r="C5" t="s">
        <v>9</v>
      </c>
      <c r="D5">
        <v>3.97</v>
      </c>
      <c r="E5" s="1">
        <v>14045983</v>
      </c>
      <c r="F5" s="1">
        <v>557626</v>
      </c>
      <c r="G5" s="4">
        <f t="shared" si="1"/>
        <v>1406761.2399999998</v>
      </c>
      <c r="H5" s="4">
        <v>0</v>
      </c>
      <c r="I5" s="17">
        <f t="shared" si="0"/>
        <v>1</v>
      </c>
      <c r="J5">
        <v>52.87</v>
      </c>
    </row>
    <row r="6" spans="1:10" x14ac:dyDescent="0.25">
      <c r="A6" t="s">
        <v>13</v>
      </c>
      <c r="B6" t="s">
        <v>8</v>
      </c>
      <c r="C6" t="s">
        <v>9</v>
      </c>
      <c r="D6">
        <v>5.94</v>
      </c>
      <c r="E6" s="1">
        <v>15873974</v>
      </c>
      <c r="F6" s="1">
        <v>942914</v>
      </c>
      <c r="G6" s="4">
        <f t="shared" si="1"/>
        <v>812366.57199999993</v>
      </c>
      <c r="H6" s="4">
        <f t="shared" ref="H6:H69" si="2">SQRT(SUMXMY2(F3:F5,G3:G5)/3)</f>
        <v>916392.26103426854</v>
      </c>
      <c r="I6" s="17">
        <f t="shared" si="0"/>
        <v>-0.12805264596026314</v>
      </c>
      <c r="J6">
        <v>60.94</v>
      </c>
    </row>
    <row r="7" spans="1:10" x14ac:dyDescent="0.25">
      <c r="A7" t="s">
        <v>14</v>
      </c>
      <c r="B7" t="s">
        <v>8</v>
      </c>
      <c r="C7" t="s">
        <v>9</v>
      </c>
      <c r="D7">
        <v>3.54</v>
      </c>
      <c r="E7" s="1">
        <v>13006747</v>
      </c>
      <c r="F7" s="1">
        <v>460439</v>
      </c>
      <c r="G7" s="4">
        <f t="shared" si="1"/>
        <v>903749.77159999986</v>
      </c>
      <c r="H7" s="4">
        <f t="shared" si="2"/>
        <v>579459.79126881959</v>
      </c>
      <c r="I7" s="17">
        <f t="shared" si="0"/>
        <v>0.35882717818789245</v>
      </c>
      <c r="J7">
        <v>48.64</v>
      </c>
    </row>
    <row r="8" spans="1:10" x14ac:dyDescent="0.25">
      <c r="A8" t="s">
        <v>15</v>
      </c>
      <c r="B8" t="s">
        <v>8</v>
      </c>
      <c r="C8" t="s">
        <v>9</v>
      </c>
      <c r="D8">
        <v>4.9800000000000004</v>
      </c>
      <c r="E8" s="1">
        <v>14165099</v>
      </c>
      <c r="F8" s="1">
        <v>705422</v>
      </c>
      <c r="G8" s="4">
        <f t="shared" si="1"/>
        <v>593432.23147999996</v>
      </c>
      <c r="H8" s="4">
        <f t="shared" si="2"/>
        <v>558151.03301999415</v>
      </c>
      <c r="I8" s="17">
        <f t="shared" si="0"/>
        <v>5.9452784308691303E-2</v>
      </c>
      <c r="J8">
        <v>53.71</v>
      </c>
    </row>
    <row r="9" spans="1:10" x14ac:dyDescent="0.25">
      <c r="A9" t="s">
        <v>16</v>
      </c>
      <c r="B9" t="s">
        <v>8</v>
      </c>
      <c r="C9" t="s">
        <v>9</v>
      </c>
      <c r="D9">
        <v>3.01</v>
      </c>
      <c r="E9" s="1">
        <v>13558769</v>
      </c>
      <c r="F9" s="1">
        <v>408119</v>
      </c>
      <c r="G9" s="4">
        <f t="shared" si="1"/>
        <v>671825.06944399991</v>
      </c>
      <c r="H9" s="4">
        <f t="shared" si="2"/>
        <v>274535.23114964418</v>
      </c>
      <c r="I9" s="17">
        <f t="shared" si="0"/>
        <v>0.59135905515278164</v>
      </c>
      <c r="J9">
        <v>50.31</v>
      </c>
    </row>
    <row r="10" spans="1:10" x14ac:dyDescent="0.25">
      <c r="A10" t="s">
        <v>17</v>
      </c>
      <c r="B10" t="s">
        <v>8</v>
      </c>
      <c r="C10" t="s">
        <v>9</v>
      </c>
      <c r="D10">
        <v>8.4700000000000006</v>
      </c>
      <c r="E10" s="1">
        <v>14568750</v>
      </c>
      <c r="F10" s="1">
        <v>1233973</v>
      </c>
      <c r="G10" s="4">
        <f t="shared" si="1"/>
        <v>487230.82083319995</v>
      </c>
      <c r="H10" s="4">
        <f t="shared" si="2"/>
        <v>304744.17660903389</v>
      </c>
      <c r="I10" s="17">
        <f t="shared" si="0"/>
        <v>0.37453838390621658</v>
      </c>
      <c r="J10">
        <v>57.22</v>
      </c>
    </row>
    <row r="11" spans="1:10" x14ac:dyDescent="0.25">
      <c r="A11" t="s">
        <v>18</v>
      </c>
      <c r="B11" t="s">
        <v>8</v>
      </c>
      <c r="C11" t="s">
        <v>9</v>
      </c>
      <c r="D11">
        <v>11.11</v>
      </c>
      <c r="E11" s="1">
        <v>13709005</v>
      </c>
      <c r="F11" s="1">
        <v>1523070</v>
      </c>
      <c r="G11" s="4">
        <f t="shared" si="1"/>
        <v>1009950.3462499599</v>
      </c>
      <c r="H11" s="4">
        <f t="shared" si="2"/>
        <v>461774.28882573801</v>
      </c>
      <c r="I11" s="17">
        <f t="shared" si="0"/>
        <v>0.54277525569415452</v>
      </c>
      <c r="J11">
        <v>55.38</v>
      </c>
    </row>
    <row r="12" spans="1:10" x14ac:dyDescent="0.25">
      <c r="A12" t="s">
        <v>19</v>
      </c>
      <c r="B12" t="s">
        <v>8</v>
      </c>
      <c r="C12" t="s">
        <v>9</v>
      </c>
      <c r="D12">
        <v>4.87</v>
      </c>
      <c r="E12" s="1">
        <v>13757647</v>
      </c>
      <c r="F12" s="1">
        <v>669997</v>
      </c>
      <c r="G12" s="4">
        <f t="shared" si="1"/>
        <v>1369134.1038749879</v>
      </c>
      <c r="H12" s="4">
        <f t="shared" si="2"/>
        <v>544810.83942745544</v>
      </c>
      <c r="I12" s="17">
        <f t="shared" si="0"/>
        <v>0.60207635038415441</v>
      </c>
      <c r="J12">
        <v>51.88</v>
      </c>
    </row>
    <row r="13" spans="1:10" x14ac:dyDescent="0.25">
      <c r="A13" t="s">
        <v>20</v>
      </c>
      <c r="B13" t="s">
        <v>8</v>
      </c>
      <c r="C13" t="s">
        <v>9</v>
      </c>
      <c r="D13">
        <v>4.07</v>
      </c>
      <c r="E13" s="1">
        <v>13162991</v>
      </c>
      <c r="F13" s="1">
        <v>535734</v>
      </c>
      <c r="G13" s="4">
        <f t="shared" si="1"/>
        <v>879738.13116249628</v>
      </c>
      <c r="H13" s="4">
        <f t="shared" si="2"/>
        <v>660734.02395266632</v>
      </c>
      <c r="I13" s="17">
        <f t="shared" si="0"/>
        <v>0.24894238347999689</v>
      </c>
      <c r="J13">
        <v>49.17</v>
      </c>
    </row>
    <row r="14" spans="1:10" x14ac:dyDescent="0.25">
      <c r="A14" t="s">
        <v>21</v>
      </c>
      <c r="B14" t="s">
        <v>8</v>
      </c>
      <c r="C14" t="s">
        <v>9</v>
      </c>
      <c r="D14">
        <v>5.86</v>
      </c>
      <c r="E14" s="1">
        <v>14405379</v>
      </c>
      <c r="F14" s="1">
        <v>844155</v>
      </c>
      <c r="G14" s="4">
        <f t="shared" si="1"/>
        <v>638935.23934874893</v>
      </c>
      <c r="H14" s="4">
        <f t="shared" si="2"/>
        <v>538647.47635045147</v>
      </c>
      <c r="I14" s="17">
        <f t="shared" si="0"/>
        <v>0.15696076350479327</v>
      </c>
      <c r="J14">
        <v>54.77</v>
      </c>
    </row>
    <row r="15" spans="1:10" x14ac:dyDescent="0.25">
      <c r="A15" t="s">
        <v>22</v>
      </c>
      <c r="B15" t="s">
        <v>8</v>
      </c>
      <c r="C15" t="s">
        <v>9</v>
      </c>
      <c r="D15">
        <v>4.83</v>
      </c>
      <c r="E15" s="1">
        <v>12994162</v>
      </c>
      <c r="F15" s="1">
        <v>627618</v>
      </c>
      <c r="G15" s="4">
        <f t="shared" si="1"/>
        <v>782589.07180462463</v>
      </c>
      <c r="H15" s="4">
        <f t="shared" si="2"/>
        <v>465204.8589719467</v>
      </c>
      <c r="I15" s="17">
        <f t="shared" si="0"/>
        <v>0.40555666347448527</v>
      </c>
      <c r="J15">
        <v>48.82</v>
      </c>
    </row>
    <row r="16" spans="1:10" x14ac:dyDescent="0.25">
      <c r="A16" t="s">
        <v>23</v>
      </c>
      <c r="B16" t="s">
        <v>8</v>
      </c>
      <c r="C16" t="s">
        <v>9</v>
      </c>
      <c r="D16">
        <v>2.78</v>
      </c>
      <c r="E16" s="1">
        <v>13379892</v>
      </c>
      <c r="F16" s="1">
        <v>371961</v>
      </c>
      <c r="G16" s="4">
        <f t="shared" si="1"/>
        <v>674109.32154138735</v>
      </c>
      <c r="H16" s="4">
        <f t="shared" si="2"/>
        <v>247971.78973618138</v>
      </c>
      <c r="I16" s="17">
        <f t="shared" si="0"/>
        <v>0.63214899748132769</v>
      </c>
      <c r="J16">
        <v>49.15</v>
      </c>
    </row>
    <row r="17" spans="1:10" x14ac:dyDescent="0.25">
      <c r="A17" t="s">
        <v>24</v>
      </c>
      <c r="B17" t="s">
        <v>8</v>
      </c>
      <c r="C17" t="s">
        <v>9</v>
      </c>
      <c r="D17">
        <v>2.75</v>
      </c>
      <c r="E17" s="1">
        <v>13143105</v>
      </c>
      <c r="F17" s="1">
        <v>361435</v>
      </c>
      <c r="G17" s="4">
        <f t="shared" si="1"/>
        <v>462605.49646241619</v>
      </c>
      <c r="H17" s="4">
        <f t="shared" si="2"/>
        <v>229074.07205844176</v>
      </c>
      <c r="I17" s="17">
        <f t="shared" si="0"/>
        <v>0.504817660381922</v>
      </c>
      <c r="J17">
        <v>48.22</v>
      </c>
    </row>
    <row r="18" spans="1:10" x14ac:dyDescent="0.25">
      <c r="A18" t="s">
        <v>25</v>
      </c>
      <c r="B18" t="s">
        <v>8</v>
      </c>
      <c r="C18" t="s">
        <v>9</v>
      </c>
      <c r="D18">
        <v>1.7</v>
      </c>
      <c r="E18" s="1">
        <v>13107658</v>
      </c>
      <c r="F18" s="1">
        <v>222830</v>
      </c>
      <c r="G18" s="4">
        <f t="shared" si="1"/>
        <v>391786.14893872483</v>
      </c>
      <c r="H18" s="4">
        <f t="shared" si="2"/>
        <v>204568.7420412378</v>
      </c>
      <c r="I18" s="17">
        <f t="shared" si="0"/>
        <v>0.47785611462943206</v>
      </c>
      <c r="J18">
        <v>47.52</v>
      </c>
    </row>
    <row r="19" spans="1:10" x14ac:dyDescent="0.25">
      <c r="A19" t="s">
        <v>26</v>
      </c>
      <c r="B19" t="s">
        <v>8</v>
      </c>
      <c r="C19" t="s">
        <v>9</v>
      </c>
      <c r="D19">
        <v>3.76</v>
      </c>
      <c r="E19" s="1">
        <v>12607286</v>
      </c>
      <c r="F19" s="1">
        <v>474034</v>
      </c>
      <c r="G19" s="4">
        <f t="shared" si="1"/>
        <v>273516.84468161745</v>
      </c>
      <c r="H19" s="4">
        <f t="shared" si="2"/>
        <v>208226.84571474281</v>
      </c>
      <c r="I19" s="17">
        <f t="shared" si="0"/>
        <v>0.23870558701009562</v>
      </c>
      <c r="J19">
        <v>46.64</v>
      </c>
    </row>
    <row r="20" spans="1:10" x14ac:dyDescent="0.25">
      <c r="A20" t="s">
        <v>27</v>
      </c>
      <c r="B20" t="s">
        <v>8</v>
      </c>
      <c r="C20" t="s">
        <v>9</v>
      </c>
      <c r="D20">
        <v>2.5099999999999998</v>
      </c>
      <c r="E20" s="1">
        <v>12972951</v>
      </c>
      <c r="F20" s="1">
        <v>325621</v>
      </c>
      <c r="G20" s="4">
        <f t="shared" si="1"/>
        <v>413878.85340448521</v>
      </c>
      <c r="H20" s="4">
        <f t="shared" si="2"/>
        <v>162263.96107950434</v>
      </c>
      <c r="I20" s="17">
        <f t="shared" si="0"/>
        <v>0.60794333959139679</v>
      </c>
      <c r="J20">
        <v>47.32</v>
      </c>
    </row>
    <row r="21" spans="1:10" x14ac:dyDescent="0.25">
      <c r="A21" t="s">
        <v>28</v>
      </c>
      <c r="B21" t="s">
        <v>8</v>
      </c>
      <c r="C21" t="s">
        <v>9</v>
      </c>
      <c r="D21">
        <v>2.4900000000000002</v>
      </c>
      <c r="E21" s="1">
        <v>12749708</v>
      </c>
      <c r="F21" s="1">
        <v>317468</v>
      </c>
      <c r="G21" s="4">
        <f t="shared" si="1"/>
        <v>352098.35602134553</v>
      </c>
      <c r="H21" s="4">
        <f t="shared" si="2"/>
        <v>159731.81537475923</v>
      </c>
      <c r="I21" s="17">
        <f t="shared" si="0"/>
        <v>0.54634319461271308</v>
      </c>
      <c r="J21">
        <v>46.45</v>
      </c>
    </row>
    <row r="22" spans="1:10" x14ac:dyDescent="0.25">
      <c r="A22" t="s">
        <v>29</v>
      </c>
      <c r="B22" t="s">
        <v>8</v>
      </c>
      <c r="C22" t="s">
        <v>9</v>
      </c>
      <c r="D22">
        <v>5.91</v>
      </c>
      <c r="E22" s="1">
        <v>13683892</v>
      </c>
      <c r="F22" s="1">
        <v>808718</v>
      </c>
      <c r="G22" s="4">
        <f t="shared" si="1"/>
        <v>327857.10680640361</v>
      </c>
      <c r="H22" s="4">
        <f t="shared" si="2"/>
        <v>128057.07037971924</v>
      </c>
      <c r="I22" s="17">
        <f t="shared" si="0"/>
        <v>0.60941194282137157</v>
      </c>
      <c r="J22">
        <v>51.61</v>
      </c>
    </row>
    <row r="23" spans="1:10" x14ac:dyDescent="0.25">
      <c r="A23" t="s">
        <v>30</v>
      </c>
      <c r="B23" t="s">
        <v>8</v>
      </c>
      <c r="C23" t="s">
        <v>9</v>
      </c>
      <c r="D23">
        <v>2.96</v>
      </c>
      <c r="E23" s="1">
        <v>12131064</v>
      </c>
      <c r="F23" s="1">
        <v>359079</v>
      </c>
      <c r="G23" s="4">
        <f t="shared" si="1"/>
        <v>664459.732041921</v>
      </c>
      <c r="H23" s="4">
        <f t="shared" si="2"/>
        <v>282969.90938300377</v>
      </c>
      <c r="I23" s="17">
        <f t="shared" si="0"/>
        <v>0.57413535277236172</v>
      </c>
      <c r="J23">
        <v>44.31</v>
      </c>
    </row>
    <row r="24" spans="1:10" x14ac:dyDescent="0.25">
      <c r="A24" t="s">
        <v>31</v>
      </c>
      <c r="B24" t="s">
        <v>8</v>
      </c>
      <c r="C24" t="s">
        <v>9</v>
      </c>
      <c r="D24">
        <v>3.19</v>
      </c>
      <c r="E24" s="1">
        <v>13011182</v>
      </c>
      <c r="F24" s="1">
        <v>415057</v>
      </c>
      <c r="G24" s="4">
        <f t="shared" si="1"/>
        <v>450693.2196125763</v>
      </c>
      <c r="H24" s="4">
        <f t="shared" si="2"/>
        <v>329486.39408609271</v>
      </c>
      <c r="I24" s="17">
        <f t="shared" si="0"/>
        <v>0.26893421123724709</v>
      </c>
      <c r="J24">
        <v>47.59</v>
      </c>
    </row>
    <row r="25" spans="1:10" x14ac:dyDescent="0.25">
      <c r="A25" t="s">
        <v>32</v>
      </c>
      <c r="B25" t="s">
        <v>8</v>
      </c>
      <c r="C25" t="s">
        <v>9</v>
      </c>
      <c r="D25">
        <v>3.45</v>
      </c>
      <c r="E25" s="1">
        <v>13545548</v>
      </c>
      <c r="F25" s="1">
        <v>467321</v>
      </c>
      <c r="G25" s="4">
        <f t="shared" si="1"/>
        <v>425747.86588377284</v>
      </c>
      <c r="H25" s="4">
        <f t="shared" si="2"/>
        <v>329522.14404785133</v>
      </c>
      <c r="I25" s="17">
        <f t="shared" si="0"/>
        <v>0.22601574675230596</v>
      </c>
      <c r="J25">
        <v>49.62</v>
      </c>
    </row>
    <row r="26" spans="1:10" x14ac:dyDescent="0.25">
      <c r="A26" t="s">
        <v>33</v>
      </c>
      <c r="B26" t="s">
        <v>8</v>
      </c>
      <c r="C26" t="s">
        <v>9</v>
      </c>
      <c r="D26">
        <v>4.79</v>
      </c>
      <c r="E26" s="1">
        <v>13061886</v>
      </c>
      <c r="F26" s="1">
        <v>625664</v>
      </c>
      <c r="G26" s="4">
        <f t="shared" si="1"/>
        <v>454849.05976513179</v>
      </c>
      <c r="H26" s="4">
        <f t="shared" si="2"/>
        <v>179123.47429541548</v>
      </c>
      <c r="I26" s="17">
        <f t="shared" si="0"/>
        <v>0.60619139371661324</v>
      </c>
      <c r="J26">
        <v>48.46</v>
      </c>
    </row>
    <row r="27" spans="1:10" x14ac:dyDescent="0.25">
      <c r="A27" t="s">
        <v>34</v>
      </c>
      <c r="B27" t="s">
        <v>8</v>
      </c>
      <c r="C27" t="s">
        <v>9</v>
      </c>
      <c r="D27">
        <v>4.38</v>
      </c>
      <c r="E27" s="1">
        <v>12414387</v>
      </c>
      <c r="F27" s="1">
        <v>543750</v>
      </c>
      <c r="G27" s="4">
        <f t="shared" si="1"/>
        <v>574419.51792953955</v>
      </c>
      <c r="H27" s="4">
        <f t="shared" si="2"/>
        <v>103563.20040755013</v>
      </c>
      <c r="I27" s="17">
        <f t="shared" si="0"/>
        <v>0.81970807541352797</v>
      </c>
      <c r="J27">
        <v>45.82</v>
      </c>
    </row>
    <row r="28" spans="1:10" x14ac:dyDescent="0.25">
      <c r="A28" t="s">
        <v>35</v>
      </c>
      <c r="B28" t="s">
        <v>8</v>
      </c>
      <c r="C28" t="s">
        <v>9</v>
      </c>
      <c r="D28">
        <v>4.17</v>
      </c>
      <c r="E28" s="1">
        <v>12583382</v>
      </c>
      <c r="F28" s="1">
        <v>524727</v>
      </c>
      <c r="G28" s="4">
        <f t="shared" si="1"/>
        <v>552950.85537886189</v>
      </c>
      <c r="H28" s="4">
        <f t="shared" si="2"/>
        <v>103031.85367920247</v>
      </c>
      <c r="I28" s="17">
        <f t="shared" si="0"/>
        <v>0.81366905815054968</v>
      </c>
      <c r="J28">
        <v>46.29</v>
      </c>
    </row>
    <row r="29" spans="1:10" x14ac:dyDescent="0.25">
      <c r="A29" t="s">
        <v>36</v>
      </c>
      <c r="B29" t="s">
        <v>8</v>
      </c>
      <c r="C29" t="s">
        <v>9</v>
      </c>
      <c r="D29">
        <v>2.8</v>
      </c>
      <c r="E29" s="1">
        <v>12141674</v>
      </c>
      <c r="F29" s="1">
        <v>339967</v>
      </c>
      <c r="G29" s="4">
        <f t="shared" si="1"/>
        <v>533194.15661365853</v>
      </c>
      <c r="H29" s="4">
        <f t="shared" si="2"/>
        <v>101513.46240756914</v>
      </c>
      <c r="I29" s="17">
        <f t="shared" si="0"/>
        <v>0.80961257517845653</v>
      </c>
      <c r="J29">
        <v>43.99</v>
      </c>
    </row>
    <row r="30" spans="1:10" x14ac:dyDescent="0.25">
      <c r="A30" t="s">
        <v>37</v>
      </c>
      <c r="B30" t="s">
        <v>8</v>
      </c>
      <c r="C30" t="s">
        <v>9</v>
      </c>
      <c r="D30">
        <v>3.64</v>
      </c>
      <c r="E30" s="1">
        <v>12309016</v>
      </c>
      <c r="F30" s="1">
        <v>448048</v>
      </c>
      <c r="G30" s="4">
        <f t="shared" si="1"/>
        <v>397935.14698409755</v>
      </c>
      <c r="H30" s="4">
        <f t="shared" si="2"/>
        <v>114125.57323036261</v>
      </c>
      <c r="I30" s="17">
        <f t="shared" si="0"/>
        <v>0.71320559620001767</v>
      </c>
      <c r="J30">
        <v>44.93</v>
      </c>
    </row>
    <row r="31" spans="1:10" x14ac:dyDescent="0.25">
      <c r="A31" t="s">
        <v>38</v>
      </c>
      <c r="B31" t="s">
        <v>8</v>
      </c>
      <c r="C31" t="s">
        <v>9</v>
      </c>
      <c r="D31">
        <v>4.78</v>
      </c>
      <c r="E31" s="1">
        <v>11577611</v>
      </c>
      <c r="F31" s="1">
        <v>553410</v>
      </c>
      <c r="G31" s="4">
        <f t="shared" si="1"/>
        <v>433014.14409522922</v>
      </c>
      <c r="H31" s="4">
        <f t="shared" si="2"/>
        <v>116396.76127057784</v>
      </c>
      <c r="I31" s="17">
        <f t="shared" si="0"/>
        <v>0.73119408948226028</v>
      </c>
      <c r="J31">
        <v>42.72</v>
      </c>
    </row>
    <row r="32" spans="1:10" x14ac:dyDescent="0.25">
      <c r="A32" t="s">
        <v>39</v>
      </c>
      <c r="B32" t="s">
        <v>8</v>
      </c>
      <c r="C32" t="s">
        <v>9</v>
      </c>
      <c r="D32">
        <v>5.26</v>
      </c>
      <c r="E32" s="1">
        <v>12636224</v>
      </c>
      <c r="F32" s="1">
        <v>664665</v>
      </c>
      <c r="G32" s="4">
        <f t="shared" si="1"/>
        <v>517291.24322856875</v>
      </c>
      <c r="H32" s="4">
        <f t="shared" si="2"/>
        <v>134589.7398385616</v>
      </c>
      <c r="I32" s="17">
        <f t="shared" si="0"/>
        <v>0.73981825209615593</v>
      </c>
      <c r="J32">
        <v>46.82</v>
      </c>
    </row>
    <row r="33" spans="1:10" x14ac:dyDescent="0.25">
      <c r="A33" t="s">
        <v>40</v>
      </c>
      <c r="B33" t="s">
        <v>8</v>
      </c>
      <c r="C33" t="s">
        <v>9</v>
      </c>
      <c r="D33">
        <v>4.03</v>
      </c>
      <c r="E33" s="1">
        <v>12338427</v>
      </c>
      <c r="F33" s="1">
        <v>497239</v>
      </c>
      <c r="G33" s="4">
        <f t="shared" si="1"/>
        <v>620452.87296857056</v>
      </c>
      <c r="H33" s="4">
        <f t="shared" si="2"/>
        <v>113615.55694733703</v>
      </c>
      <c r="I33" s="17">
        <f t="shared" si="0"/>
        <v>0.81688285783295544</v>
      </c>
      <c r="J33">
        <v>45.07</v>
      </c>
    </row>
    <row r="34" spans="1:10" x14ac:dyDescent="0.25">
      <c r="A34" t="s">
        <v>41</v>
      </c>
      <c r="B34" t="s">
        <v>8</v>
      </c>
      <c r="C34" t="s">
        <v>9</v>
      </c>
      <c r="D34">
        <v>4.0599999999999996</v>
      </c>
      <c r="E34" s="1">
        <v>12442778</v>
      </c>
      <c r="F34" s="1">
        <v>505177</v>
      </c>
      <c r="G34" s="4">
        <f t="shared" si="1"/>
        <v>534203.16189057112</v>
      </c>
      <c r="H34" s="4">
        <f t="shared" si="2"/>
        <v>130889.06854773671</v>
      </c>
      <c r="I34" s="17">
        <f t="shared" si="0"/>
        <v>0.75498260234081371</v>
      </c>
      <c r="J34">
        <v>45.42</v>
      </c>
    </row>
    <row r="35" spans="1:10" x14ac:dyDescent="0.25">
      <c r="A35" t="s">
        <v>42</v>
      </c>
      <c r="B35" t="s">
        <v>8</v>
      </c>
      <c r="C35" t="s">
        <v>9</v>
      </c>
      <c r="D35">
        <v>5.74</v>
      </c>
      <c r="E35" s="1">
        <v>10894155</v>
      </c>
      <c r="F35" s="1">
        <v>625324</v>
      </c>
      <c r="G35" s="4">
        <f t="shared" si="1"/>
        <v>513884.84856717126</v>
      </c>
      <c r="H35" s="4">
        <f t="shared" si="2"/>
        <v>112165.35524385067</v>
      </c>
      <c r="I35" s="17">
        <f t="shared" si="0"/>
        <v>0.78173056559929055</v>
      </c>
      <c r="J35">
        <v>40.43</v>
      </c>
    </row>
    <row r="36" spans="1:10" x14ac:dyDescent="0.25">
      <c r="A36" t="s">
        <v>43</v>
      </c>
      <c r="B36" t="s">
        <v>8</v>
      </c>
      <c r="C36" t="s">
        <v>9</v>
      </c>
      <c r="D36">
        <v>4.67</v>
      </c>
      <c r="E36" s="1">
        <v>12084598</v>
      </c>
      <c r="F36" s="1">
        <v>564351</v>
      </c>
      <c r="G36" s="4">
        <f t="shared" si="1"/>
        <v>591892.25457015133</v>
      </c>
      <c r="H36" s="4">
        <f t="shared" si="2"/>
        <v>97370.188863740739</v>
      </c>
      <c r="I36" s="17">
        <f t="shared" si="0"/>
        <v>0.83549338902153114</v>
      </c>
      <c r="J36">
        <v>44.3</v>
      </c>
    </row>
    <row r="37" spans="1:10" x14ac:dyDescent="0.25">
      <c r="A37" t="s">
        <v>44</v>
      </c>
      <c r="B37" t="s">
        <v>8</v>
      </c>
      <c r="C37" t="s">
        <v>9</v>
      </c>
      <c r="D37">
        <v>3.9</v>
      </c>
      <c r="E37" s="1">
        <v>12222642</v>
      </c>
      <c r="F37" s="1">
        <v>476683</v>
      </c>
      <c r="G37" s="4">
        <f t="shared" si="1"/>
        <v>572613.37637104536</v>
      </c>
      <c r="H37" s="4">
        <f t="shared" si="2"/>
        <v>68361.107971966194</v>
      </c>
      <c r="I37" s="17">
        <f t="shared" si="0"/>
        <v>0.88061559370965659</v>
      </c>
      <c r="J37">
        <v>44.39</v>
      </c>
    </row>
    <row r="38" spans="1:10" x14ac:dyDescent="0.25">
      <c r="A38" t="s">
        <v>45</v>
      </c>
      <c r="B38" t="s">
        <v>8</v>
      </c>
      <c r="C38" t="s">
        <v>9</v>
      </c>
      <c r="D38">
        <v>4.67</v>
      </c>
      <c r="E38" s="1">
        <v>12748903</v>
      </c>
      <c r="F38" s="1">
        <v>595374</v>
      </c>
      <c r="G38" s="4">
        <f t="shared" si="1"/>
        <v>505462.11291131354</v>
      </c>
      <c r="H38" s="4">
        <f t="shared" si="2"/>
        <v>86370.987192955858</v>
      </c>
      <c r="I38" s="17">
        <f t="shared" si="0"/>
        <v>0.82912470591418952</v>
      </c>
      <c r="J38">
        <v>46.63</v>
      </c>
    </row>
    <row r="39" spans="1:10" x14ac:dyDescent="0.25">
      <c r="A39" t="s">
        <v>46</v>
      </c>
      <c r="B39" t="s">
        <v>8</v>
      </c>
      <c r="C39" t="s">
        <v>9</v>
      </c>
      <c r="D39">
        <v>5.75</v>
      </c>
      <c r="E39" s="1">
        <v>10842104</v>
      </c>
      <c r="F39" s="1">
        <v>623421</v>
      </c>
      <c r="G39" s="4">
        <f t="shared" si="1"/>
        <v>568400.43387339404</v>
      </c>
      <c r="H39" s="4">
        <f t="shared" si="2"/>
        <v>77557.087047406589</v>
      </c>
      <c r="I39" s="17">
        <f t="shared" si="0"/>
        <v>0.86355202701220724</v>
      </c>
      <c r="J39">
        <v>40.07</v>
      </c>
    </row>
    <row r="40" spans="1:10" x14ac:dyDescent="0.25">
      <c r="A40" t="s">
        <v>47</v>
      </c>
      <c r="B40" t="s">
        <v>8</v>
      </c>
      <c r="C40" t="s">
        <v>9</v>
      </c>
      <c r="D40">
        <v>4.96</v>
      </c>
      <c r="E40" s="1">
        <v>11581513</v>
      </c>
      <c r="F40" s="1">
        <v>574443</v>
      </c>
      <c r="G40" s="4">
        <f t="shared" si="1"/>
        <v>606914.83016201819</v>
      </c>
      <c r="H40" s="4">
        <f t="shared" si="2"/>
        <v>82288.207432639552</v>
      </c>
      <c r="I40" s="17">
        <f t="shared" si="0"/>
        <v>0.86441555990537844</v>
      </c>
      <c r="J40">
        <v>42.4</v>
      </c>
    </row>
    <row r="41" spans="1:10" x14ac:dyDescent="0.25">
      <c r="A41" t="s">
        <v>48</v>
      </c>
      <c r="B41" t="s">
        <v>8</v>
      </c>
      <c r="C41" t="s">
        <v>9</v>
      </c>
      <c r="D41">
        <v>3.56</v>
      </c>
      <c r="E41" s="1">
        <v>12784615</v>
      </c>
      <c r="F41" s="1">
        <v>455132</v>
      </c>
      <c r="G41" s="4">
        <f t="shared" si="1"/>
        <v>584184.54904860537</v>
      </c>
      <c r="H41" s="4">
        <f t="shared" si="2"/>
        <v>63681.05393498623</v>
      </c>
      <c r="I41" s="17">
        <f t="shared" si="0"/>
        <v>0.89099154703989292</v>
      </c>
      <c r="J41">
        <v>46.07</v>
      </c>
    </row>
    <row r="42" spans="1:10" x14ac:dyDescent="0.25">
      <c r="A42" t="s">
        <v>49</v>
      </c>
      <c r="B42" t="s">
        <v>8</v>
      </c>
      <c r="C42" t="s">
        <v>9</v>
      </c>
      <c r="D42">
        <v>3.65</v>
      </c>
      <c r="E42" s="1">
        <v>11999141</v>
      </c>
      <c r="F42" s="1">
        <v>437969</v>
      </c>
      <c r="G42" s="4">
        <f t="shared" si="1"/>
        <v>493847.76471458154</v>
      </c>
      <c r="H42" s="4">
        <f t="shared" si="2"/>
        <v>83138.925634357875</v>
      </c>
      <c r="I42" s="17">
        <f t="shared" si="0"/>
        <v>0.83165069972037264</v>
      </c>
      <c r="J42">
        <v>43.24</v>
      </c>
    </row>
    <row r="43" spans="1:10" x14ac:dyDescent="0.25">
      <c r="A43" t="s">
        <v>50</v>
      </c>
      <c r="B43" t="s">
        <v>8</v>
      </c>
      <c r="C43" t="s">
        <v>9</v>
      </c>
      <c r="D43">
        <v>3.05</v>
      </c>
      <c r="E43" s="1">
        <v>11755881</v>
      </c>
      <c r="F43" s="1">
        <v>358554</v>
      </c>
      <c r="G43" s="4">
        <f t="shared" si="1"/>
        <v>454732.62941437447</v>
      </c>
      <c r="H43" s="4">
        <f t="shared" si="2"/>
        <v>83329.499610564511</v>
      </c>
      <c r="I43" s="17">
        <f t="shared" si="0"/>
        <v>0.81675056017449188</v>
      </c>
      <c r="J43">
        <v>42.05</v>
      </c>
    </row>
    <row r="44" spans="1:10" x14ac:dyDescent="0.25">
      <c r="A44" t="s">
        <v>51</v>
      </c>
      <c r="B44" t="s">
        <v>8</v>
      </c>
      <c r="C44" t="s">
        <v>9</v>
      </c>
      <c r="D44">
        <v>3.75</v>
      </c>
      <c r="E44" s="1">
        <v>12086709</v>
      </c>
      <c r="F44" s="1">
        <v>453252</v>
      </c>
      <c r="G44" s="4">
        <f t="shared" si="1"/>
        <v>387407.58882431232</v>
      </c>
      <c r="H44" s="4">
        <f t="shared" si="2"/>
        <v>98365.518209715883</v>
      </c>
      <c r="I44" s="17">
        <f t="shared" si="0"/>
        <v>0.74609294952576621</v>
      </c>
      <c r="J44">
        <v>43.5</v>
      </c>
    </row>
    <row r="45" spans="1:10" x14ac:dyDescent="0.25">
      <c r="A45" t="s">
        <v>52</v>
      </c>
      <c r="B45" t="s">
        <v>8</v>
      </c>
      <c r="C45" t="s">
        <v>9</v>
      </c>
      <c r="D45">
        <v>3.32</v>
      </c>
      <c r="E45" s="1">
        <v>12285689</v>
      </c>
      <c r="F45" s="1">
        <v>407885</v>
      </c>
      <c r="G45" s="4">
        <f t="shared" si="1"/>
        <v>433498.67664729367</v>
      </c>
      <c r="H45" s="4">
        <f t="shared" si="2"/>
        <v>74628.528024092244</v>
      </c>
      <c r="I45" s="17">
        <f t="shared" si="0"/>
        <v>0.82784600727902091</v>
      </c>
      <c r="J45">
        <v>43.97</v>
      </c>
    </row>
    <row r="46" spans="1:10" x14ac:dyDescent="0.25">
      <c r="A46" t="s">
        <v>53</v>
      </c>
      <c r="B46" t="s">
        <v>8</v>
      </c>
      <c r="C46" t="s">
        <v>9</v>
      </c>
      <c r="D46">
        <v>5.17</v>
      </c>
      <c r="E46" s="1">
        <v>12256763</v>
      </c>
      <c r="F46" s="1">
        <v>633675</v>
      </c>
      <c r="G46" s="4">
        <f t="shared" si="1"/>
        <v>415569.10299418808</v>
      </c>
      <c r="H46" s="4">
        <f t="shared" si="2"/>
        <v>68900.594265682783</v>
      </c>
      <c r="I46" s="17">
        <f t="shared" si="0"/>
        <v>0.83420183606227727</v>
      </c>
      <c r="J46">
        <v>44.68</v>
      </c>
    </row>
    <row r="47" spans="1:10" x14ac:dyDescent="0.25">
      <c r="A47" t="s">
        <v>54</v>
      </c>
      <c r="B47" t="s">
        <v>8</v>
      </c>
      <c r="C47" t="s">
        <v>9</v>
      </c>
      <c r="D47">
        <v>3.52</v>
      </c>
      <c r="E47" s="1">
        <v>12017405</v>
      </c>
      <c r="F47" s="1">
        <v>423013</v>
      </c>
      <c r="G47" s="4">
        <f t="shared" si="1"/>
        <v>568243.23089825641</v>
      </c>
      <c r="H47" s="4">
        <f t="shared" si="2"/>
        <v>132365.31421684835</v>
      </c>
      <c r="I47" s="17">
        <f t="shared" si="0"/>
        <v>0.76706222437949589</v>
      </c>
      <c r="J47">
        <v>43.01</v>
      </c>
    </row>
    <row r="48" spans="1:10" x14ac:dyDescent="0.25">
      <c r="A48" t="s">
        <v>55</v>
      </c>
      <c r="B48" t="s">
        <v>8</v>
      </c>
      <c r="C48" t="s">
        <v>9</v>
      </c>
      <c r="D48">
        <v>4.12</v>
      </c>
      <c r="E48" s="1">
        <v>11397681</v>
      </c>
      <c r="F48" s="1">
        <v>469584</v>
      </c>
      <c r="G48" s="4">
        <f t="shared" si="1"/>
        <v>466582.06926947692</v>
      </c>
      <c r="H48" s="4">
        <f t="shared" si="2"/>
        <v>152006.64755953144</v>
      </c>
      <c r="I48" s="17">
        <f t="shared" si="0"/>
        <v>0.6742124106965216</v>
      </c>
      <c r="J48">
        <v>41</v>
      </c>
    </row>
    <row r="49" spans="1:10" x14ac:dyDescent="0.25">
      <c r="A49" t="s">
        <v>56</v>
      </c>
      <c r="B49" t="s">
        <v>8</v>
      </c>
      <c r="C49" t="s">
        <v>9</v>
      </c>
      <c r="D49">
        <v>4.38</v>
      </c>
      <c r="E49" s="1">
        <v>12528397</v>
      </c>
      <c r="F49" s="1">
        <v>548744</v>
      </c>
      <c r="G49" s="4">
        <f t="shared" si="1"/>
        <v>468683.42078084307</v>
      </c>
      <c r="H49" s="4">
        <f t="shared" si="2"/>
        <v>151295.53183926875</v>
      </c>
      <c r="I49" s="17">
        <f t="shared" si="0"/>
        <v>0.67719034825852154</v>
      </c>
      <c r="J49">
        <v>45.14</v>
      </c>
    </row>
    <row r="50" spans="1:10" x14ac:dyDescent="0.25">
      <c r="A50" t="s">
        <v>57</v>
      </c>
      <c r="B50" t="s">
        <v>8</v>
      </c>
      <c r="C50" t="s">
        <v>9</v>
      </c>
      <c r="D50">
        <v>4.84</v>
      </c>
      <c r="E50" s="1">
        <v>12016676</v>
      </c>
      <c r="F50" s="1">
        <v>581607</v>
      </c>
      <c r="G50" s="4">
        <f t="shared" si="1"/>
        <v>524725.82623425289</v>
      </c>
      <c r="H50" s="4">
        <f t="shared" si="2"/>
        <v>95761.035743108368</v>
      </c>
      <c r="I50" s="17">
        <f t="shared" si="0"/>
        <v>0.81750272055342321</v>
      </c>
      <c r="J50">
        <v>43.46</v>
      </c>
    </row>
    <row r="51" spans="1:10" x14ac:dyDescent="0.25">
      <c r="A51" t="s">
        <v>58</v>
      </c>
      <c r="B51" t="s">
        <v>8</v>
      </c>
      <c r="C51" t="s">
        <v>9</v>
      </c>
      <c r="D51">
        <v>5.91</v>
      </c>
      <c r="E51" s="1">
        <v>11723617</v>
      </c>
      <c r="F51" s="1">
        <v>692866</v>
      </c>
      <c r="G51" s="4">
        <f t="shared" si="1"/>
        <v>564542.64787027589</v>
      </c>
      <c r="H51" s="4">
        <f t="shared" si="2"/>
        <v>56727.935099581169</v>
      </c>
      <c r="I51" s="17">
        <f t="shared" si="0"/>
        <v>0.89951523536160471</v>
      </c>
      <c r="J51">
        <v>42.83</v>
      </c>
    </row>
    <row r="52" spans="1:10" x14ac:dyDescent="0.25">
      <c r="A52" t="s">
        <v>59</v>
      </c>
      <c r="B52" t="s">
        <v>8</v>
      </c>
      <c r="C52" t="s">
        <v>9</v>
      </c>
      <c r="D52">
        <v>4.0599999999999996</v>
      </c>
      <c r="E52" s="1">
        <v>11359660</v>
      </c>
      <c r="F52" s="1">
        <v>461202</v>
      </c>
      <c r="G52" s="4">
        <f t="shared" si="1"/>
        <v>654368.99436108267</v>
      </c>
      <c r="H52" s="4">
        <f t="shared" si="2"/>
        <v>93295.314236898994</v>
      </c>
      <c r="I52" s="17">
        <f t="shared" si="0"/>
        <v>0.85742705562021415</v>
      </c>
      <c r="J52">
        <v>40.659999999999997</v>
      </c>
    </row>
    <row r="53" spans="1:10" x14ac:dyDescent="0.25">
      <c r="A53" t="s">
        <v>60</v>
      </c>
      <c r="B53" t="s">
        <v>8</v>
      </c>
      <c r="C53" t="s">
        <v>9</v>
      </c>
      <c r="D53">
        <v>16.29</v>
      </c>
      <c r="E53" s="1">
        <v>8792827</v>
      </c>
      <c r="F53" s="1">
        <v>1432352</v>
      </c>
      <c r="G53" s="4">
        <f t="shared" si="1"/>
        <v>519152.09830832476</v>
      </c>
      <c r="H53" s="4">
        <f t="shared" si="2"/>
        <v>137859.63675815682</v>
      </c>
      <c r="I53" s="17">
        <f t="shared" si="0"/>
        <v>0.73445231713908643</v>
      </c>
      <c r="J53">
        <v>36.03</v>
      </c>
    </row>
    <row r="54" spans="1:10" x14ac:dyDescent="0.25">
      <c r="A54" t="s">
        <v>61</v>
      </c>
      <c r="B54" t="s">
        <v>8</v>
      </c>
      <c r="C54" t="s">
        <v>9</v>
      </c>
      <c r="D54">
        <v>14.46</v>
      </c>
      <c r="E54" s="1">
        <v>9526902</v>
      </c>
      <c r="F54" s="1">
        <v>1377590</v>
      </c>
      <c r="G54" s="4">
        <f t="shared" si="1"/>
        <v>1158392.0294924974</v>
      </c>
      <c r="H54" s="4">
        <f t="shared" si="2"/>
        <v>543971.33222930937</v>
      </c>
      <c r="I54" s="17">
        <f t="shared" si="0"/>
        <v>0.53040825698047289</v>
      </c>
      <c r="J54">
        <v>38.159999999999997</v>
      </c>
    </row>
    <row r="55" spans="1:10" x14ac:dyDescent="0.25">
      <c r="A55" t="s">
        <v>62</v>
      </c>
      <c r="B55" t="s">
        <v>8</v>
      </c>
      <c r="C55" t="s">
        <v>9</v>
      </c>
      <c r="D55">
        <v>2.44</v>
      </c>
      <c r="E55" s="1">
        <v>14855579</v>
      </c>
      <c r="F55" s="1">
        <v>362476</v>
      </c>
      <c r="G55" s="4">
        <f t="shared" si="1"/>
        <v>1311830.6088477492</v>
      </c>
      <c r="H55" s="4">
        <f t="shared" si="2"/>
        <v>553562.79331700865</v>
      </c>
      <c r="I55" s="17">
        <f t="shared" si="0"/>
        <v>0.57802265812105702</v>
      </c>
      <c r="J55">
        <v>52.12</v>
      </c>
    </row>
    <row r="56" spans="1:10" x14ac:dyDescent="0.25">
      <c r="A56" t="s">
        <v>63</v>
      </c>
      <c r="B56" t="s">
        <v>8</v>
      </c>
      <c r="C56" t="s">
        <v>9</v>
      </c>
      <c r="D56">
        <v>7.79</v>
      </c>
      <c r="E56" s="1">
        <v>11272862</v>
      </c>
      <c r="F56" s="1">
        <v>878156</v>
      </c>
      <c r="G56" s="4">
        <f t="shared" si="1"/>
        <v>647282.38265432476</v>
      </c>
      <c r="H56" s="4">
        <f t="shared" si="2"/>
        <v>770985.513064233</v>
      </c>
      <c r="I56" s="17">
        <f t="shared" si="0"/>
        <v>-0.19111153605422748</v>
      </c>
      <c r="J56">
        <v>41.8</v>
      </c>
    </row>
    <row r="57" spans="1:10" x14ac:dyDescent="0.25">
      <c r="A57" t="s">
        <v>64</v>
      </c>
      <c r="B57" t="s">
        <v>8</v>
      </c>
      <c r="C57" t="s">
        <v>9</v>
      </c>
      <c r="D57">
        <v>5.84</v>
      </c>
      <c r="E57" s="1">
        <v>10762372</v>
      </c>
      <c r="F57" s="1">
        <v>628523</v>
      </c>
      <c r="G57" s="4">
        <f t="shared" si="1"/>
        <v>808893.91479629744</v>
      </c>
      <c r="H57" s="4">
        <f t="shared" si="2"/>
        <v>578107.41527889902</v>
      </c>
      <c r="I57" s="17">
        <f t="shared" si="0"/>
        <v>0.28531120743505289</v>
      </c>
      <c r="J57">
        <v>39.04</v>
      </c>
    </row>
    <row r="58" spans="1:10" x14ac:dyDescent="0.25">
      <c r="A58" t="s">
        <v>65</v>
      </c>
      <c r="B58" t="s">
        <v>8</v>
      </c>
      <c r="C58" t="s">
        <v>9</v>
      </c>
      <c r="D58">
        <v>5.43</v>
      </c>
      <c r="E58" s="1">
        <v>10817388</v>
      </c>
      <c r="F58" s="1">
        <v>587384</v>
      </c>
      <c r="G58" s="4">
        <f t="shared" si="1"/>
        <v>682634.27443888923</v>
      </c>
      <c r="H58" s="4">
        <f t="shared" si="2"/>
        <v>573617.31361340941</v>
      </c>
      <c r="I58" s="17">
        <f t="shared" si="0"/>
        <v>0.15970039142129133</v>
      </c>
      <c r="J58">
        <v>39.020000000000003</v>
      </c>
    </row>
    <row r="59" spans="1:10" x14ac:dyDescent="0.25">
      <c r="A59" t="s">
        <v>66</v>
      </c>
      <c r="B59" t="s">
        <v>8</v>
      </c>
      <c r="C59" t="s">
        <v>9</v>
      </c>
      <c r="D59">
        <v>6.55</v>
      </c>
      <c r="E59" s="1">
        <v>10490186</v>
      </c>
      <c r="F59" s="1">
        <v>687107</v>
      </c>
      <c r="G59" s="4">
        <f t="shared" si="1"/>
        <v>615959.08233166672</v>
      </c>
      <c r="H59" s="4">
        <f t="shared" si="2"/>
        <v>177865.96908104164</v>
      </c>
      <c r="I59" s="17">
        <f t="shared" si="0"/>
        <v>0.71123736270314675</v>
      </c>
      <c r="J59">
        <v>38.25</v>
      </c>
    </row>
    <row r="60" spans="1:10" x14ac:dyDescent="0.25">
      <c r="A60" t="s">
        <v>67</v>
      </c>
      <c r="B60" t="s">
        <v>8</v>
      </c>
      <c r="C60" t="s">
        <v>9</v>
      </c>
      <c r="D60">
        <v>4.74</v>
      </c>
      <c r="E60" s="1">
        <v>11133820</v>
      </c>
      <c r="F60" s="1">
        <v>527743</v>
      </c>
      <c r="G60" s="4">
        <f t="shared" si="1"/>
        <v>665762.62469949992</v>
      </c>
      <c r="H60" s="4">
        <f t="shared" si="2"/>
        <v>124724.10602830131</v>
      </c>
      <c r="I60" s="17">
        <f t="shared" si="0"/>
        <v>0.81265979584751091</v>
      </c>
      <c r="J60">
        <v>39.79</v>
      </c>
    </row>
    <row r="61" spans="1:10" x14ac:dyDescent="0.25">
      <c r="A61" t="s">
        <v>68</v>
      </c>
      <c r="B61" t="s">
        <v>8</v>
      </c>
      <c r="C61" t="s">
        <v>9</v>
      </c>
      <c r="D61">
        <v>6.51</v>
      </c>
      <c r="E61" s="1">
        <v>11238274</v>
      </c>
      <c r="F61" s="1">
        <v>731612</v>
      </c>
      <c r="G61" s="4">
        <f t="shared" si="1"/>
        <v>569148.88740984991</v>
      </c>
      <c r="H61" s="4">
        <f t="shared" si="2"/>
        <v>105172.96511210229</v>
      </c>
      <c r="I61" s="17">
        <f t="shared" si="0"/>
        <v>0.81521010154173212</v>
      </c>
      <c r="J61">
        <v>40.869999999999997</v>
      </c>
    </row>
    <row r="62" spans="1:10" x14ac:dyDescent="0.25">
      <c r="A62" t="s">
        <v>69</v>
      </c>
      <c r="B62" t="s">
        <v>8</v>
      </c>
      <c r="C62" t="s">
        <v>9</v>
      </c>
      <c r="D62">
        <v>2.95</v>
      </c>
      <c r="E62" s="1">
        <v>11776946</v>
      </c>
      <c r="F62" s="1">
        <v>347420</v>
      </c>
      <c r="G62" s="4">
        <f t="shared" si="1"/>
        <v>682873.06622295489</v>
      </c>
      <c r="H62" s="4">
        <f t="shared" si="2"/>
        <v>129750.6659497496</v>
      </c>
      <c r="I62" s="17">
        <f t="shared" si="0"/>
        <v>0.80999299523202073</v>
      </c>
      <c r="J62">
        <v>41.22</v>
      </c>
    </row>
    <row r="63" spans="1:10" x14ac:dyDescent="0.25">
      <c r="A63" t="s">
        <v>70</v>
      </c>
      <c r="B63" t="s">
        <v>8</v>
      </c>
      <c r="C63" t="s">
        <v>9</v>
      </c>
      <c r="D63">
        <v>3.14</v>
      </c>
      <c r="E63" s="1">
        <v>11736108</v>
      </c>
      <c r="F63" s="1">
        <v>368514</v>
      </c>
      <c r="G63" s="4">
        <f t="shared" si="1"/>
        <v>448055.91986688646</v>
      </c>
      <c r="H63" s="4">
        <f t="shared" si="2"/>
        <v>229472.17652186996</v>
      </c>
      <c r="I63" s="17">
        <f t="shared" si="0"/>
        <v>0.48784924750007952</v>
      </c>
      <c r="J63">
        <v>41.11</v>
      </c>
    </row>
    <row r="64" spans="1:10" x14ac:dyDescent="0.25">
      <c r="A64" t="s">
        <v>71</v>
      </c>
      <c r="B64" t="s">
        <v>8</v>
      </c>
      <c r="C64" t="s">
        <v>9</v>
      </c>
      <c r="D64">
        <v>5.39</v>
      </c>
      <c r="E64" s="1">
        <v>11130399</v>
      </c>
      <c r="F64" s="1">
        <v>599929</v>
      </c>
      <c r="G64" s="4">
        <f t="shared" si="1"/>
        <v>392376.57596006594</v>
      </c>
      <c r="H64" s="4">
        <f t="shared" si="2"/>
        <v>220037.82978310203</v>
      </c>
      <c r="I64" s="17">
        <f t="shared" si="0"/>
        <v>0.43921772280948712</v>
      </c>
      <c r="J64">
        <v>39.869999999999997</v>
      </c>
    </row>
    <row r="65" spans="1:10" x14ac:dyDescent="0.25">
      <c r="A65" t="s">
        <v>72</v>
      </c>
      <c r="B65" t="s">
        <v>8</v>
      </c>
      <c r="C65" t="s">
        <v>9</v>
      </c>
      <c r="D65">
        <v>3.56</v>
      </c>
      <c r="E65" s="1">
        <v>11244637</v>
      </c>
      <c r="F65" s="1">
        <v>400309</v>
      </c>
      <c r="G65" s="4">
        <f t="shared" si="1"/>
        <v>537663.27278801973</v>
      </c>
      <c r="H65" s="4">
        <f t="shared" si="2"/>
        <v>232331.43378899101</v>
      </c>
      <c r="I65" s="17">
        <f t="shared" si="0"/>
        <v>0.5678867321841593</v>
      </c>
      <c r="J65">
        <v>39.47</v>
      </c>
    </row>
    <row r="66" spans="1:10" x14ac:dyDescent="0.25">
      <c r="A66" t="s">
        <v>73</v>
      </c>
      <c r="B66" t="s">
        <v>8</v>
      </c>
      <c r="C66" t="s">
        <v>9</v>
      </c>
      <c r="D66">
        <v>13.55</v>
      </c>
      <c r="E66" s="1">
        <v>10637083</v>
      </c>
      <c r="F66" s="1">
        <v>1441325</v>
      </c>
      <c r="G66" s="4">
        <f t="shared" si="1"/>
        <v>441515.28183640586</v>
      </c>
      <c r="H66" s="4">
        <f t="shared" si="2"/>
        <v>150854.36906068109</v>
      </c>
      <c r="I66" s="17">
        <f t="shared" si="0"/>
        <v>0.65832582638311266</v>
      </c>
      <c r="J66">
        <v>41.61</v>
      </c>
    </row>
    <row r="67" spans="1:10" x14ac:dyDescent="0.25">
      <c r="A67" t="s">
        <v>74</v>
      </c>
      <c r="B67" t="s">
        <v>8</v>
      </c>
      <c r="C67" t="s">
        <v>9</v>
      </c>
      <c r="D67">
        <v>7.47</v>
      </c>
      <c r="E67" s="1">
        <v>10810677</v>
      </c>
      <c r="F67" s="1">
        <v>807558</v>
      </c>
      <c r="G67" s="4">
        <f t="shared" si="1"/>
        <v>1141382.0845509216</v>
      </c>
      <c r="H67" s="4">
        <f t="shared" si="2"/>
        <v>594856.75516949571</v>
      </c>
      <c r="I67" s="17">
        <f t="shared" ref="I67:I130" si="3">(G67-H67)/G67</f>
        <v>0.47882767460508813</v>
      </c>
      <c r="J67">
        <v>39.47</v>
      </c>
    </row>
    <row r="68" spans="1:10" x14ac:dyDescent="0.25">
      <c r="A68" t="s">
        <v>75</v>
      </c>
      <c r="B68" t="s">
        <v>8</v>
      </c>
      <c r="C68" t="s">
        <v>9</v>
      </c>
      <c r="D68">
        <v>8.93</v>
      </c>
      <c r="E68" s="1">
        <v>10873035</v>
      </c>
      <c r="F68" s="1">
        <v>970962</v>
      </c>
      <c r="G68" s="4">
        <f t="shared" ref="G68:G131" si="4">0.7*F67+0.3*G67</f>
        <v>907705.22536527645</v>
      </c>
      <c r="H68" s="4">
        <f t="shared" si="2"/>
        <v>613711.16665028245</v>
      </c>
      <c r="I68" s="17">
        <f t="shared" si="3"/>
        <v>0.32388715025484804</v>
      </c>
      <c r="J68">
        <v>40.29</v>
      </c>
    </row>
    <row r="69" spans="1:10" x14ac:dyDescent="0.25">
      <c r="A69" t="s">
        <v>76</v>
      </c>
      <c r="B69" t="s">
        <v>8</v>
      </c>
      <c r="C69" t="s">
        <v>9</v>
      </c>
      <c r="D69">
        <v>5.77</v>
      </c>
      <c r="E69" s="1">
        <v>11524239</v>
      </c>
      <c r="F69" s="1">
        <v>664949</v>
      </c>
      <c r="G69" s="4">
        <f t="shared" si="4"/>
        <v>951984.96760958282</v>
      </c>
      <c r="H69" s="4">
        <f t="shared" si="2"/>
        <v>609660.94716594042</v>
      </c>
      <c r="I69" s="17">
        <f t="shared" si="3"/>
        <v>0.3595897331269966</v>
      </c>
      <c r="J69">
        <v>41.22</v>
      </c>
    </row>
    <row r="70" spans="1:10" x14ac:dyDescent="0.25">
      <c r="A70" t="s">
        <v>77</v>
      </c>
      <c r="B70" t="s">
        <v>8</v>
      </c>
      <c r="C70" t="s">
        <v>9</v>
      </c>
      <c r="D70">
        <v>5.44</v>
      </c>
      <c r="E70" s="1">
        <v>12234535</v>
      </c>
      <c r="F70" s="1">
        <v>665559</v>
      </c>
      <c r="G70" s="4">
        <f t="shared" si="4"/>
        <v>751059.79028287483</v>
      </c>
      <c r="H70" s="4">
        <f t="shared" ref="H70:H133" si="5">SQRT(SUMXMY2(F67:F69,G67:G69)/3)</f>
        <v>256794.07162485825</v>
      </c>
      <c r="I70" s="17">
        <f t="shared" si="3"/>
        <v>0.65809104022445297</v>
      </c>
      <c r="J70">
        <v>43.56</v>
      </c>
    </row>
    <row r="71" spans="1:10" x14ac:dyDescent="0.25">
      <c r="A71" t="s">
        <v>78</v>
      </c>
      <c r="B71" t="s">
        <v>8</v>
      </c>
      <c r="C71" t="s">
        <v>9</v>
      </c>
      <c r="D71">
        <v>5.16</v>
      </c>
      <c r="E71" s="1">
        <v>10862508</v>
      </c>
      <c r="F71" s="1">
        <v>560505</v>
      </c>
      <c r="G71" s="4">
        <f t="shared" si="4"/>
        <v>691209.23708486243</v>
      </c>
      <c r="H71" s="4">
        <f t="shared" si="5"/>
        <v>176730.91728930152</v>
      </c>
      <c r="I71" s="17">
        <f t="shared" si="3"/>
        <v>0.7443163259295339</v>
      </c>
      <c r="J71">
        <v>38.520000000000003</v>
      </c>
    </row>
    <row r="72" spans="1:10" x14ac:dyDescent="0.25">
      <c r="A72" t="s">
        <v>79</v>
      </c>
      <c r="B72" t="s">
        <v>8</v>
      </c>
      <c r="C72" t="s">
        <v>9</v>
      </c>
      <c r="D72">
        <v>5.93</v>
      </c>
      <c r="E72" s="1">
        <v>11105398</v>
      </c>
      <c r="F72" s="1">
        <v>658550</v>
      </c>
      <c r="G72" s="4">
        <f t="shared" si="4"/>
        <v>599716.27112545876</v>
      </c>
      <c r="H72" s="4">
        <f t="shared" si="5"/>
        <v>188665.16144791327</v>
      </c>
      <c r="I72" s="17">
        <f t="shared" si="3"/>
        <v>0.68540930014479273</v>
      </c>
      <c r="J72">
        <v>39.659999999999997</v>
      </c>
    </row>
    <row r="73" spans="1:10" x14ac:dyDescent="0.25">
      <c r="A73" t="s">
        <v>80</v>
      </c>
      <c r="B73" t="s">
        <v>8</v>
      </c>
      <c r="C73" t="s">
        <v>9</v>
      </c>
      <c r="D73">
        <v>4.8</v>
      </c>
      <c r="E73" s="1">
        <v>11985468</v>
      </c>
      <c r="F73" s="1">
        <v>575302</v>
      </c>
      <c r="G73" s="4">
        <f t="shared" si="4"/>
        <v>640899.88133763755</v>
      </c>
      <c r="H73" s="4">
        <f t="shared" si="5"/>
        <v>96359.380073097709</v>
      </c>
      <c r="I73" s="17">
        <f t="shared" si="3"/>
        <v>0.84964987062880437</v>
      </c>
      <c r="J73">
        <v>42.25</v>
      </c>
    </row>
    <row r="74" spans="1:10" x14ac:dyDescent="0.25">
      <c r="A74" t="s">
        <v>81</v>
      </c>
      <c r="B74" t="s">
        <v>8</v>
      </c>
      <c r="C74" t="s">
        <v>9</v>
      </c>
      <c r="D74">
        <v>5.22</v>
      </c>
      <c r="E74" s="1">
        <v>11027072</v>
      </c>
      <c r="F74" s="1">
        <v>575613</v>
      </c>
      <c r="G74" s="4">
        <f t="shared" si="4"/>
        <v>594981.36440129124</v>
      </c>
      <c r="H74" s="4">
        <f t="shared" si="5"/>
        <v>91009.3168878984</v>
      </c>
      <c r="I74" s="17">
        <f t="shared" si="3"/>
        <v>0.84703837408508109</v>
      </c>
      <c r="J74">
        <v>39</v>
      </c>
    </row>
    <row r="75" spans="1:10" x14ac:dyDescent="0.25">
      <c r="A75" t="s">
        <v>82</v>
      </c>
      <c r="B75" t="s">
        <v>8</v>
      </c>
      <c r="C75" t="s">
        <v>9</v>
      </c>
      <c r="D75">
        <v>7.73</v>
      </c>
      <c r="E75" s="1">
        <v>10690914</v>
      </c>
      <c r="F75" s="1">
        <v>826408</v>
      </c>
      <c r="G75" s="4">
        <f t="shared" si="4"/>
        <v>581423.50932038738</v>
      </c>
      <c r="H75" s="4">
        <f t="shared" si="5"/>
        <v>52088.460746602374</v>
      </c>
      <c r="I75" s="17">
        <f t="shared" si="3"/>
        <v>0.91041218679394753</v>
      </c>
      <c r="J75">
        <v>38.799999999999997</v>
      </c>
    </row>
    <row r="76" spans="1:10" x14ac:dyDescent="0.25">
      <c r="A76" t="s">
        <v>83</v>
      </c>
      <c r="B76" t="s">
        <v>8</v>
      </c>
      <c r="C76" t="s">
        <v>9</v>
      </c>
      <c r="D76">
        <v>9.51</v>
      </c>
      <c r="E76" s="1">
        <v>10650675</v>
      </c>
      <c r="F76" s="1">
        <v>1012879</v>
      </c>
      <c r="G76" s="4">
        <f t="shared" si="4"/>
        <v>752912.65279611619</v>
      </c>
      <c r="H76" s="4">
        <f t="shared" si="5"/>
        <v>146850.96328036938</v>
      </c>
      <c r="I76" s="17">
        <f t="shared" si="3"/>
        <v>0.80495617554705157</v>
      </c>
      <c r="J76">
        <v>39.369999999999997</v>
      </c>
    </row>
    <row r="77" spans="1:10" x14ac:dyDescent="0.25">
      <c r="A77" t="s">
        <v>84</v>
      </c>
      <c r="B77" t="s">
        <v>8</v>
      </c>
      <c r="C77" t="s">
        <v>9</v>
      </c>
      <c r="D77">
        <v>4.66</v>
      </c>
      <c r="E77" s="1">
        <v>11323476</v>
      </c>
      <c r="F77" s="1">
        <v>527674</v>
      </c>
      <c r="G77" s="4">
        <f t="shared" si="4"/>
        <v>934889.09583883476</v>
      </c>
      <c r="H77" s="4">
        <f t="shared" si="5"/>
        <v>206538.9679872063</v>
      </c>
      <c r="I77" s="17">
        <f t="shared" si="3"/>
        <v>0.77907650339863255</v>
      </c>
      <c r="J77">
        <v>39.69</v>
      </c>
    </row>
    <row r="78" spans="1:10" x14ac:dyDescent="0.25">
      <c r="A78" t="s">
        <v>7</v>
      </c>
      <c r="B78" t="s">
        <v>85</v>
      </c>
      <c r="C78" t="s">
        <v>9</v>
      </c>
      <c r="D78">
        <v>5.83</v>
      </c>
      <c r="E78" s="1">
        <v>9830026</v>
      </c>
      <c r="F78" s="1">
        <v>573091</v>
      </c>
      <c r="G78" s="4">
        <f t="shared" si="4"/>
        <v>649838.52875165036</v>
      </c>
      <c r="H78" s="4">
        <f t="shared" si="5"/>
        <v>312742.72527170042</v>
      </c>
      <c r="I78" s="17">
        <f t="shared" si="3"/>
        <v>0.518737791875031</v>
      </c>
      <c r="J78">
        <v>52.82</v>
      </c>
    </row>
    <row r="79" spans="1:10" x14ac:dyDescent="0.25">
      <c r="A79" t="s">
        <v>10</v>
      </c>
      <c r="B79" t="s">
        <v>85</v>
      </c>
      <c r="C79" t="s">
        <v>9</v>
      </c>
      <c r="D79">
        <v>13.24</v>
      </c>
      <c r="E79" s="1">
        <v>9574798</v>
      </c>
      <c r="F79" s="1">
        <v>1267703</v>
      </c>
      <c r="G79" s="4">
        <f t="shared" si="4"/>
        <v>596115.25862549501</v>
      </c>
      <c r="H79" s="4">
        <f t="shared" si="5"/>
        <v>282428.05522058596</v>
      </c>
      <c r="I79" s="17">
        <f t="shared" si="3"/>
        <v>0.52621904718258639</v>
      </c>
      <c r="J79">
        <v>55.74</v>
      </c>
    </row>
    <row r="80" spans="1:10" x14ac:dyDescent="0.25">
      <c r="A80" t="s">
        <v>11</v>
      </c>
      <c r="B80" t="s">
        <v>85</v>
      </c>
      <c r="C80" t="s">
        <v>9</v>
      </c>
      <c r="D80">
        <v>4.1500000000000004</v>
      </c>
      <c r="E80" s="1">
        <v>8635998</v>
      </c>
      <c r="F80" s="1">
        <v>358394</v>
      </c>
      <c r="G80" s="4">
        <f t="shared" si="4"/>
        <v>1066226.6775876484</v>
      </c>
      <c r="H80" s="4">
        <f t="shared" si="5"/>
        <v>455611.09578712186</v>
      </c>
      <c r="I80" s="17">
        <f t="shared" si="3"/>
        <v>0.57268833601317504</v>
      </c>
      <c r="J80">
        <v>45.42</v>
      </c>
    </row>
    <row r="81" spans="1:10" x14ac:dyDescent="0.25">
      <c r="A81" t="s">
        <v>12</v>
      </c>
      <c r="B81" t="s">
        <v>85</v>
      </c>
      <c r="C81" t="s">
        <v>9</v>
      </c>
      <c r="D81">
        <v>0</v>
      </c>
      <c r="E81" s="1">
        <v>8571034</v>
      </c>
      <c r="F81">
        <v>0</v>
      </c>
      <c r="G81" s="4">
        <f t="shared" si="4"/>
        <v>570743.80327629449</v>
      </c>
      <c r="H81" s="4">
        <f t="shared" si="5"/>
        <v>565080.34148396226</v>
      </c>
      <c r="I81" s="17">
        <f t="shared" si="3"/>
        <v>9.9229492459168775E-3</v>
      </c>
      <c r="J81">
        <v>43.12</v>
      </c>
    </row>
    <row r="82" spans="1:10" x14ac:dyDescent="0.25">
      <c r="A82" t="s">
        <v>13</v>
      </c>
      <c r="B82" t="s">
        <v>85</v>
      </c>
      <c r="C82" t="s">
        <v>9</v>
      </c>
      <c r="D82">
        <v>3.61</v>
      </c>
      <c r="E82" s="1">
        <v>9210479</v>
      </c>
      <c r="F82" s="1">
        <v>332498</v>
      </c>
      <c r="G82" s="4">
        <f t="shared" si="4"/>
        <v>171223.14098288835</v>
      </c>
      <c r="H82" s="4">
        <f t="shared" si="5"/>
        <v>652637.13317680045</v>
      </c>
      <c r="I82" s="17">
        <f t="shared" si="3"/>
        <v>-2.8116175735966875</v>
      </c>
      <c r="J82">
        <v>47.98</v>
      </c>
    </row>
    <row r="83" spans="1:10" x14ac:dyDescent="0.25">
      <c r="A83" t="s">
        <v>14</v>
      </c>
      <c r="B83" t="s">
        <v>85</v>
      </c>
      <c r="C83" t="s">
        <v>9</v>
      </c>
      <c r="D83">
        <v>10.96</v>
      </c>
      <c r="E83" s="1">
        <v>8590588</v>
      </c>
      <c r="F83" s="1">
        <v>941528</v>
      </c>
      <c r="G83" s="4">
        <f t="shared" si="4"/>
        <v>284115.54229486646</v>
      </c>
      <c r="H83" s="4">
        <f t="shared" si="5"/>
        <v>533162.00433207245</v>
      </c>
      <c r="I83" s="17">
        <f t="shared" si="3"/>
        <v>-0.87656754018312599</v>
      </c>
      <c r="J83">
        <v>48.34</v>
      </c>
    </row>
    <row r="84" spans="1:10" x14ac:dyDescent="0.25">
      <c r="A84" t="s">
        <v>15</v>
      </c>
      <c r="B84" t="s">
        <v>85</v>
      </c>
      <c r="C84" t="s">
        <v>9</v>
      </c>
      <c r="D84">
        <v>13.99</v>
      </c>
      <c r="E84" s="1">
        <v>7982526</v>
      </c>
      <c r="F84" s="1">
        <v>1116755</v>
      </c>
      <c r="G84" s="4">
        <f t="shared" si="4"/>
        <v>744304.26268845994</v>
      </c>
      <c r="H84" s="4">
        <f t="shared" si="5"/>
        <v>511191.16081142053</v>
      </c>
      <c r="I84" s="17">
        <f t="shared" si="3"/>
        <v>0.31319597853037223</v>
      </c>
      <c r="J84">
        <v>46.41</v>
      </c>
    </row>
    <row r="85" spans="1:10" x14ac:dyDescent="0.25">
      <c r="A85" t="s">
        <v>16</v>
      </c>
      <c r="B85" t="s">
        <v>85</v>
      </c>
      <c r="C85" t="s">
        <v>9</v>
      </c>
      <c r="D85">
        <v>7.55</v>
      </c>
      <c r="E85" s="1">
        <v>8925705</v>
      </c>
      <c r="F85" s="1">
        <v>673891</v>
      </c>
      <c r="G85" s="4">
        <f t="shared" si="4"/>
        <v>1005019.778806538</v>
      </c>
      <c r="H85" s="4">
        <f t="shared" si="5"/>
        <v>446064.37181973452</v>
      </c>
      <c r="I85" s="17">
        <f t="shared" si="3"/>
        <v>0.55616358879082328</v>
      </c>
      <c r="J85">
        <v>48.18</v>
      </c>
    </row>
    <row r="86" spans="1:10" x14ac:dyDescent="0.25">
      <c r="A86" t="s">
        <v>17</v>
      </c>
      <c r="B86" t="s">
        <v>85</v>
      </c>
      <c r="C86" t="s">
        <v>9</v>
      </c>
      <c r="D86">
        <v>8.0500000000000007</v>
      </c>
      <c r="E86" s="1">
        <v>8776602</v>
      </c>
      <c r="F86" s="1">
        <v>706516</v>
      </c>
      <c r="G86" s="4">
        <f t="shared" si="4"/>
        <v>773229.63364196126</v>
      </c>
      <c r="H86" s="4">
        <f t="shared" si="5"/>
        <v>476290.16345911205</v>
      </c>
      <c r="I86" s="17">
        <f t="shared" si="3"/>
        <v>0.38402494842863849</v>
      </c>
      <c r="J86">
        <v>47.54</v>
      </c>
    </row>
    <row r="87" spans="1:10" x14ac:dyDescent="0.25">
      <c r="A87" t="s">
        <v>18</v>
      </c>
      <c r="B87" t="s">
        <v>85</v>
      </c>
      <c r="C87" t="s">
        <v>9</v>
      </c>
      <c r="D87">
        <v>7.02</v>
      </c>
      <c r="E87" s="1">
        <v>8138953</v>
      </c>
      <c r="F87" s="1">
        <v>571355</v>
      </c>
      <c r="G87" s="4">
        <f t="shared" si="4"/>
        <v>726530.09009258833</v>
      </c>
      <c r="H87" s="4">
        <f t="shared" si="5"/>
        <v>290296.70384598628</v>
      </c>
      <c r="I87" s="17">
        <f t="shared" si="3"/>
        <v>0.60043402495691389</v>
      </c>
      <c r="J87">
        <v>43.51</v>
      </c>
    </row>
    <row r="88" spans="1:10" x14ac:dyDescent="0.25">
      <c r="A88" t="s">
        <v>19</v>
      </c>
      <c r="B88" t="s">
        <v>85</v>
      </c>
      <c r="C88" t="s">
        <v>9</v>
      </c>
      <c r="D88">
        <v>11.71</v>
      </c>
      <c r="E88" s="1">
        <v>7942971</v>
      </c>
      <c r="F88" s="1">
        <v>930122</v>
      </c>
      <c r="G88" s="4">
        <f t="shared" si="4"/>
        <v>617907.52702777646</v>
      </c>
      <c r="H88" s="4">
        <f t="shared" si="5"/>
        <v>214613.05152364017</v>
      </c>
      <c r="I88" s="17">
        <f t="shared" si="3"/>
        <v>0.65267771934101593</v>
      </c>
      <c r="J88">
        <v>44.63</v>
      </c>
    </row>
    <row r="89" spans="1:10" x14ac:dyDescent="0.25">
      <c r="A89" t="s">
        <v>20</v>
      </c>
      <c r="B89" t="s">
        <v>85</v>
      </c>
      <c r="C89" t="s">
        <v>9</v>
      </c>
      <c r="D89">
        <v>3.57</v>
      </c>
      <c r="E89" s="1">
        <v>9483848</v>
      </c>
      <c r="F89" s="1">
        <v>338573</v>
      </c>
      <c r="G89" s="4">
        <f t="shared" si="4"/>
        <v>836457.65810833289</v>
      </c>
      <c r="H89" s="4">
        <f t="shared" si="5"/>
        <v>204945.43552880935</v>
      </c>
      <c r="I89" s="17">
        <f t="shared" si="3"/>
        <v>0.75498408850449428</v>
      </c>
      <c r="J89">
        <v>48.7</v>
      </c>
    </row>
    <row r="90" spans="1:10" x14ac:dyDescent="0.25">
      <c r="A90" t="s">
        <v>21</v>
      </c>
      <c r="B90" t="s">
        <v>85</v>
      </c>
      <c r="C90" t="s">
        <v>9</v>
      </c>
      <c r="D90">
        <v>8.33</v>
      </c>
      <c r="E90" s="1">
        <v>9275697</v>
      </c>
      <c r="F90" s="1">
        <v>772666</v>
      </c>
      <c r="G90" s="4">
        <f t="shared" si="4"/>
        <v>487938.3974324998</v>
      </c>
      <c r="H90" s="4">
        <f t="shared" si="5"/>
        <v>350925.59443953249</v>
      </c>
      <c r="I90" s="17">
        <f t="shared" si="3"/>
        <v>0.28079938720526976</v>
      </c>
      <c r="J90">
        <v>50</v>
      </c>
    </row>
    <row r="91" spans="1:10" x14ac:dyDescent="0.25">
      <c r="A91" t="s">
        <v>22</v>
      </c>
      <c r="B91" t="s">
        <v>85</v>
      </c>
      <c r="C91" t="s">
        <v>9</v>
      </c>
      <c r="D91">
        <v>6.12</v>
      </c>
      <c r="E91" s="1">
        <v>8109924</v>
      </c>
      <c r="F91" s="1">
        <v>496327</v>
      </c>
      <c r="G91" s="4">
        <f t="shared" si="4"/>
        <v>687247.71922974987</v>
      </c>
      <c r="H91" s="4">
        <f t="shared" si="5"/>
        <v>377022.02304233779</v>
      </c>
      <c r="I91" s="17">
        <f t="shared" si="3"/>
        <v>0.45140302034775076</v>
      </c>
      <c r="J91">
        <v>42.61</v>
      </c>
    </row>
    <row r="92" spans="1:10" x14ac:dyDescent="0.25">
      <c r="A92" t="s">
        <v>23</v>
      </c>
      <c r="B92" t="s">
        <v>85</v>
      </c>
      <c r="C92" t="s">
        <v>9</v>
      </c>
      <c r="D92">
        <v>7.49</v>
      </c>
      <c r="E92" s="1">
        <v>8307468</v>
      </c>
      <c r="F92" s="1">
        <v>622229</v>
      </c>
      <c r="G92" s="4">
        <f t="shared" si="4"/>
        <v>553603.21576892491</v>
      </c>
      <c r="H92" s="4">
        <f t="shared" si="5"/>
        <v>349003.18120550743</v>
      </c>
      <c r="I92" s="17">
        <f t="shared" si="3"/>
        <v>0.36957884046832912</v>
      </c>
      <c r="J92">
        <v>44.2</v>
      </c>
    </row>
    <row r="93" spans="1:10" x14ac:dyDescent="0.25">
      <c r="A93" t="s">
        <v>24</v>
      </c>
      <c r="B93" t="s">
        <v>85</v>
      </c>
      <c r="C93" t="s">
        <v>9</v>
      </c>
      <c r="D93">
        <v>2.04</v>
      </c>
      <c r="E93" s="1">
        <v>8882399</v>
      </c>
      <c r="F93" s="1">
        <v>181201</v>
      </c>
      <c r="G93" s="4">
        <f t="shared" si="4"/>
        <v>601641.26473067747</v>
      </c>
      <c r="H93" s="4">
        <f t="shared" si="5"/>
        <v>201849.80138407485</v>
      </c>
      <c r="I93" s="17">
        <f t="shared" si="3"/>
        <v>0.66450140105593958</v>
      </c>
      <c r="J93">
        <v>44.55</v>
      </c>
    </row>
    <row r="94" spans="1:10" x14ac:dyDescent="0.25">
      <c r="A94" t="s">
        <v>25</v>
      </c>
      <c r="B94" t="s">
        <v>85</v>
      </c>
      <c r="C94" t="s">
        <v>9</v>
      </c>
      <c r="D94">
        <v>13.59</v>
      </c>
      <c r="E94" s="1">
        <v>9504191</v>
      </c>
      <c r="F94" s="1">
        <v>1291620</v>
      </c>
      <c r="G94" s="4">
        <f t="shared" si="4"/>
        <v>307333.07941920322</v>
      </c>
      <c r="H94" s="4">
        <f t="shared" si="5"/>
        <v>269524.4178791829</v>
      </c>
      <c r="I94" s="17">
        <f t="shared" si="3"/>
        <v>0.12302177693163055</v>
      </c>
      <c r="J94">
        <v>53.93</v>
      </c>
    </row>
    <row r="95" spans="1:10" x14ac:dyDescent="0.25">
      <c r="A95" t="s">
        <v>26</v>
      </c>
      <c r="B95" t="s">
        <v>85</v>
      </c>
      <c r="C95" t="s">
        <v>9</v>
      </c>
      <c r="D95">
        <v>11.11</v>
      </c>
      <c r="E95" s="1">
        <v>8530022</v>
      </c>
      <c r="F95" s="1">
        <v>947685</v>
      </c>
      <c r="G95" s="4">
        <f t="shared" si="4"/>
        <v>996333.92382576095</v>
      </c>
      <c r="H95" s="4">
        <f t="shared" si="5"/>
        <v>619220.00842311291</v>
      </c>
      <c r="I95" s="17">
        <f t="shared" si="3"/>
        <v>0.3785015308467985</v>
      </c>
      <c r="J95">
        <v>46.96</v>
      </c>
    </row>
    <row r="96" spans="1:10" x14ac:dyDescent="0.25">
      <c r="A96" t="s">
        <v>27</v>
      </c>
      <c r="B96" t="s">
        <v>85</v>
      </c>
      <c r="C96" t="s">
        <v>9</v>
      </c>
      <c r="D96">
        <v>8.06</v>
      </c>
      <c r="E96" s="1">
        <v>8601718</v>
      </c>
      <c r="F96" s="1">
        <v>693298</v>
      </c>
      <c r="G96" s="4">
        <f t="shared" si="4"/>
        <v>962279.67714772827</v>
      </c>
      <c r="H96" s="4">
        <f t="shared" si="5"/>
        <v>618589.11403899186</v>
      </c>
      <c r="I96" s="17">
        <f t="shared" si="3"/>
        <v>0.35716286155752758</v>
      </c>
      <c r="J96">
        <v>45.69</v>
      </c>
    </row>
    <row r="97" spans="1:10" x14ac:dyDescent="0.25">
      <c r="A97" t="s">
        <v>28</v>
      </c>
      <c r="B97" t="s">
        <v>85</v>
      </c>
      <c r="C97" t="s">
        <v>9</v>
      </c>
      <c r="D97">
        <v>4.08</v>
      </c>
      <c r="E97" s="1">
        <v>9013099</v>
      </c>
      <c r="F97" s="1">
        <v>367734</v>
      </c>
      <c r="G97" s="4">
        <f t="shared" si="4"/>
        <v>773992.50314431847</v>
      </c>
      <c r="H97" s="4">
        <f t="shared" si="5"/>
        <v>589784.87672965333</v>
      </c>
      <c r="I97" s="17">
        <f t="shared" si="3"/>
        <v>0.23799665457524183</v>
      </c>
      <c r="J97">
        <v>45.79</v>
      </c>
    </row>
    <row r="98" spans="1:10" x14ac:dyDescent="0.25">
      <c r="A98" t="s">
        <v>29</v>
      </c>
      <c r="B98" t="s">
        <v>85</v>
      </c>
      <c r="C98" t="s">
        <v>9</v>
      </c>
      <c r="D98">
        <v>9</v>
      </c>
      <c r="E98" s="1">
        <v>9951581</v>
      </c>
      <c r="F98" s="1">
        <v>895642</v>
      </c>
      <c r="G98" s="4">
        <f t="shared" si="4"/>
        <v>489611.55094329553</v>
      </c>
      <c r="H98" s="4">
        <f t="shared" si="5"/>
        <v>282703.51478045667</v>
      </c>
      <c r="I98" s="17">
        <f t="shared" si="3"/>
        <v>0.422596312861095</v>
      </c>
      <c r="J98">
        <v>53.19</v>
      </c>
    </row>
    <row r="99" spans="1:10" x14ac:dyDescent="0.25">
      <c r="A99" t="s">
        <v>30</v>
      </c>
      <c r="B99" t="s">
        <v>85</v>
      </c>
      <c r="C99" t="s">
        <v>9</v>
      </c>
      <c r="D99">
        <v>8.4</v>
      </c>
      <c r="E99" s="1">
        <v>8797514</v>
      </c>
      <c r="F99" s="1">
        <v>738991</v>
      </c>
      <c r="G99" s="4">
        <f t="shared" si="4"/>
        <v>773832.86528298852</v>
      </c>
      <c r="H99" s="4">
        <f t="shared" si="5"/>
        <v>366177.47954575979</v>
      </c>
      <c r="I99" s="17">
        <f t="shared" si="3"/>
        <v>0.52680030020196966</v>
      </c>
      <c r="J99">
        <v>46.62</v>
      </c>
    </row>
    <row r="100" spans="1:10" x14ac:dyDescent="0.25">
      <c r="A100" t="s">
        <v>31</v>
      </c>
      <c r="B100" t="s">
        <v>85</v>
      </c>
      <c r="C100" t="s">
        <v>9</v>
      </c>
      <c r="D100">
        <v>9.34</v>
      </c>
      <c r="E100" s="1">
        <v>8777803</v>
      </c>
      <c r="F100" s="1">
        <v>819847</v>
      </c>
      <c r="G100" s="4">
        <f t="shared" si="4"/>
        <v>749443.55958489655</v>
      </c>
      <c r="H100" s="4">
        <f t="shared" si="5"/>
        <v>332225.15082127124</v>
      </c>
      <c r="I100" s="17">
        <f t="shared" si="3"/>
        <v>0.55670424200418134</v>
      </c>
      <c r="J100">
        <v>46.91</v>
      </c>
    </row>
    <row r="101" spans="1:10" x14ac:dyDescent="0.25">
      <c r="A101" t="s">
        <v>33</v>
      </c>
      <c r="B101" t="s">
        <v>85</v>
      </c>
      <c r="C101" t="s">
        <v>9</v>
      </c>
      <c r="D101">
        <v>7.96</v>
      </c>
      <c r="E101" s="1">
        <v>9412069</v>
      </c>
      <c r="F101" s="1">
        <v>749201</v>
      </c>
      <c r="G101" s="4">
        <f t="shared" si="4"/>
        <v>798725.96787546889</v>
      </c>
      <c r="H101" s="4">
        <f t="shared" si="5"/>
        <v>238768.59478015531</v>
      </c>
      <c r="I101" s="17">
        <f t="shared" si="3"/>
        <v>0.70106318764712772</v>
      </c>
      <c r="J101">
        <v>49.34</v>
      </c>
    </row>
    <row r="102" spans="1:10" x14ac:dyDescent="0.25">
      <c r="A102" t="s">
        <v>34</v>
      </c>
      <c r="B102" t="s">
        <v>85</v>
      </c>
      <c r="C102" t="s">
        <v>9</v>
      </c>
      <c r="D102">
        <v>8.4600000000000009</v>
      </c>
      <c r="E102" s="1">
        <v>8375373</v>
      </c>
      <c r="F102" s="1">
        <v>708557</v>
      </c>
      <c r="G102" s="4">
        <f t="shared" si="4"/>
        <v>764058.49036264059</v>
      </c>
      <c r="H102" s="4">
        <f t="shared" si="5"/>
        <v>53613.811783119127</v>
      </c>
      <c r="I102" s="17">
        <f t="shared" si="3"/>
        <v>0.92983022574924512</v>
      </c>
      <c r="J102">
        <v>44.07</v>
      </c>
    </row>
    <row r="103" spans="1:10" x14ac:dyDescent="0.25">
      <c r="A103" t="s">
        <v>35</v>
      </c>
      <c r="B103" t="s">
        <v>85</v>
      </c>
      <c r="C103" t="s">
        <v>9</v>
      </c>
      <c r="D103">
        <v>5.45</v>
      </c>
      <c r="E103" s="1">
        <v>8896631</v>
      </c>
      <c r="F103" s="1">
        <v>484866</v>
      </c>
      <c r="G103" s="4">
        <f t="shared" si="4"/>
        <v>725207.44710879214</v>
      </c>
      <c r="H103" s="4">
        <f t="shared" si="5"/>
        <v>59132.005709890407</v>
      </c>
      <c r="I103" s="17">
        <f t="shared" si="3"/>
        <v>0.91846194361953415</v>
      </c>
      <c r="J103">
        <v>45.23</v>
      </c>
    </row>
    <row r="104" spans="1:10" x14ac:dyDescent="0.25">
      <c r="A104" t="s">
        <v>36</v>
      </c>
      <c r="B104" t="s">
        <v>85</v>
      </c>
      <c r="C104" t="s">
        <v>9</v>
      </c>
      <c r="D104">
        <v>1.67</v>
      </c>
      <c r="E104" s="1">
        <v>9424228</v>
      </c>
      <c r="F104" s="1">
        <v>157385</v>
      </c>
      <c r="G104" s="4">
        <f t="shared" si="4"/>
        <v>556968.43413263757</v>
      </c>
      <c r="H104" s="4">
        <f t="shared" si="5"/>
        <v>145255.11932904905</v>
      </c>
      <c r="I104" s="17">
        <f t="shared" si="3"/>
        <v>0.73920403666097589</v>
      </c>
      <c r="J104">
        <v>45.98</v>
      </c>
    </row>
    <row r="105" spans="1:10" x14ac:dyDescent="0.25">
      <c r="A105" t="s">
        <v>37</v>
      </c>
      <c r="B105" t="s">
        <v>85</v>
      </c>
      <c r="C105" t="s">
        <v>9</v>
      </c>
      <c r="D105">
        <v>6.58</v>
      </c>
      <c r="E105" s="1">
        <v>10370592</v>
      </c>
      <c r="F105" s="1">
        <v>682385</v>
      </c>
      <c r="G105" s="4">
        <f t="shared" si="4"/>
        <v>277260.03023979126</v>
      </c>
      <c r="H105" s="4">
        <f t="shared" si="5"/>
        <v>271115.81010339136</v>
      </c>
      <c r="I105" s="17">
        <f t="shared" si="3"/>
        <v>2.2160497245441439E-2</v>
      </c>
      <c r="J105">
        <v>53.15</v>
      </c>
    </row>
    <row r="106" spans="1:10" x14ac:dyDescent="0.25">
      <c r="A106" t="s">
        <v>38</v>
      </c>
      <c r="B106" t="s">
        <v>85</v>
      </c>
      <c r="C106" t="s">
        <v>9</v>
      </c>
      <c r="D106">
        <v>7.09</v>
      </c>
      <c r="E106" s="1">
        <v>8574707</v>
      </c>
      <c r="F106" s="1">
        <v>607947</v>
      </c>
      <c r="G106" s="4">
        <f t="shared" si="4"/>
        <v>560847.5090719373</v>
      </c>
      <c r="H106" s="4">
        <f t="shared" si="5"/>
        <v>356631.07602244942</v>
      </c>
      <c r="I106" s="17">
        <f t="shared" si="3"/>
        <v>0.36412113764651488</v>
      </c>
      <c r="J106">
        <v>44.1</v>
      </c>
    </row>
    <row r="107" spans="1:10" x14ac:dyDescent="0.25">
      <c r="A107" t="s">
        <v>39</v>
      </c>
      <c r="B107" t="s">
        <v>85</v>
      </c>
      <c r="C107" t="s">
        <v>9</v>
      </c>
      <c r="D107">
        <v>7.31</v>
      </c>
      <c r="E107" s="1">
        <v>8959786</v>
      </c>
      <c r="F107" s="1">
        <v>654960</v>
      </c>
      <c r="G107" s="4">
        <f t="shared" si="4"/>
        <v>593817.15272158117</v>
      </c>
      <c r="H107" s="4">
        <f t="shared" si="5"/>
        <v>329652.10146563331</v>
      </c>
      <c r="I107" s="17">
        <f t="shared" si="3"/>
        <v>0.44485924673146826</v>
      </c>
      <c r="J107">
        <v>46.09</v>
      </c>
    </row>
    <row r="108" spans="1:10" x14ac:dyDescent="0.25">
      <c r="A108" t="s">
        <v>40</v>
      </c>
      <c r="B108" t="s">
        <v>85</v>
      </c>
      <c r="C108" t="s">
        <v>9</v>
      </c>
      <c r="D108">
        <v>1.75</v>
      </c>
      <c r="E108" s="1">
        <v>9489645</v>
      </c>
      <c r="F108" s="1">
        <v>166069</v>
      </c>
      <c r="G108" s="4">
        <f t="shared" si="4"/>
        <v>636617.14581647434</v>
      </c>
      <c r="H108" s="4">
        <f t="shared" si="5"/>
        <v>238105.75447491446</v>
      </c>
      <c r="I108" s="17">
        <f t="shared" si="3"/>
        <v>0.62598281237062969</v>
      </c>
      <c r="J108">
        <v>45.97</v>
      </c>
    </row>
    <row r="109" spans="1:10" x14ac:dyDescent="0.25">
      <c r="A109" t="s">
        <v>41</v>
      </c>
      <c r="B109" t="s">
        <v>85</v>
      </c>
      <c r="C109" t="s">
        <v>9</v>
      </c>
      <c r="D109">
        <v>11.84</v>
      </c>
      <c r="E109" s="1">
        <v>9830039</v>
      </c>
      <c r="F109" s="1">
        <v>1163877</v>
      </c>
      <c r="G109" s="4">
        <f t="shared" si="4"/>
        <v>307233.44374494231</v>
      </c>
      <c r="H109" s="4">
        <f t="shared" si="5"/>
        <v>275301.26973330911</v>
      </c>
      <c r="I109" s="17">
        <f t="shared" si="3"/>
        <v>0.10393456396674874</v>
      </c>
      <c r="J109">
        <v>52.96</v>
      </c>
    </row>
    <row r="110" spans="1:10" x14ac:dyDescent="0.25">
      <c r="A110" t="s">
        <v>42</v>
      </c>
      <c r="B110" t="s">
        <v>85</v>
      </c>
      <c r="C110" t="s">
        <v>9</v>
      </c>
      <c r="D110">
        <v>4.63</v>
      </c>
      <c r="E110" s="1">
        <v>8488020</v>
      </c>
      <c r="F110" s="1">
        <v>392995</v>
      </c>
      <c r="G110" s="4">
        <f t="shared" si="4"/>
        <v>906883.93312348262</v>
      </c>
      <c r="H110" s="4">
        <f t="shared" si="5"/>
        <v>565388.4174553355</v>
      </c>
      <c r="I110" s="17">
        <f t="shared" si="3"/>
        <v>0.37655923012327597</v>
      </c>
      <c r="J110">
        <v>42.19</v>
      </c>
    </row>
    <row r="111" spans="1:10" x14ac:dyDescent="0.25">
      <c r="A111" t="s">
        <v>43</v>
      </c>
      <c r="B111" t="s">
        <v>85</v>
      </c>
      <c r="C111" t="s">
        <v>9</v>
      </c>
      <c r="D111">
        <v>8.43</v>
      </c>
      <c r="E111" s="1">
        <v>9358053</v>
      </c>
      <c r="F111" s="1">
        <v>788884</v>
      </c>
      <c r="G111" s="4">
        <f t="shared" si="4"/>
        <v>547161.67993704486</v>
      </c>
      <c r="H111" s="4">
        <f t="shared" si="5"/>
        <v>637530.54190666694</v>
      </c>
      <c r="I111" s="17">
        <f t="shared" si="3"/>
        <v>-0.16515934006931865</v>
      </c>
      <c r="J111">
        <v>48.35</v>
      </c>
    </row>
    <row r="112" spans="1:10" x14ac:dyDescent="0.25">
      <c r="A112" t="s">
        <v>44</v>
      </c>
      <c r="B112" t="s">
        <v>85</v>
      </c>
      <c r="C112" t="s">
        <v>9</v>
      </c>
      <c r="D112">
        <v>5.22</v>
      </c>
      <c r="E112" s="1">
        <v>9539947</v>
      </c>
      <c r="F112" s="1">
        <v>497985</v>
      </c>
      <c r="G112" s="4">
        <f t="shared" si="4"/>
        <v>716367.30398111336</v>
      </c>
      <c r="H112" s="4">
        <f t="shared" si="5"/>
        <v>593394.10683421325</v>
      </c>
      <c r="I112" s="17">
        <f t="shared" si="3"/>
        <v>0.17166221359279435</v>
      </c>
      <c r="J112">
        <v>47.52</v>
      </c>
    </row>
    <row r="113" spans="1:10" x14ac:dyDescent="0.25">
      <c r="A113" t="s">
        <v>45</v>
      </c>
      <c r="B113" t="s">
        <v>85</v>
      </c>
      <c r="C113" t="s">
        <v>9</v>
      </c>
      <c r="D113">
        <v>4.8099999999999996</v>
      </c>
      <c r="E113" s="1">
        <v>10830421</v>
      </c>
      <c r="F113" s="1">
        <v>520943</v>
      </c>
      <c r="G113" s="4">
        <f t="shared" si="4"/>
        <v>563499.69119433407</v>
      </c>
      <c r="H113" s="4">
        <f t="shared" si="5"/>
        <v>351284.47460498847</v>
      </c>
      <c r="I113" s="17">
        <f t="shared" si="3"/>
        <v>0.37660218790813671</v>
      </c>
      <c r="J113">
        <v>53.61</v>
      </c>
    </row>
    <row r="114" spans="1:10" x14ac:dyDescent="0.25">
      <c r="A114" t="s">
        <v>46</v>
      </c>
      <c r="B114" t="s">
        <v>85</v>
      </c>
      <c r="C114" t="s">
        <v>9</v>
      </c>
      <c r="D114">
        <v>4.3499999999999996</v>
      </c>
      <c r="E114" s="1">
        <v>8694500</v>
      </c>
      <c r="F114" s="1">
        <v>378211</v>
      </c>
      <c r="G114" s="4">
        <f t="shared" si="4"/>
        <v>533710.00735830015</v>
      </c>
      <c r="H114" s="4">
        <f t="shared" si="5"/>
        <v>189676.55159431018</v>
      </c>
      <c r="I114" s="17">
        <f t="shared" si="3"/>
        <v>0.64460746664063762</v>
      </c>
      <c r="J114">
        <v>42.75</v>
      </c>
    </row>
    <row r="115" spans="1:10" x14ac:dyDescent="0.25">
      <c r="A115" t="s">
        <v>47</v>
      </c>
      <c r="B115" t="s">
        <v>85</v>
      </c>
      <c r="C115" t="s">
        <v>9</v>
      </c>
      <c r="D115">
        <v>7.14</v>
      </c>
      <c r="E115" s="1">
        <v>9356919</v>
      </c>
      <c r="F115" s="1">
        <v>668084</v>
      </c>
      <c r="G115" s="4">
        <f t="shared" si="4"/>
        <v>424860.70220749005</v>
      </c>
      <c r="H115" s="4">
        <f t="shared" si="5"/>
        <v>156718.26520535292</v>
      </c>
      <c r="I115" s="17">
        <f t="shared" si="3"/>
        <v>0.63113024012087582</v>
      </c>
      <c r="J115">
        <v>47.3</v>
      </c>
    </row>
    <row r="116" spans="1:10" x14ac:dyDescent="0.25">
      <c r="A116" t="s">
        <v>48</v>
      </c>
      <c r="B116" t="s">
        <v>85</v>
      </c>
      <c r="C116" t="s">
        <v>9</v>
      </c>
      <c r="D116">
        <v>3.77</v>
      </c>
      <c r="E116" s="1">
        <v>9720353</v>
      </c>
      <c r="F116" s="1">
        <v>366457</v>
      </c>
      <c r="G116" s="4">
        <f t="shared" si="4"/>
        <v>595117.01066224696</v>
      </c>
      <c r="H116" s="4">
        <f t="shared" si="5"/>
        <v>168472.13997561592</v>
      </c>
      <c r="I116" s="17">
        <f t="shared" si="3"/>
        <v>0.71690921792314444</v>
      </c>
      <c r="J116">
        <v>47.32</v>
      </c>
    </row>
    <row r="117" spans="1:10" x14ac:dyDescent="0.25">
      <c r="A117" t="s">
        <v>49</v>
      </c>
      <c r="B117" t="s">
        <v>85</v>
      </c>
      <c r="C117" t="s">
        <v>9</v>
      </c>
      <c r="D117">
        <v>4.29</v>
      </c>
      <c r="E117" s="1">
        <v>11749334</v>
      </c>
      <c r="F117" s="1">
        <v>504046</v>
      </c>
      <c r="G117" s="4">
        <f t="shared" si="4"/>
        <v>435055.00319867407</v>
      </c>
      <c r="H117" s="4">
        <f t="shared" si="5"/>
        <v>212620.87883879102</v>
      </c>
      <c r="I117" s="17">
        <f t="shared" si="3"/>
        <v>0.51127816649497382</v>
      </c>
      <c r="J117">
        <v>57.39</v>
      </c>
    </row>
    <row r="118" spans="1:10" x14ac:dyDescent="0.25">
      <c r="A118" t="s">
        <v>50</v>
      </c>
      <c r="B118" t="s">
        <v>85</v>
      </c>
      <c r="C118" t="s">
        <v>9</v>
      </c>
      <c r="D118">
        <v>5.08</v>
      </c>
      <c r="E118" s="1">
        <v>8923222</v>
      </c>
      <c r="F118" s="1">
        <v>453300</v>
      </c>
      <c r="G118" s="4">
        <f t="shared" si="4"/>
        <v>483348.70095960214</v>
      </c>
      <c r="H118" s="4">
        <f t="shared" si="5"/>
        <v>196810.17140446394</v>
      </c>
      <c r="I118" s="17">
        <f t="shared" si="3"/>
        <v>0.5928194882623401</v>
      </c>
      <c r="J118">
        <v>43.87</v>
      </c>
    </row>
    <row r="119" spans="1:10" x14ac:dyDescent="0.25">
      <c r="A119" t="s">
        <v>51</v>
      </c>
      <c r="B119" t="s">
        <v>85</v>
      </c>
      <c r="C119" t="s">
        <v>9</v>
      </c>
      <c r="D119">
        <v>4.26</v>
      </c>
      <c r="E119" s="1">
        <v>9911534</v>
      </c>
      <c r="F119" s="1">
        <v>422231</v>
      </c>
      <c r="G119" s="4">
        <f t="shared" si="4"/>
        <v>462314.61028788064</v>
      </c>
      <c r="H119" s="4">
        <f t="shared" si="5"/>
        <v>138982.11221239835</v>
      </c>
      <c r="I119" s="17">
        <f t="shared" si="3"/>
        <v>0.69937763349971793</v>
      </c>
      <c r="J119">
        <v>48.21</v>
      </c>
    </row>
    <row r="120" spans="1:10" x14ac:dyDescent="0.25">
      <c r="A120" t="s">
        <v>52</v>
      </c>
      <c r="B120" t="s">
        <v>85</v>
      </c>
      <c r="C120" t="s">
        <v>9</v>
      </c>
      <c r="D120">
        <v>5.79</v>
      </c>
      <c r="E120" s="1">
        <v>9292039</v>
      </c>
      <c r="F120" s="1">
        <v>538009</v>
      </c>
      <c r="G120" s="4">
        <f t="shared" si="4"/>
        <v>434256.08308636415</v>
      </c>
      <c r="H120" s="4">
        <f t="shared" si="5"/>
        <v>49225.25734725636</v>
      </c>
      <c r="I120" s="17">
        <f t="shared" si="3"/>
        <v>0.8866446337437569</v>
      </c>
      <c r="J120">
        <v>45.83</v>
      </c>
    </row>
    <row r="121" spans="1:10" x14ac:dyDescent="0.25">
      <c r="A121" t="s">
        <v>53</v>
      </c>
      <c r="B121" t="s">
        <v>85</v>
      </c>
      <c r="C121" t="s">
        <v>9</v>
      </c>
      <c r="D121">
        <v>4.46</v>
      </c>
      <c r="E121" s="1">
        <v>11468350</v>
      </c>
      <c r="F121" s="1">
        <v>511488</v>
      </c>
      <c r="G121" s="4">
        <f t="shared" si="4"/>
        <v>506883.12492590921</v>
      </c>
      <c r="H121" s="4">
        <f t="shared" si="5"/>
        <v>66518.889575714027</v>
      </c>
      <c r="I121" s="17">
        <f t="shared" si="3"/>
        <v>0.86876878257598922</v>
      </c>
      <c r="J121">
        <v>55.67</v>
      </c>
    </row>
    <row r="122" spans="1:10" x14ac:dyDescent="0.25">
      <c r="A122" t="s">
        <v>54</v>
      </c>
      <c r="B122" t="s">
        <v>85</v>
      </c>
      <c r="C122" t="s">
        <v>9</v>
      </c>
      <c r="D122">
        <v>4.6500000000000004</v>
      </c>
      <c r="E122" s="1">
        <v>8395908</v>
      </c>
      <c r="F122" s="1">
        <v>390410</v>
      </c>
      <c r="G122" s="4">
        <f t="shared" si="4"/>
        <v>510106.53747777274</v>
      </c>
      <c r="H122" s="4">
        <f t="shared" si="5"/>
        <v>64271.736806174507</v>
      </c>
      <c r="I122" s="17">
        <f t="shared" si="3"/>
        <v>0.87400330698766027</v>
      </c>
      <c r="J122">
        <v>40.76</v>
      </c>
    </row>
    <row r="123" spans="1:10" x14ac:dyDescent="0.25">
      <c r="A123" t="s">
        <v>55</v>
      </c>
      <c r="B123" t="s">
        <v>85</v>
      </c>
      <c r="C123" t="s">
        <v>9</v>
      </c>
      <c r="D123">
        <v>4.66</v>
      </c>
      <c r="E123" s="1">
        <v>9625364</v>
      </c>
      <c r="F123" s="1">
        <v>448542</v>
      </c>
      <c r="G123" s="4">
        <f t="shared" si="4"/>
        <v>426318.96124333178</v>
      </c>
      <c r="H123" s="4">
        <f t="shared" si="5"/>
        <v>91493.412744130866</v>
      </c>
      <c r="I123" s="17">
        <f t="shared" si="3"/>
        <v>0.78538741866583595</v>
      </c>
      <c r="J123">
        <v>46.64</v>
      </c>
    </row>
    <row r="124" spans="1:10" x14ac:dyDescent="0.25">
      <c r="A124" t="s">
        <v>57</v>
      </c>
      <c r="B124" t="s">
        <v>85</v>
      </c>
      <c r="C124" t="s">
        <v>9</v>
      </c>
      <c r="D124">
        <v>4.29</v>
      </c>
      <c r="E124" s="1">
        <v>11420996</v>
      </c>
      <c r="F124" s="1">
        <v>489961</v>
      </c>
      <c r="G124" s="4">
        <f t="shared" si="4"/>
        <v>441875.08837299951</v>
      </c>
      <c r="H124" s="4">
        <f t="shared" si="5"/>
        <v>70338.063214251728</v>
      </c>
      <c r="I124" s="17">
        <f t="shared" si="3"/>
        <v>0.84081912498566258</v>
      </c>
      <c r="J124">
        <v>54.9</v>
      </c>
    </row>
    <row r="125" spans="1:10" x14ac:dyDescent="0.25">
      <c r="A125" t="s">
        <v>58</v>
      </c>
      <c r="B125" t="s">
        <v>85</v>
      </c>
      <c r="C125" t="s">
        <v>9</v>
      </c>
      <c r="D125">
        <v>3.26</v>
      </c>
      <c r="E125" s="1">
        <v>8462814</v>
      </c>
      <c r="F125" s="1">
        <v>275888</v>
      </c>
      <c r="G125" s="4">
        <f t="shared" si="4"/>
        <v>475535.22651189979</v>
      </c>
      <c r="H125" s="4">
        <f t="shared" si="5"/>
        <v>75571.995326196353</v>
      </c>
      <c r="I125" s="17">
        <f t="shared" si="3"/>
        <v>0.84108013221118272</v>
      </c>
      <c r="J125">
        <v>40.17</v>
      </c>
    </row>
    <row r="126" spans="1:10" x14ac:dyDescent="0.25">
      <c r="A126" t="s">
        <v>59</v>
      </c>
      <c r="B126" t="s">
        <v>85</v>
      </c>
      <c r="C126" t="s">
        <v>9</v>
      </c>
      <c r="D126">
        <v>3.77</v>
      </c>
      <c r="E126" s="1">
        <v>9878742</v>
      </c>
      <c r="F126" s="1">
        <v>372429</v>
      </c>
      <c r="G126" s="4">
        <f t="shared" si="4"/>
        <v>335782.16795356991</v>
      </c>
      <c r="H126" s="4">
        <f t="shared" si="5"/>
        <v>119254.81597888601</v>
      </c>
      <c r="I126" s="17">
        <f t="shared" si="3"/>
        <v>0.64484470183248122</v>
      </c>
      <c r="J126">
        <v>47.05</v>
      </c>
    </row>
    <row r="127" spans="1:10" x14ac:dyDescent="0.25">
      <c r="A127" t="s">
        <v>61</v>
      </c>
      <c r="B127" t="s">
        <v>85</v>
      </c>
      <c r="C127" t="s">
        <v>9</v>
      </c>
      <c r="D127">
        <v>9.3800000000000008</v>
      </c>
      <c r="E127" s="1">
        <v>9926176</v>
      </c>
      <c r="F127" s="1">
        <v>931075</v>
      </c>
      <c r="G127" s="4">
        <f t="shared" si="4"/>
        <v>361434.95038607094</v>
      </c>
      <c r="H127" s="4">
        <f t="shared" si="5"/>
        <v>120435.68165890148</v>
      </c>
      <c r="I127" s="17">
        <f t="shared" si="3"/>
        <v>0.66678462741288103</v>
      </c>
      <c r="J127">
        <v>50</v>
      </c>
    </row>
    <row r="128" spans="1:10" x14ac:dyDescent="0.25">
      <c r="A128" t="s">
        <v>62</v>
      </c>
      <c r="B128" t="s">
        <v>85</v>
      </c>
      <c r="C128" t="s">
        <v>9</v>
      </c>
      <c r="D128">
        <v>0</v>
      </c>
      <c r="E128" s="1">
        <v>7544937</v>
      </c>
      <c r="F128">
        <v>0</v>
      </c>
      <c r="G128" s="4">
        <f t="shared" si="4"/>
        <v>760182.98511582124</v>
      </c>
      <c r="H128" s="4">
        <f t="shared" si="5"/>
        <v>349137.88655157085</v>
      </c>
      <c r="I128" s="17">
        <f t="shared" si="3"/>
        <v>0.5407186251368461</v>
      </c>
      <c r="J128">
        <v>34.380000000000003</v>
      </c>
    </row>
    <row r="129" spans="1:10" x14ac:dyDescent="0.25">
      <c r="A129" t="s">
        <v>63</v>
      </c>
      <c r="B129" t="s">
        <v>85</v>
      </c>
      <c r="C129" t="s">
        <v>9</v>
      </c>
      <c r="D129">
        <v>3.37</v>
      </c>
      <c r="E129" s="1">
        <v>8676252</v>
      </c>
      <c r="F129" s="1">
        <v>292390</v>
      </c>
      <c r="G129" s="4">
        <f t="shared" si="4"/>
        <v>228054.89553474638</v>
      </c>
      <c r="H129" s="4">
        <f t="shared" si="5"/>
        <v>548850.60119088867</v>
      </c>
      <c r="I129" s="17">
        <f t="shared" si="3"/>
        <v>-1.4066600276391172</v>
      </c>
      <c r="J129">
        <v>40.83</v>
      </c>
    </row>
    <row r="130" spans="1:10" x14ac:dyDescent="0.25">
      <c r="A130" t="s">
        <v>64</v>
      </c>
      <c r="B130" t="s">
        <v>85</v>
      </c>
      <c r="C130" t="s">
        <v>9</v>
      </c>
      <c r="D130">
        <v>5</v>
      </c>
      <c r="E130" s="1">
        <v>8210150</v>
      </c>
      <c r="F130" s="1">
        <v>410508</v>
      </c>
      <c r="G130" s="4">
        <f t="shared" si="4"/>
        <v>273089.46866042388</v>
      </c>
      <c r="H130" s="4">
        <f t="shared" si="5"/>
        <v>549698.99722494057</v>
      </c>
      <c r="I130" s="17">
        <f t="shared" si="3"/>
        <v>-1.0128897680359468</v>
      </c>
      <c r="J130">
        <v>39.22</v>
      </c>
    </row>
    <row r="131" spans="1:10" x14ac:dyDescent="0.25">
      <c r="A131" t="s">
        <v>65</v>
      </c>
      <c r="B131" t="s">
        <v>85</v>
      </c>
      <c r="C131" t="s">
        <v>9</v>
      </c>
      <c r="D131">
        <v>0.9</v>
      </c>
      <c r="E131" s="1">
        <v>12520100</v>
      </c>
      <c r="F131" s="1">
        <v>112681</v>
      </c>
      <c r="G131" s="4">
        <f t="shared" si="4"/>
        <v>369282.44059812714</v>
      </c>
      <c r="H131" s="4">
        <f t="shared" si="5"/>
        <v>447549.26331510593</v>
      </c>
      <c r="I131" s="17">
        <f t="shared" ref="I131:I194" si="6">(G131-H131)/G131</f>
        <v>-0.21194298486061219</v>
      </c>
      <c r="J131">
        <v>57.22</v>
      </c>
    </row>
    <row r="132" spans="1:10" x14ac:dyDescent="0.25">
      <c r="A132" t="s">
        <v>66</v>
      </c>
      <c r="B132" t="s">
        <v>85</v>
      </c>
      <c r="C132" t="s">
        <v>9</v>
      </c>
      <c r="D132">
        <v>2.94</v>
      </c>
      <c r="E132" s="1">
        <v>10283710</v>
      </c>
      <c r="F132" s="1">
        <v>302341</v>
      </c>
      <c r="G132" s="4">
        <f t="shared" ref="G132:G195" si="7">0.7*F131+0.3*G131</f>
        <v>189661.43217943812</v>
      </c>
      <c r="H132" s="4">
        <f t="shared" si="5"/>
        <v>172111.55078331739</v>
      </c>
      <c r="I132" s="17">
        <f t="shared" si="6"/>
        <v>9.2532684133255105E-2</v>
      </c>
      <c r="J132">
        <v>47.89</v>
      </c>
    </row>
    <row r="133" spans="1:10" x14ac:dyDescent="0.25">
      <c r="A133" t="s">
        <v>67</v>
      </c>
      <c r="B133" t="s">
        <v>85</v>
      </c>
      <c r="C133" t="s">
        <v>9</v>
      </c>
      <c r="D133">
        <v>4.22</v>
      </c>
      <c r="E133" s="1">
        <v>9166357</v>
      </c>
      <c r="F133" s="1">
        <v>386820</v>
      </c>
      <c r="G133" s="4">
        <f t="shared" si="7"/>
        <v>268537.12965383142</v>
      </c>
      <c r="H133" s="4">
        <f t="shared" si="5"/>
        <v>180208.06222881083</v>
      </c>
      <c r="I133" s="17">
        <f t="shared" si="6"/>
        <v>0.32892683234860193</v>
      </c>
      <c r="J133">
        <v>43.17</v>
      </c>
    </row>
    <row r="134" spans="1:10" x14ac:dyDescent="0.25">
      <c r="A134" t="s">
        <v>69</v>
      </c>
      <c r="B134" t="s">
        <v>85</v>
      </c>
      <c r="C134" t="s">
        <v>9</v>
      </c>
      <c r="D134">
        <v>1.61</v>
      </c>
      <c r="E134" s="1">
        <v>11555536</v>
      </c>
      <c r="F134" s="1">
        <v>186044</v>
      </c>
      <c r="G134" s="4">
        <f t="shared" si="7"/>
        <v>351335.13889614941</v>
      </c>
      <c r="H134" s="4">
        <f t="shared" ref="H134:H197" si="8">SQRT(SUMXMY2(F131:F133,G131:G133)/3)</f>
        <v>175624.43047460803</v>
      </c>
      <c r="I134" s="17">
        <f t="shared" si="6"/>
        <v>0.5001227858209748</v>
      </c>
      <c r="J134">
        <v>52.77</v>
      </c>
    </row>
    <row r="135" spans="1:10" x14ac:dyDescent="0.25">
      <c r="A135" t="s">
        <v>70</v>
      </c>
      <c r="B135" t="s">
        <v>85</v>
      </c>
      <c r="C135" t="s">
        <v>9</v>
      </c>
      <c r="D135">
        <v>1.52</v>
      </c>
      <c r="E135" s="1">
        <v>9599029</v>
      </c>
      <c r="F135" s="1">
        <v>145905</v>
      </c>
      <c r="G135" s="4">
        <f t="shared" si="7"/>
        <v>235631.34166884481</v>
      </c>
      <c r="H135" s="4">
        <f t="shared" si="8"/>
        <v>134174.86478366365</v>
      </c>
      <c r="I135" s="17">
        <f t="shared" si="6"/>
        <v>0.43057292873953762</v>
      </c>
      <c r="J135">
        <v>43.71</v>
      </c>
    </row>
    <row r="136" spans="1:10" x14ac:dyDescent="0.25">
      <c r="A136" t="s">
        <v>71</v>
      </c>
      <c r="B136" t="s">
        <v>85</v>
      </c>
      <c r="C136" t="s">
        <v>9</v>
      </c>
      <c r="D136">
        <v>1.1299999999999999</v>
      </c>
      <c r="E136" s="1">
        <v>9490941</v>
      </c>
      <c r="F136" s="1">
        <v>107248</v>
      </c>
      <c r="G136" s="4">
        <f t="shared" si="7"/>
        <v>172822.90250065344</v>
      </c>
      <c r="H136" s="4">
        <f t="shared" si="8"/>
        <v>128274.20421917645</v>
      </c>
      <c r="I136" s="17">
        <f t="shared" si="6"/>
        <v>0.2577708025781395</v>
      </c>
      <c r="J136">
        <v>42.96</v>
      </c>
    </row>
    <row r="137" spans="1:10" x14ac:dyDescent="0.25">
      <c r="A137" t="s">
        <v>75</v>
      </c>
      <c r="B137" t="s">
        <v>85</v>
      </c>
      <c r="C137" t="s">
        <v>9</v>
      </c>
      <c r="D137">
        <v>1.18</v>
      </c>
      <c r="E137" s="1">
        <v>9555120</v>
      </c>
      <c r="F137" s="1">
        <v>112750</v>
      </c>
      <c r="G137" s="4">
        <f t="shared" si="7"/>
        <v>126920.47075019602</v>
      </c>
      <c r="H137" s="4">
        <f t="shared" si="8"/>
        <v>114995.71705768094</v>
      </c>
      <c r="I137" s="17">
        <f t="shared" si="6"/>
        <v>9.3954534063975345E-2</v>
      </c>
      <c r="J137">
        <v>42.93</v>
      </c>
    </row>
    <row r="138" spans="1:10" x14ac:dyDescent="0.25">
      <c r="A138" t="s">
        <v>77</v>
      </c>
      <c r="B138" t="s">
        <v>85</v>
      </c>
      <c r="C138" t="s">
        <v>9</v>
      </c>
      <c r="D138">
        <v>3.16</v>
      </c>
      <c r="E138" s="1">
        <v>14547917</v>
      </c>
      <c r="F138" s="1">
        <v>459714</v>
      </c>
      <c r="G138" s="4">
        <f t="shared" si="7"/>
        <v>117001.1412250588</v>
      </c>
      <c r="H138" s="4">
        <f t="shared" si="8"/>
        <v>64683.038653953794</v>
      </c>
      <c r="I138" s="17">
        <f t="shared" si="6"/>
        <v>0.44715890822353571</v>
      </c>
      <c r="J138">
        <v>66.430000000000007</v>
      </c>
    </row>
    <row r="139" spans="1:10" x14ac:dyDescent="0.25">
      <c r="A139" t="s">
        <v>78</v>
      </c>
      <c r="B139" t="s">
        <v>85</v>
      </c>
      <c r="C139" t="s">
        <v>9</v>
      </c>
      <c r="D139">
        <v>3.17</v>
      </c>
      <c r="E139" s="1">
        <v>9532098</v>
      </c>
      <c r="F139" s="1">
        <v>302168</v>
      </c>
      <c r="G139" s="4">
        <f t="shared" si="7"/>
        <v>356900.14236751763</v>
      </c>
      <c r="H139" s="4">
        <f t="shared" si="8"/>
        <v>201620.90967038873</v>
      </c>
      <c r="I139" s="17">
        <f t="shared" si="6"/>
        <v>0.43507753083838852</v>
      </c>
      <c r="J139">
        <v>43.45</v>
      </c>
    </row>
    <row r="140" spans="1:10" x14ac:dyDescent="0.25">
      <c r="A140" t="s">
        <v>79</v>
      </c>
      <c r="B140" t="s">
        <v>85</v>
      </c>
      <c r="C140" t="s">
        <v>9</v>
      </c>
      <c r="D140">
        <v>4.3499999999999996</v>
      </c>
      <c r="E140" s="1">
        <v>8762417</v>
      </c>
      <c r="F140" s="1">
        <v>381165</v>
      </c>
      <c r="G140" s="4">
        <f t="shared" si="7"/>
        <v>318587.64271025528</v>
      </c>
      <c r="H140" s="4">
        <f t="shared" si="8"/>
        <v>200539.69949373545</v>
      </c>
      <c r="I140" s="17">
        <f t="shared" si="6"/>
        <v>0.37053522293669267</v>
      </c>
      <c r="J140">
        <v>40.35</v>
      </c>
    </row>
    <row r="141" spans="1:10" x14ac:dyDescent="0.25">
      <c r="A141" t="s">
        <v>81</v>
      </c>
      <c r="B141" t="s">
        <v>85</v>
      </c>
      <c r="C141" t="s">
        <v>9</v>
      </c>
      <c r="D141">
        <v>8.26</v>
      </c>
      <c r="E141" s="1">
        <v>13025475</v>
      </c>
      <c r="F141" s="1">
        <v>1075904</v>
      </c>
      <c r="G141" s="4">
        <f t="shared" si="7"/>
        <v>362391.79281307658</v>
      </c>
      <c r="H141" s="4">
        <f t="shared" si="8"/>
        <v>203603.89372766536</v>
      </c>
      <c r="I141" s="17">
        <f t="shared" si="6"/>
        <v>0.43816637748006282</v>
      </c>
      <c r="J141">
        <v>62.29</v>
      </c>
    </row>
    <row r="142" spans="1:10" x14ac:dyDescent="0.25">
      <c r="A142" t="s">
        <v>82</v>
      </c>
      <c r="B142" t="s">
        <v>85</v>
      </c>
      <c r="C142" t="s">
        <v>9</v>
      </c>
      <c r="D142">
        <v>10.45</v>
      </c>
      <c r="E142" s="1">
        <v>8617445</v>
      </c>
      <c r="F142" s="1">
        <v>900523</v>
      </c>
      <c r="G142" s="4">
        <f t="shared" si="7"/>
        <v>861850.3378439229</v>
      </c>
      <c r="H142" s="4">
        <f t="shared" si="8"/>
        <v>414733.32912377227</v>
      </c>
      <c r="I142" s="17">
        <f t="shared" si="6"/>
        <v>0.5187872987770662</v>
      </c>
      <c r="J142">
        <v>42.14</v>
      </c>
    </row>
    <row r="143" spans="1:10" x14ac:dyDescent="0.25">
      <c r="A143" t="s">
        <v>83</v>
      </c>
      <c r="B143" t="s">
        <v>85</v>
      </c>
      <c r="C143" t="s">
        <v>9</v>
      </c>
      <c r="D143">
        <v>8.44</v>
      </c>
      <c r="E143" s="1">
        <v>8358608</v>
      </c>
      <c r="F143" s="1">
        <v>705467</v>
      </c>
      <c r="G143" s="4">
        <f t="shared" si="7"/>
        <v>888921.20135317685</v>
      </c>
      <c r="H143" s="4">
        <f t="shared" si="8"/>
        <v>414130.08030825353</v>
      </c>
      <c r="I143" s="17">
        <f t="shared" si="6"/>
        <v>0.53412059507880305</v>
      </c>
      <c r="J143">
        <v>39.9</v>
      </c>
    </row>
    <row r="144" spans="1:10" x14ac:dyDescent="0.25">
      <c r="A144" t="s">
        <v>7</v>
      </c>
      <c r="B144" t="s">
        <v>86</v>
      </c>
      <c r="C144" t="s">
        <v>9</v>
      </c>
      <c r="D144">
        <v>3.7</v>
      </c>
      <c r="E144" s="1">
        <v>24739780</v>
      </c>
      <c r="F144" s="1">
        <v>915372</v>
      </c>
      <c r="G144" s="4">
        <f t="shared" si="7"/>
        <v>760503.26040595304</v>
      </c>
      <c r="H144" s="4">
        <f t="shared" si="8"/>
        <v>425930.62369245267</v>
      </c>
      <c r="I144" s="17">
        <f t="shared" si="6"/>
        <v>0.43993583477197334</v>
      </c>
      <c r="J144">
        <v>41.51</v>
      </c>
    </row>
    <row r="145" spans="1:10" x14ac:dyDescent="0.25">
      <c r="A145" t="s">
        <v>10</v>
      </c>
      <c r="B145" t="s">
        <v>86</v>
      </c>
      <c r="C145" t="s">
        <v>9</v>
      </c>
      <c r="D145">
        <v>4.5199999999999996</v>
      </c>
      <c r="E145" s="1">
        <v>26925344</v>
      </c>
      <c r="F145" s="1">
        <v>1217026</v>
      </c>
      <c r="G145" s="4">
        <f t="shared" si="7"/>
        <v>868911.37812178582</v>
      </c>
      <c r="H145" s="4">
        <f t="shared" si="8"/>
        <v>140398.65300376966</v>
      </c>
      <c r="I145" s="17">
        <f t="shared" si="6"/>
        <v>0.83842005463520175</v>
      </c>
      <c r="J145">
        <v>45.47</v>
      </c>
    </row>
    <row r="146" spans="1:10" x14ac:dyDescent="0.25">
      <c r="A146" t="s">
        <v>11</v>
      </c>
      <c r="B146" t="s">
        <v>86</v>
      </c>
      <c r="C146" t="s">
        <v>9</v>
      </c>
      <c r="D146">
        <v>2.29</v>
      </c>
      <c r="E146" s="1">
        <v>23838393</v>
      </c>
      <c r="F146" s="1">
        <v>545899</v>
      </c>
      <c r="G146" s="4">
        <f t="shared" si="7"/>
        <v>1112591.6134365357</v>
      </c>
      <c r="H146" s="4">
        <f t="shared" si="8"/>
        <v>244147.19635429818</v>
      </c>
      <c r="I146" s="17">
        <f t="shared" si="6"/>
        <v>0.78055991667941438</v>
      </c>
      <c r="J146">
        <v>39.25</v>
      </c>
    </row>
    <row r="147" spans="1:10" x14ac:dyDescent="0.25">
      <c r="A147" t="s">
        <v>12</v>
      </c>
      <c r="B147" t="s">
        <v>86</v>
      </c>
      <c r="C147" t="s">
        <v>9</v>
      </c>
      <c r="D147">
        <v>5.5</v>
      </c>
      <c r="E147" s="1">
        <v>26452688</v>
      </c>
      <c r="F147" s="1">
        <v>1454898</v>
      </c>
      <c r="G147" s="4">
        <f t="shared" si="7"/>
        <v>715906.78403096064</v>
      </c>
      <c r="H147" s="4">
        <f t="shared" si="8"/>
        <v>394253.99367767631</v>
      </c>
      <c r="I147" s="17">
        <f t="shared" si="6"/>
        <v>0.4492942342887114</v>
      </c>
      <c r="J147">
        <v>44.94</v>
      </c>
    </row>
    <row r="148" spans="1:10" x14ac:dyDescent="0.25">
      <c r="A148" t="s">
        <v>13</v>
      </c>
      <c r="B148" t="s">
        <v>86</v>
      </c>
      <c r="C148" t="s">
        <v>9</v>
      </c>
      <c r="D148">
        <v>12.92</v>
      </c>
      <c r="E148" s="1">
        <v>25169982</v>
      </c>
      <c r="F148" s="1">
        <v>3251962</v>
      </c>
      <c r="G148" s="4">
        <f t="shared" si="7"/>
        <v>1233200.6352092882</v>
      </c>
      <c r="H148" s="4">
        <f t="shared" si="8"/>
        <v>574001.2559127789</v>
      </c>
      <c r="I148" s="17">
        <f t="shared" si="6"/>
        <v>0.53454349639110887</v>
      </c>
      <c r="J148">
        <v>46.3</v>
      </c>
    </row>
    <row r="149" spans="1:10" x14ac:dyDescent="0.25">
      <c r="A149" t="s">
        <v>14</v>
      </c>
      <c r="B149" t="s">
        <v>86</v>
      </c>
      <c r="C149" t="s">
        <v>9</v>
      </c>
      <c r="D149">
        <v>7.67</v>
      </c>
      <c r="E149" s="1">
        <v>26974137</v>
      </c>
      <c r="F149" s="1">
        <v>2068916</v>
      </c>
      <c r="G149" s="4">
        <f t="shared" si="7"/>
        <v>2646333.5905627864</v>
      </c>
      <c r="H149" s="4">
        <f t="shared" si="8"/>
        <v>1283568.7208423484</v>
      </c>
      <c r="I149" s="17">
        <f t="shared" si="6"/>
        <v>0.51496337218416355</v>
      </c>
      <c r="J149">
        <v>46.7</v>
      </c>
    </row>
    <row r="150" spans="1:10" x14ac:dyDescent="0.25">
      <c r="A150" t="s">
        <v>15</v>
      </c>
      <c r="B150" t="s">
        <v>86</v>
      </c>
      <c r="C150" t="s">
        <v>9</v>
      </c>
      <c r="D150">
        <v>3.9</v>
      </c>
      <c r="E150" s="1">
        <v>24305446</v>
      </c>
      <c r="F150" s="1">
        <v>947912</v>
      </c>
      <c r="G150" s="4">
        <f t="shared" si="7"/>
        <v>2242141.277168836</v>
      </c>
      <c r="H150" s="4">
        <f t="shared" si="8"/>
        <v>1285161.0196317025</v>
      </c>
      <c r="I150" s="17">
        <f t="shared" si="6"/>
        <v>0.42681532483337431</v>
      </c>
      <c r="J150">
        <v>40.35</v>
      </c>
    </row>
    <row r="151" spans="1:10" x14ac:dyDescent="0.25">
      <c r="A151" t="s">
        <v>16</v>
      </c>
      <c r="B151" t="s">
        <v>86</v>
      </c>
      <c r="C151" t="s">
        <v>9</v>
      </c>
      <c r="D151">
        <v>12.43</v>
      </c>
      <c r="E151" s="1">
        <v>26192565</v>
      </c>
      <c r="F151" s="1">
        <v>3255736</v>
      </c>
      <c r="G151" s="4">
        <f t="shared" si="7"/>
        <v>1336180.7831506506</v>
      </c>
      <c r="H151" s="4">
        <f t="shared" si="8"/>
        <v>1424059.6831762306</v>
      </c>
      <c r="I151" s="17">
        <f t="shared" si="6"/>
        <v>-6.5768720171506895E-2</v>
      </c>
      <c r="J151">
        <v>47.61</v>
      </c>
    </row>
    <row r="152" spans="1:10" x14ac:dyDescent="0.25">
      <c r="A152" t="s">
        <v>17</v>
      </c>
      <c r="B152" t="s">
        <v>86</v>
      </c>
      <c r="C152" t="s">
        <v>9</v>
      </c>
      <c r="D152">
        <v>14.39</v>
      </c>
      <c r="E152" s="1">
        <v>24663044</v>
      </c>
      <c r="F152" s="1">
        <v>3549012</v>
      </c>
      <c r="G152" s="4">
        <f t="shared" si="7"/>
        <v>2679869.434945195</v>
      </c>
      <c r="H152" s="4">
        <f t="shared" si="8"/>
        <v>1377574.2843014377</v>
      </c>
      <c r="I152" s="17">
        <f t="shared" si="6"/>
        <v>0.48595470124849199</v>
      </c>
      <c r="J152">
        <v>45.76</v>
      </c>
    </row>
    <row r="153" spans="1:10" x14ac:dyDescent="0.25">
      <c r="A153" t="s">
        <v>18</v>
      </c>
      <c r="B153" t="s">
        <v>86</v>
      </c>
      <c r="C153" t="s">
        <v>9</v>
      </c>
      <c r="D153">
        <v>6.47</v>
      </c>
      <c r="E153" s="1">
        <v>25686600</v>
      </c>
      <c r="F153" s="1">
        <v>1661923</v>
      </c>
      <c r="G153" s="4">
        <f t="shared" si="7"/>
        <v>3288269.2304835585</v>
      </c>
      <c r="H153" s="4">
        <f t="shared" si="8"/>
        <v>1427717.3449022938</v>
      </c>
      <c r="I153" s="17">
        <f t="shared" si="6"/>
        <v>0.56581494858547821</v>
      </c>
      <c r="J153">
        <v>43.53</v>
      </c>
    </row>
    <row r="154" spans="1:10" x14ac:dyDescent="0.25">
      <c r="A154" t="s">
        <v>19</v>
      </c>
      <c r="B154" t="s">
        <v>86</v>
      </c>
      <c r="C154" t="s">
        <v>9</v>
      </c>
      <c r="D154">
        <v>6.28</v>
      </c>
      <c r="E154" s="1">
        <v>24857505</v>
      </c>
      <c r="F154" s="1">
        <v>1561051</v>
      </c>
      <c r="G154" s="4">
        <f t="shared" si="7"/>
        <v>2149826.8691450674</v>
      </c>
      <c r="H154" s="4">
        <f t="shared" si="8"/>
        <v>1536782.6879915583</v>
      </c>
      <c r="I154" s="17">
        <f t="shared" si="6"/>
        <v>0.28515979121486257</v>
      </c>
      <c r="J154">
        <v>41.95</v>
      </c>
    </row>
    <row r="155" spans="1:10" x14ac:dyDescent="0.25">
      <c r="A155" t="s">
        <v>20</v>
      </c>
      <c r="B155" t="s">
        <v>86</v>
      </c>
      <c r="C155" t="s">
        <v>9</v>
      </c>
      <c r="D155">
        <v>4.43</v>
      </c>
      <c r="E155" s="1">
        <v>25924646</v>
      </c>
      <c r="F155" s="1">
        <v>1148462</v>
      </c>
      <c r="G155" s="4">
        <f t="shared" si="7"/>
        <v>1737683.7607435202</v>
      </c>
      <c r="H155" s="4">
        <f t="shared" si="8"/>
        <v>1117596.809212466</v>
      </c>
      <c r="I155" s="17">
        <f t="shared" si="6"/>
        <v>0.35684683573594045</v>
      </c>
      <c r="J155">
        <v>42.81</v>
      </c>
    </row>
    <row r="156" spans="1:10" x14ac:dyDescent="0.25">
      <c r="A156" t="s">
        <v>21</v>
      </c>
      <c r="B156" t="s">
        <v>86</v>
      </c>
      <c r="C156" t="s">
        <v>9</v>
      </c>
      <c r="D156">
        <v>4.72</v>
      </c>
      <c r="E156" s="1">
        <v>24479462</v>
      </c>
      <c r="F156" s="1">
        <v>1155431</v>
      </c>
      <c r="G156" s="4">
        <f t="shared" si="7"/>
        <v>1325228.5282230559</v>
      </c>
      <c r="H156" s="4">
        <f t="shared" si="8"/>
        <v>1054963.0907965933</v>
      </c>
      <c r="I156" s="17">
        <f t="shared" si="6"/>
        <v>0.20393874088180872</v>
      </c>
      <c r="J156">
        <v>40.450000000000003</v>
      </c>
    </row>
    <row r="157" spans="1:10" x14ac:dyDescent="0.25">
      <c r="A157" t="s">
        <v>22</v>
      </c>
      <c r="B157" t="s">
        <v>86</v>
      </c>
      <c r="C157" t="s">
        <v>9</v>
      </c>
      <c r="D157">
        <v>3.41</v>
      </c>
      <c r="E157" s="1">
        <v>25761779</v>
      </c>
      <c r="F157" s="1">
        <v>878477</v>
      </c>
      <c r="G157" s="4">
        <f t="shared" si="7"/>
        <v>1206370.2584669166</v>
      </c>
      <c r="H157" s="4">
        <f t="shared" si="8"/>
        <v>490805.63295187883</v>
      </c>
      <c r="I157" s="17">
        <f t="shared" si="6"/>
        <v>0.59315506204902135</v>
      </c>
      <c r="J157">
        <v>41.91</v>
      </c>
    </row>
    <row r="158" spans="1:10" x14ac:dyDescent="0.25">
      <c r="A158" t="s">
        <v>23</v>
      </c>
      <c r="B158" t="s">
        <v>86</v>
      </c>
      <c r="C158" t="s">
        <v>9</v>
      </c>
      <c r="D158">
        <v>2.48</v>
      </c>
      <c r="E158" s="1">
        <v>24398730</v>
      </c>
      <c r="F158" s="1">
        <v>605089</v>
      </c>
      <c r="G158" s="4">
        <f t="shared" si="7"/>
        <v>976844.97754007485</v>
      </c>
      <c r="H158" s="4">
        <f t="shared" si="8"/>
        <v>401467.08992245176</v>
      </c>
      <c r="I158" s="17">
        <f t="shared" si="6"/>
        <v>0.58901657975102639</v>
      </c>
      <c r="J158">
        <v>39.229999999999997</v>
      </c>
    </row>
    <row r="159" spans="1:10" x14ac:dyDescent="0.25">
      <c r="A159" t="s">
        <v>24</v>
      </c>
      <c r="B159" t="s">
        <v>86</v>
      </c>
      <c r="C159" t="s">
        <v>9</v>
      </c>
      <c r="D159">
        <v>1.34</v>
      </c>
      <c r="E159" s="1">
        <v>25060822</v>
      </c>
      <c r="F159" s="1">
        <v>335815</v>
      </c>
      <c r="G159" s="4">
        <f t="shared" si="7"/>
        <v>716615.79326202243</v>
      </c>
      <c r="H159" s="4">
        <f t="shared" si="8"/>
        <v>302515.94799585262</v>
      </c>
      <c r="I159" s="17">
        <f t="shared" si="6"/>
        <v>0.57785475726287672</v>
      </c>
      <c r="J159">
        <v>39.75</v>
      </c>
    </row>
    <row r="160" spans="1:10" x14ac:dyDescent="0.25">
      <c r="A160" t="s">
        <v>25</v>
      </c>
      <c r="B160" t="s">
        <v>86</v>
      </c>
      <c r="C160" t="s">
        <v>9</v>
      </c>
      <c r="D160">
        <v>2.12</v>
      </c>
      <c r="E160" s="1">
        <v>26086226</v>
      </c>
      <c r="F160" s="1">
        <v>553028</v>
      </c>
      <c r="G160" s="4">
        <f t="shared" si="7"/>
        <v>450055.23797860672</v>
      </c>
      <c r="H160" s="4">
        <f t="shared" si="8"/>
        <v>360890.44502628694</v>
      </c>
      <c r="I160" s="17">
        <f t="shared" si="6"/>
        <v>0.19811966493890293</v>
      </c>
      <c r="J160">
        <v>41.61</v>
      </c>
    </row>
    <row r="161" spans="1:10" x14ac:dyDescent="0.25">
      <c r="A161" t="s">
        <v>26</v>
      </c>
      <c r="B161" t="s">
        <v>86</v>
      </c>
      <c r="C161" t="s">
        <v>9</v>
      </c>
      <c r="D161">
        <v>1.69</v>
      </c>
      <c r="E161" s="1">
        <v>26162150</v>
      </c>
      <c r="F161" s="1">
        <v>442140</v>
      </c>
      <c r="G161" s="4">
        <f t="shared" si="7"/>
        <v>522136.17139358202</v>
      </c>
      <c r="H161" s="4">
        <f t="shared" si="8"/>
        <v>312951.0828143789</v>
      </c>
      <c r="I161" s="17">
        <f t="shared" si="6"/>
        <v>0.40063320650796491</v>
      </c>
      <c r="J161">
        <v>41.46</v>
      </c>
    </row>
    <row r="162" spans="1:10" x14ac:dyDescent="0.25">
      <c r="A162" t="s">
        <v>27</v>
      </c>
      <c r="B162" t="s">
        <v>86</v>
      </c>
      <c r="C162" t="s">
        <v>9</v>
      </c>
      <c r="D162">
        <v>1.75</v>
      </c>
      <c r="E162" s="1">
        <v>24448773</v>
      </c>
      <c r="F162" s="1">
        <v>427854</v>
      </c>
      <c r="G162" s="4">
        <f t="shared" si="7"/>
        <v>466138.85141807457</v>
      </c>
      <c r="H162" s="4">
        <f t="shared" si="8"/>
        <v>232387.62252246524</v>
      </c>
      <c r="I162" s="17">
        <f t="shared" si="6"/>
        <v>0.50146266114591798</v>
      </c>
      <c r="J162">
        <v>38.68</v>
      </c>
    </row>
    <row r="163" spans="1:10" x14ac:dyDescent="0.25">
      <c r="A163" t="s">
        <v>28</v>
      </c>
      <c r="B163" t="s">
        <v>86</v>
      </c>
      <c r="C163" t="s">
        <v>9</v>
      </c>
      <c r="D163">
        <v>3.33</v>
      </c>
      <c r="E163" s="1">
        <v>24500483</v>
      </c>
      <c r="F163" s="1">
        <v>815866</v>
      </c>
      <c r="G163" s="4">
        <f t="shared" si="7"/>
        <v>439339.45542542235</v>
      </c>
      <c r="H163" s="4">
        <f t="shared" si="8"/>
        <v>78461.257964360761</v>
      </c>
      <c r="I163" s="17">
        <f t="shared" si="6"/>
        <v>0.82141085441919859</v>
      </c>
      <c r="J163">
        <v>39.31</v>
      </c>
    </row>
    <row r="164" spans="1:10" x14ac:dyDescent="0.25">
      <c r="A164" t="s">
        <v>29</v>
      </c>
      <c r="B164" t="s">
        <v>86</v>
      </c>
      <c r="C164" t="s">
        <v>9</v>
      </c>
      <c r="D164">
        <v>4.8099999999999996</v>
      </c>
      <c r="E164" s="1">
        <v>24901807</v>
      </c>
      <c r="F164" s="1">
        <v>1197777</v>
      </c>
      <c r="G164" s="4">
        <f t="shared" si="7"/>
        <v>702908.03662762663</v>
      </c>
      <c r="H164" s="4">
        <f t="shared" si="8"/>
        <v>223336.33534425666</v>
      </c>
      <c r="I164" s="17">
        <f t="shared" si="6"/>
        <v>0.68226805825728298</v>
      </c>
      <c r="J164">
        <v>40.49</v>
      </c>
    </row>
    <row r="165" spans="1:10" x14ac:dyDescent="0.25">
      <c r="A165" t="s">
        <v>30</v>
      </c>
      <c r="B165" t="s">
        <v>86</v>
      </c>
      <c r="C165" t="s">
        <v>9</v>
      </c>
      <c r="D165">
        <v>4.8600000000000003</v>
      </c>
      <c r="E165" s="1">
        <v>25209722</v>
      </c>
      <c r="F165" s="1">
        <v>1225192</v>
      </c>
      <c r="G165" s="4">
        <f t="shared" si="7"/>
        <v>1049316.3109882879</v>
      </c>
      <c r="H165" s="4">
        <f t="shared" si="8"/>
        <v>359691.1914066578</v>
      </c>
      <c r="I165" s="17">
        <f t="shared" si="6"/>
        <v>0.65721376134152887</v>
      </c>
      <c r="J165">
        <v>40.93</v>
      </c>
    </row>
    <row r="166" spans="1:10" x14ac:dyDescent="0.25">
      <c r="A166" t="s">
        <v>31</v>
      </c>
      <c r="B166" t="s">
        <v>86</v>
      </c>
      <c r="C166" t="s">
        <v>9</v>
      </c>
      <c r="D166">
        <v>5</v>
      </c>
      <c r="E166" s="1">
        <v>24835579</v>
      </c>
      <c r="F166" s="1">
        <v>1241779</v>
      </c>
      <c r="G166" s="4">
        <f t="shared" si="7"/>
        <v>1172429.2932964861</v>
      </c>
      <c r="H166" s="4">
        <f t="shared" si="8"/>
        <v>373095.06727010978</v>
      </c>
      <c r="I166" s="17">
        <f t="shared" si="6"/>
        <v>0.68177606154731174</v>
      </c>
      <c r="J166">
        <v>40.29</v>
      </c>
    </row>
    <row r="167" spans="1:10" x14ac:dyDescent="0.25">
      <c r="A167" t="s">
        <v>32</v>
      </c>
      <c r="B167" t="s">
        <v>86</v>
      </c>
      <c r="C167" t="s">
        <v>9</v>
      </c>
      <c r="D167">
        <v>5.05</v>
      </c>
      <c r="E167" s="1">
        <v>24834397</v>
      </c>
      <c r="F167" s="1">
        <v>1254137</v>
      </c>
      <c r="G167" s="4">
        <f t="shared" si="7"/>
        <v>1220974.0879889457</v>
      </c>
      <c r="H167" s="4">
        <f t="shared" si="8"/>
        <v>305852.32314220711</v>
      </c>
      <c r="I167" s="17">
        <f t="shared" si="6"/>
        <v>0.74950138078198414</v>
      </c>
      <c r="J167">
        <v>40.229999999999997</v>
      </c>
    </row>
    <row r="168" spans="1:10" x14ac:dyDescent="0.25">
      <c r="A168" t="s">
        <v>33</v>
      </c>
      <c r="B168" t="s">
        <v>86</v>
      </c>
      <c r="C168" t="s">
        <v>9</v>
      </c>
      <c r="D168">
        <v>3.19</v>
      </c>
      <c r="E168" s="1">
        <v>26320624</v>
      </c>
      <c r="F168" s="1">
        <v>839628</v>
      </c>
      <c r="G168" s="4">
        <f t="shared" si="7"/>
        <v>1244188.1263966835</v>
      </c>
      <c r="H168" s="4">
        <f t="shared" si="8"/>
        <v>110817.29488706595</v>
      </c>
      <c r="I168" s="17">
        <f t="shared" si="6"/>
        <v>0.91093204272250539</v>
      </c>
      <c r="J168">
        <v>41.72</v>
      </c>
    </row>
    <row r="169" spans="1:10" x14ac:dyDescent="0.25">
      <c r="A169" t="s">
        <v>34</v>
      </c>
      <c r="B169" t="s">
        <v>86</v>
      </c>
      <c r="C169" t="s">
        <v>9</v>
      </c>
      <c r="D169">
        <v>6.64</v>
      </c>
      <c r="E169" s="1">
        <v>25273112</v>
      </c>
      <c r="F169" s="1">
        <v>1678135</v>
      </c>
      <c r="G169" s="4">
        <f t="shared" si="7"/>
        <v>960996.03791900503</v>
      </c>
      <c r="H169" s="4">
        <f t="shared" si="8"/>
        <v>237752.01115379084</v>
      </c>
      <c r="I169" s="17">
        <f t="shared" si="6"/>
        <v>0.75259834403830372</v>
      </c>
      <c r="J169">
        <v>41.46</v>
      </c>
    </row>
    <row r="170" spans="1:10" x14ac:dyDescent="0.25">
      <c r="A170" t="s">
        <v>35</v>
      </c>
      <c r="B170" t="s">
        <v>86</v>
      </c>
      <c r="C170" t="s">
        <v>9</v>
      </c>
      <c r="D170">
        <v>9.89</v>
      </c>
      <c r="E170" s="1">
        <v>24460810</v>
      </c>
      <c r="F170" s="1">
        <v>2419174</v>
      </c>
      <c r="G170" s="4">
        <f t="shared" si="7"/>
        <v>1462993.3113757016</v>
      </c>
      <c r="H170" s="4">
        <f t="shared" si="8"/>
        <v>475764.98593940272</v>
      </c>
      <c r="I170" s="17">
        <f t="shared" si="6"/>
        <v>0.67480030001502533</v>
      </c>
      <c r="J170">
        <v>41.48</v>
      </c>
    </row>
    <row r="171" spans="1:10" x14ac:dyDescent="0.25">
      <c r="A171" t="s">
        <v>36</v>
      </c>
      <c r="B171" t="s">
        <v>86</v>
      </c>
      <c r="C171" t="s">
        <v>9</v>
      </c>
      <c r="D171">
        <v>7.49</v>
      </c>
      <c r="E171" s="1">
        <v>24340228</v>
      </c>
      <c r="F171" s="1">
        <v>1823083</v>
      </c>
      <c r="G171" s="4">
        <f t="shared" si="7"/>
        <v>2132319.7934127101</v>
      </c>
      <c r="H171" s="4">
        <f t="shared" si="8"/>
        <v>728523.32291715161</v>
      </c>
      <c r="I171" s="17">
        <f t="shared" si="6"/>
        <v>0.65834237192387857</v>
      </c>
      <c r="J171">
        <v>40.119999999999997</v>
      </c>
    </row>
    <row r="172" spans="1:10" x14ac:dyDescent="0.25">
      <c r="A172" t="s">
        <v>37</v>
      </c>
      <c r="B172" t="s">
        <v>86</v>
      </c>
      <c r="C172" t="s">
        <v>9</v>
      </c>
      <c r="D172">
        <v>4</v>
      </c>
      <c r="E172" s="1">
        <v>25857744</v>
      </c>
      <c r="F172" s="1">
        <v>1034310</v>
      </c>
      <c r="G172" s="4">
        <f t="shared" si="7"/>
        <v>1915854.0380238127</v>
      </c>
      <c r="H172" s="4">
        <f t="shared" si="8"/>
        <v>712787.29754694225</v>
      </c>
      <c r="I172" s="17">
        <f t="shared" si="6"/>
        <v>0.62795323474528553</v>
      </c>
      <c r="J172">
        <v>40.98</v>
      </c>
    </row>
    <row r="173" spans="1:10" x14ac:dyDescent="0.25">
      <c r="A173" t="s">
        <v>38</v>
      </c>
      <c r="B173" t="s">
        <v>86</v>
      </c>
      <c r="C173" t="s">
        <v>9</v>
      </c>
      <c r="D173">
        <v>7.03</v>
      </c>
      <c r="E173" s="1">
        <v>24668734</v>
      </c>
      <c r="F173" s="1">
        <v>1734212</v>
      </c>
      <c r="G173" s="4">
        <f t="shared" si="7"/>
        <v>1298773.2114071436</v>
      </c>
      <c r="H173" s="4">
        <f t="shared" si="8"/>
        <v>771800.66396134999</v>
      </c>
      <c r="I173" s="17">
        <f t="shared" si="6"/>
        <v>0.40574639422601749</v>
      </c>
      <c r="J173">
        <v>40.29</v>
      </c>
    </row>
    <row r="174" spans="1:10" x14ac:dyDescent="0.25">
      <c r="A174" t="s">
        <v>39</v>
      </c>
      <c r="B174" t="s">
        <v>86</v>
      </c>
      <c r="C174" t="s">
        <v>9</v>
      </c>
      <c r="D174">
        <v>8.92</v>
      </c>
      <c r="E174" s="1">
        <v>23483603</v>
      </c>
      <c r="F174" s="1">
        <v>2094737</v>
      </c>
      <c r="G174" s="4">
        <f t="shared" si="7"/>
        <v>1603580.363422143</v>
      </c>
      <c r="H174" s="4">
        <f t="shared" si="8"/>
        <v>595078.2088618601</v>
      </c>
      <c r="I174" s="17">
        <f t="shared" si="6"/>
        <v>0.62890652540049496</v>
      </c>
      <c r="J174">
        <v>39.06</v>
      </c>
    </row>
    <row r="175" spans="1:10" x14ac:dyDescent="0.25">
      <c r="A175" t="s">
        <v>40</v>
      </c>
      <c r="B175" t="s">
        <v>86</v>
      </c>
      <c r="C175" t="s">
        <v>9</v>
      </c>
      <c r="D175">
        <v>8.73</v>
      </c>
      <c r="E175" s="1">
        <v>23303745</v>
      </c>
      <c r="F175" s="1">
        <v>2034417</v>
      </c>
      <c r="G175" s="4">
        <f t="shared" si="7"/>
        <v>1947390.0090266429</v>
      </c>
      <c r="H175" s="4">
        <f t="shared" si="8"/>
        <v>634550.14806843456</v>
      </c>
      <c r="I175" s="17">
        <f t="shared" si="6"/>
        <v>0.67415353620634033</v>
      </c>
      <c r="J175">
        <v>38.6</v>
      </c>
    </row>
    <row r="176" spans="1:10" x14ac:dyDescent="0.25">
      <c r="A176" t="s">
        <v>41</v>
      </c>
      <c r="B176" t="s">
        <v>86</v>
      </c>
      <c r="C176" t="s">
        <v>9</v>
      </c>
      <c r="D176">
        <v>4.59</v>
      </c>
      <c r="E176" s="1">
        <v>25022998</v>
      </c>
      <c r="F176" s="1">
        <v>1148556</v>
      </c>
      <c r="G176" s="4">
        <f t="shared" si="7"/>
        <v>2008308.9027079926</v>
      </c>
      <c r="H176" s="4">
        <f t="shared" si="8"/>
        <v>382280.64622018387</v>
      </c>
      <c r="I176" s="17">
        <f t="shared" si="6"/>
        <v>0.80965047473288654</v>
      </c>
      <c r="J176">
        <v>39.56</v>
      </c>
    </row>
    <row r="177" spans="1:10" x14ac:dyDescent="0.25">
      <c r="A177" t="s">
        <v>42</v>
      </c>
      <c r="B177" t="s">
        <v>86</v>
      </c>
      <c r="C177" t="s">
        <v>9</v>
      </c>
      <c r="D177">
        <v>9.25</v>
      </c>
      <c r="E177" s="1">
        <v>23429236</v>
      </c>
      <c r="F177" s="1">
        <v>2167204</v>
      </c>
      <c r="G177" s="4">
        <f t="shared" si="7"/>
        <v>1406481.8708123977</v>
      </c>
      <c r="H177" s="4">
        <f t="shared" si="8"/>
        <v>573870.94731805602</v>
      </c>
      <c r="I177" s="17">
        <f t="shared" si="6"/>
        <v>0.59198126955836083</v>
      </c>
      <c r="J177">
        <v>38.86</v>
      </c>
    </row>
    <row r="178" spans="1:10" x14ac:dyDescent="0.25">
      <c r="A178" t="s">
        <v>43</v>
      </c>
      <c r="B178" t="s">
        <v>86</v>
      </c>
      <c r="C178" t="s">
        <v>9</v>
      </c>
      <c r="D178">
        <v>10.75</v>
      </c>
      <c r="E178" s="1">
        <v>22893899</v>
      </c>
      <c r="F178" s="1">
        <v>2461094</v>
      </c>
      <c r="G178" s="4">
        <f t="shared" si="7"/>
        <v>1938987.3612437192</v>
      </c>
      <c r="H178" s="4">
        <f t="shared" si="8"/>
        <v>664692.13643320499</v>
      </c>
      <c r="I178" s="17">
        <f t="shared" si="6"/>
        <v>0.65719625113654512</v>
      </c>
      <c r="J178">
        <v>38.53</v>
      </c>
    </row>
    <row r="179" spans="1:10" x14ac:dyDescent="0.25">
      <c r="A179" t="s">
        <v>44</v>
      </c>
      <c r="B179" t="s">
        <v>86</v>
      </c>
      <c r="C179" t="s">
        <v>9</v>
      </c>
      <c r="D179">
        <v>7.51</v>
      </c>
      <c r="E179" s="1">
        <v>22682550</v>
      </c>
      <c r="F179" s="1">
        <v>1703460</v>
      </c>
      <c r="G179" s="4">
        <f t="shared" si="7"/>
        <v>2304462.0083731157</v>
      </c>
      <c r="H179" s="4">
        <f t="shared" si="8"/>
        <v>728118.24904656783</v>
      </c>
      <c r="I179" s="17">
        <f t="shared" si="6"/>
        <v>0.68403981215528975</v>
      </c>
      <c r="J179">
        <v>36.75</v>
      </c>
    </row>
    <row r="180" spans="1:10" x14ac:dyDescent="0.25">
      <c r="A180" t="s">
        <v>45</v>
      </c>
      <c r="B180" t="s">
        <v>86</v>
      </c>
      <c r="C180" t="s">
        <v>9</v>
      </c>
      <c r="D180">
        <v>7.52</v>
      </c>
      <c r="E180" s="1">
        <v>24277845</v>
      </c>
      <c r="F180" s="1">
        <v>1825694</v>
      </c>
      <c r="G180" s="4">
        <f t="shared" si="7"/>
        <v>1883760.6025119347</v>
      </c>
      <c r="H180" s="4">
        <f t="shared" si="8"/>
        <v>635740.22843129339</v>
      </c>
      <c r="I180" s="17">
        <f t="shared" si="6"/>
        <v>0.66251538142184618</v>
      </c>
      <c r="J180">
        <v>39.26</v>
      </c>
    </row>
    <row r="181" spans="1:10" x14ac:dyDescent="0.25">
      <c r="A181" t="s">
        <v>46</v>
      </c>
      <c r="B181" t="s">
        <v>86</v>
      </c>
      <c r="C181" t="s">
        <v>9</v>
      </c>
      <c r="D181">
        <v>10.89</v>
      </c>
      <c r="E181" s="1">
        <v>23577976</v>
      </c>
      <c r="F181" s="1">
        <v>2567642</v>
      </c>
      <c r="G181" s="4">
        <f t="shared" si="7"/>
        <v>1843113.9807535801</v>
      </c>
      <c r="H181" s="4">
        <f t="shared" si="8"/>
        <v>460858.07165517501</v>
      </c>
      <c r="I181" s="17">
        <f t="shared" si="6"/>
        <v>0.74995682498879024</v>
      </c>
      <c r="J181">
        <v>39.49</v>
      </c>
    </row>
    <row r="182" spans="1:10" x14ac:dyDescent="0.25">
      <c r="A182" t="s">
        <v>47</v>
      </c>
      <c r="B182" t="s">
        <v>86</v>
      </c>
      <c r="C182" t="s">
        <v>9</v>
      </c>
      <c r="D182">
        <v>10.99</v>
      </c>
      <c r="E182" s="1">
        <v>23263629</v>
      </c>
      <c r="F182" s="1">
        <v>2556673</v>
      </c>
      <c r="G182" s="4">
        <f t="shared" si="7"/>
        <v>2350283.5942260739</v>
      </c>
      <c r="H182" s="4">
        <f t="shared" si="8"/>
        <v>544523.03136749507</v>
      </c>
      <c r="I182" s="17">
        <f t="shared" si="6"/>
        <v>0.76831603100782331</v>
      </c>
      <c r="J182">
        <v>38.93</v>
      </c>
    </row>
    <row r="183" spans="1:10" x14ac:dyDescent="0.25">
      <c r="A183" t="s">
        <v>48</v>
      </c>
      <c r="B183" t="s">
        <v>86</v>
      </c>
      <c r="C183" t="s">
        <v>9</v>
      </c>
      <c r="D183">
        <v>11.22</v>
      </c>
      <c r="E183" s="1">
        <v>22098643</v>
      </c>
      <c r="F183" s="1">
        <v>2479468</v>
      </c>
      <c r="G183" s="4">
        <f t="shared" si="7"/>
        <v>2494756.1782678221</v>
      </c>
      <c r="H183" s="4">
        <f t="shared" si="8"/>
        <v>436237.38484764384</v>
      </c>
      <c r="I183" s="17">
        <f t="shared" si="6"/>
        <v>0.82513826856196604</v>
      </c>
      <c r="J183">
        <v>36.99</v>
      </c>
    </row>
    <row r="184" spans="1:10" x14ac:dyDescent="0.25">
      <c r="A184" t="s">
        <v>49</v>
      </c>
      <c r="B184" t="s">
        <v>86</v>
      </c>
      <c r="C184" t="s">
        <v>9</v>
      </c>
      <c r="D184">
        <v>9.27</v>
      </c>
      <c r="E184" s="1">
        <v>24322323</v>
      </c>
      <c r="F184" s="1">
        <v>2254679</v>
      </c>
      <c r="G184" s="4">
        <f t="shared" si="7"/>
        <v>2484054.4534803466</v>
      </c>
      <c r="H184" s="4">
        <f t="shared" si="8"/>
        <v>435036.84360584279</v>
      </c>
      <c r="I184" s="17">
        <f t="shared" si="6"/>
        <v>0.82486823386809272</v>
      </c>
      <c r="J184">
        <v>39.75</v>
      </c>
    </row>
    <row r="185" spans="1:10" x14ac:dyDescent="0.25">
      <c r="A185" t="s">
        <v>50</v>
      </c>
      <c r="B185" t="s">
        <v>86</v>
      </c>
      <c r="C185" t="s">
        <v>9</v>
      </c>
      <c r="D185">
        <v>10.199999999999999</v>
      </c>
      <c r="E185" s="1">
        <v>24097708</v>
      </c>
      <c r="F185" s="1">
        <v>2457966</v>
      </c>
      <c r="G185" s="4">
        <f t="shared" si="7"/>
        <v>2323491.6360441037</v>
      </c>
      <c r="H185" s="4">
        <f t="shared" si="8"/>
        <v>178366.11586824973</v>
      </c>
      <c r="I185" s="17">
        <f t="shared" si="6"/>
        <v>0.92323358814756484</v>
      </c>
      <c r="J185">
        <v>39.71</v>
      </c>
    </row>
    <row r="186" spans="1:10" x14ac:dyDescent="0.25">
      <c r="A186" t="s">
        <v>51</v>
      </c>
      <c r="B186" t="s">
        <v>86</v>
      </c>
      <c r="C186" t="s">
        <v>9</v>
      </c>
      <c r="D186">
        <v>13.44</v>
      </c>
      <c r="E186" s="1">
        <v>23248876</v>
      </c>
      <c r="F186" s="1">
        <v>3124649</v>
      </c>
      <c r="G186" s="4">
        <f t="shared" si="7"/>
        <v>2417623.6908132313</v>
      </c>
      <c r="H186" s="4">
        <f t="shared" si="8"/>
        <v>153764.08511678557</v>
      </c>
      <c r="I186" s="17">
        <f t="shared" si="6"/>
        <v>0.93639866878328659</v>
      </c>
      <c r="J186">
        <v>39.659999999999997</v>
      </c>
    </row>
    <row r="187" spans="1:10" x14ac:dyDescent="0.25">
      <c r="A187" t="s">
        <v>52</v>
      </c>
      <c r="B187" t="s">
        <v>86</v>
      </c>
      <c r="C187" t="s">
        <v>9</v>
      </c>
      <c r="D187">
        <v>11</v>
      </c>
      <c r="E187" s="1">
        <v>22260212</v>
      </c>
      <c r="F187" s="1">
        <v>2448623</v>
      </c>
      <c r="G187" s="4">
        <f t="shared" si="7"/>
        <v>2912541.4072439689</v>
      </c>
      <c r="H187" s="4">
        <f t="shared" si="8"/>
        <v>436112.08079701383</v>
      </c>
      <c r="I187" s="17">
        <f t="shared" si="6"/>
        <v>0.85026407531500448</v>
      </c>
      <c r="J187">
        <v>36.85</v>
      </c>
    </row>
    <row r="188" spans="1:10" x14ac:dyDescent="0.25">
      <c r="A188" t="s">
        <v>53</v>
      </c>
      <c r="B188" t="s">
        <v>86</v>
      </c>
      <c r="C188" t="s">
        <v>9</v>
      </c>
      <c r="D188">
        <v>8.6199999999999992</v>
      </c>
      <c r="E188" s="1">
        <v>23991088</v>
      </c>
      <c r="F188" s="1">
        <v>2068032</v>
      </c>
      <c r="G188" s="4">
        <f t="shared" si="7"/>
        <v>2587798.5221731905</v>
      </c>
      <c r="H188" s="4">
        <f t="shared" si="8"/>
        <v>494364.38348373823</v>
      </c>
      <c r="I188" s="17">
        <f t="shared" si="6"/>
        <v>0.80896334113809631</v>
      </c>
      <c r="J188">
        <v>38.6</v>
      </c>
    </row>
    <row r="189" spans="1:10" x14ac:dyDescent="0.25">
      <c r="A189" t="s">
        <v>54</v>
      </c>
      <c r="B189" t="s">
        <v>86</v>
      </c>
      <c r="C189" t="s">
        <v>9</v>
      </c>
      <c r="D189">
        <v>12.47</v>
      </c>
      <c r="E189" s="1">
        <v>24053140</v>
      </c>
      <c r="F189" s="1">
        <v>2999427</v>
      </c>
      <c r="G189" s="4">
        <f t="shared" si="7"/>
        <v>2223961.9566519568</v>
      </c>
      <c r="H189" s="4">
        <f t="shared" si="8"/>
        <v>573080.0740973989</v>
      </c>
      <c r="I189" s="17">
        <f t="shared" si="6"/>
        <v>0.74231570266600377</v>
      </c>
      <c r="J189">
        <v>40.31</v>
      </c>
    </row>
    <row r="190" spans="1:10" x14ac:dyDescent="0.25">
      <c r="A190" t="s">
        <v>55</v>
      </c>
      <c r="B190" t="s">
        <v>86</v>
      </c>
      <c r="C190" t="s">
        <v>9</v>
      </c>
      <c r="D190">
        <v>12.4</v>
      </c>
      <c r="E190" s="1">
        <v>22445999</v>
      </c>
      <c r="F190" s="1">
        <v>2783304</v>
      </c>
      <c r="G190" s="4">
        <f t="shared" si="7"/>
        <v>2766787.4869955871</v>
      </c>
      <c r="H190" s="4">
        <f t="shared" si="8"/>
        <v>601864.75767860492</v>
      </c>
      <c r="I190" s="17">
        <f t="shared" si="6"/>
        <v>0.78246802094216472</v>
      </c>
      <c r="J190">
        <v>37.51</v>
      </c>
    </row>
    <row r="191" spans="1:10" x14ac:dyDescent="0.25">
      <c r="A191" t="s">
        <v>56</v>
      </c>
      <c r="B191" t="s">
        <v>86</v>
      </c>
      <c r="C191" t="s">
        <v>9</v>
      </c>
      <c r="D191">
        <v>10.16</v>
      </c>
      <c r="E191" s="1">
        <v>22914536</v>
      </c>
      <c r="F191" s="1">
        <v>2328117</v>
      </c>
      <c r="G191" s="4">
        <f t="shared" si="7"/>
        <v>2778349.046098676</v>
      </c>
      <c r="H191" s="4">
        <f t="shared" si="8"/>
        <v>539065.87916154286</v>
      </c>
      <c r="I191" s="17">
        <f t="shared" si="6"/>
        <v>0.80597618577892782</v>
      </c>
      <c r="J191">
        <v>37.25</v>
      </c>
    </row>
    <row r="192" spans="1:10" x14ac:dyDescent="0.25">
      <c r="A192" t="s">
        <v>57</v>
      </c>
      <c r="B192" t="s">
        <v>86</v>
      </c>
      <c r="C192" t="s">
        <v>9</v>
      </c>
      <c r="D192">
        <v>9.1300000000000008</v>
      </c>
      <c r="E192" s="1">
        <v>23409006</v>
      </c>
      <c r="F192" s="1">
        <v>2137242</v>
      </c>
      <c r="G192" s="4">
        <f t="shared" si="7"/>
        <v>2463186.6138296025</v>
      </c>
      <c r="H192" s="4">
        <f t="shared" si="8"/>
        <v>517792.66249172483</v>
      </c>
      <c r="I192" s="17">
        <f t="shared" si="6"/>
        <v>0.7897874811495933</v>
      </c>
      <c r="J192">
        <v>37.54</v>
      </c>
    </row>
    <row r="193" spans="1:10" x14ac:dyDescent="0.25">
      <c r="A193" t="s">
        <v>58</v>
      </c>
      <c r="B193" t="s">
        <v>86</v>
      </c>
      <c r="C193" t="s">
        <v>9</v>
      </c>
      <c r="D193">
        <v>9.61</v>
      </c>
      <c r="E193" s="1">
        <v>23168192</v>
      </c>
      <c r="F193" s="1">
        <v>2226463</v>
      </c>
      <c r="G193" s="4">
        <f t="shared" si="7"/>
        <v>2235025.3841488808</v>
      </c>
      <c r="H193" s="4">
        <f t="shared" si="8"/>
        <v>321051.18066571769</v>
      </c>
      <c r="I193" s="17">
        <f t="shared" si="6"/>
        <v>0.85635457076118304</v>
      </c>
      <c r="J193">
        <v>37.28</v>
      </c>
    </row>
    <row r="194" spans="1:10" x14ac:dyDescent="0.25">
      <c r="A194" t="s">
        <v>59</v>
      </c>
      <c r="B194" t="s">
        <v>86</v>
      </c>
      <c r="C194" t="s">
        <v>9</v>
      </c>
      <c r="D194">
        <v>15.39</v>
      </c>
      <c r="E194" s="1">
        <v>22667882</v>
      </c>
      <c r="F194" s="1">
        <v>3488587</v>
      </c>
      <c r="G194" s="4">
        <f t="shared" si="7"/>
        <v>2229031.7152446639</v>
      </c>
      <c r="H194" s="4">
        <f t="shared" si="8"/>
        <v>320947.60789524612</v>
      </c>
      <c r="I194" s="17">
        <f t="shared" si="6"/>
        <v>0.85601478628579397</v>
      </c>
      <c r="J194">
        <v>38.880000000000003</v>
      </c>
    </row>
    <row r="195" spans="1:10" x14ac:dyDescent="0.25">
      <c r="A195" t="s">
        <v>60</v>
      </c>
      <c r="B195" t="s">
        <v>86</v>
      </c>
      <c r="C195" t="s">
        <v>9</v>
      </c>
      <c r="D195">
        <v>45.09</v>
      </c>
      <c r="E195" s="1">
        <v>14645275</v>
      </c>
      <c r="F195" s="1">
        <v>6603554</v>
      </c>
      <c r="G195" s="4">
        <f t="shared" si="7"/>
        <v>3110720.4145733989</v>
      </c>
      <c r="H195" s="4">
        <f t="shared" si="8"/>
        <v>751175.2394441521</v>
      </c>
      <c r="I195" s="17">
        <f t="shared" ref="I195:I258" si="9">(G195-H195)/G195</f>
        <v>0.75852049064744786</v>
      </c>
      <c r="J195">
        <v>38.630000000000003</v>
      </c>
    </row>
    <row r="196" spans="1:10" x14ac:dyDescent="0.25">
      <c r="A196" t="s">
        <v>61</v>
      </c>
      <c r="B196" t="s">
        <v>86</v>
      </c>
      <c r="C196" t="s">
        <v>9</v>
      </c>
      <c r="D196">
        <v>47.26</v>
      </c>
      <c r="E196" s="1">
        <v>14050319</v>
      </c>
      <c r="F196" s="1">
        <v>6640181</v>
      </c>
      <c r="G196" s="4">
        <f t="shared" ref="G196:G259" si="10">0.7*F195+0.3*G195</f>
        <v>5555703.9243720192</v>
      </c>
      <c r="H196" s="4">
        <f t="shared" si="8"/>
        <v>2143707.0139722493</v>
      </c>
      <c r="I196" s="17">
        <f t="shared" si="9"/>
        <v>0.61414304233021921</v>
      </c>
      <c r="J196">
        <v>38.5</v>
      </c>
    </row>
    <row r="197" spans="1:10" x14ac:dyDescent="0.25">
      <c r="A197" t="s">
        <v>62</v>
      </c>
      <c r="B197" t="s">
        <v>86</v>
      </c>
      <c r="C197" t="s">
        <v>9</v>
      </c>
      <c r="D197">
        <v>18.54</v>
      </c>
      <c r="E197" s="1">
        <v>20855544</v>
      </c>
      <c r="F197" s="1">
        <v>3866618</v>
      </c>
      <c r="G197" s="4">
        <f t="shared" si="10"/>
        <v>6314837.877311605</v>
      </c>
      <c r="H197" s="4">
        <f t="shared" si="8"/>
        <v>2233267.8969320389</v>
      </c>
      <c r="I197" s="17">
        <f t="shared" si="9"/>
        <v>0.64634596480206064</v>
      </c>
      <c r="J197">
        <v>36.92</v>
      </c>
    </row>
    <row r="198" spans="1:10" x14ac:dyDescent="0.25">
      <c r="A198" t="s">
        <v>63</v>
      </c>
      <c r="B198" t="s">
        <v>86</v>
      </c>
      <c r="C198" t="s">
        <v>9</v>
      </c>
      <c r="D198">
        <v>12.03</v>
      </c>
      <c r="E198" s="1">
        <v>21962598</v>
      </c>
      <c r="F198" s="1">
        <v>2642101</v>
      </c>
      <c r="G198" s="4">
        <f t="shared" si="10"/>
        <v>4601083.9631934809</v>
      </c>
      <c r="H198" s="4">
        <f t="shared" ref="H198:H261" si="11">SQRT(SUMXMY2(F195:F197,G195:G197)/3)</f>
        <v>2540981.2770338883</v>
      </c>
      <c r="I198" s="17">
        <f t="shared" si="9"/>
        <v>0.44774290202905453</v>
      </c>
      <c r="J198">
        <v>35.92</v>
      </c>
    </row>
    <row r="199" spans="1:10" x14ac:dyDescent="0.25">
      <c r="A199" t="s">
        <v>64</v>
      </c>
      <c r="B199" t="s">
        <v>86</v>
      </c>
      <c r="C199" t="s">
        <v>9</v>
      </c>
      <c r="D199">
        <v>12.25</v>
      </c>
      <c r="E199" s="1">
        <v>21029375</v>
      </c>
      <c r="F199" s="1">
        <v>2576098</v>
      </c>
      <c r="G199" s="4">
        <f t="shared" si="10"/>
        <v>3229795.8889580444</v>
      </c>
      <c r="H199" s="4">
        <f t="shared" si="11"/>
        <v>1915505.6203962248</v>
      </c>
      <c r="I199" s="17">
        <f t="shared" si="9"/>
        <v>0.40692672656346068</v>
      </c>
      <c r="J199">
        <v>34.409999999999997</v>
      </c>
    </row>
    <row r="200" spans="1:10" x14ac:dyDescent="0.25">
      <c r="A200" t="s">
        <v>65</v>
      </c>
      <c r="B200" t="s">
        <v>86</v>
      </c>
      <c r="C200" t="s">
        <v>9</v>
      </c>
      <c r="D200">
        <v>11.1</v>
      </c>
      <c r="E200" s="1">
        <v>23885640</v>
      </c>
      <c r="F200" s="1">
        <v>2651306</v>
      </c>
      <c r="G200" s="4">
        <f t="shared" si="10"/>
        <v>2772207.3666874133</v>
      </c>
      <c r="H200" s="4">
        <f t="shared" si="11"/>
        <v>1849208.4565902031</v>
      </c>
      <c r="I200" s="17">
        <f t="shared" si="9"/>
        <v>0.33294728280017771</v>
      </c>
      <c r="J200">
        <v>38.49</v>
      </c>
    </row>
    <row r="201" spans="1:10" x14ac:dyDescent="0.25">
      <c r="A201" t="s">
        <v>66</v>
      </c>
      <c r="B201" t="s">
        <v>86</v>
      </c>
      <c r="C201" t="s">
        <v>9</v>
      </c>
      <c r="D201">
        <v>9.66</v>
      </c>
      <c r="E201" s="1">
        <v>22619048</v>
      </c>
      <c r="F201" s="1">
        <v>2185000</v>
      </c>
      <c r="G201" s="4">
        <f t="shared" si="10"/>
        <v>2687576.4100062242</v>
      </c>
      <c r="H201" s="4">
        <f t="shared" si="11"/>
        <v>1194369.0552724756</v>
      </c>
      <c r="I201" s="17">
        <f t="shared" si="9"/>
        <v>0.55559624246377814</v>
      </c>
      <c r="J201">
        <v>35.79</v>
      </c>
    </row>
    <row r="202" spans="1:10" x14ac:dyDescent="0.25">
      <c r="A202" t="s">
        <v>67</v>
      </c>
      <c r="B202" t="s">
        <v>86</v>
      </c>
      <c r="C202" t="s">
        <v>9</v>
      </c>
      <c r="D202">
        <v>9.23</v>
      </c>
      <c r="E202" s="1">
        <v>22910615</v>
      </c>
      <c r="F202" s="1">
        <v>2114650</v>
      </c>
      <c r="G202" s="4">
        <f t="shared" si="10"/>
        <v>2335772.9230018673</v>
      </c>
      <c r="H202" s="4">
        <f t="shared" si="11"/>
        <v>481151.78422539128</v>
      </c>
      <c r="I202" s="17">
        <f t="shared" si="9"/>
        <v>0.7940074655857261</v>
      </c>
      <c r="J202">
        <v>36</v>
      </c>
    </row>
    <row r="203" spans="1:10" x14ac:dyDescent="0.25">
      <c r="A203" t="s">
        <v>68</v>
      </c>
      <c r="B203" t="s">
        <v>86</v>
      </c>
      <c r="C203" t="s">
        <v>9</v>
      </c>
      <c r="D203">
        <v>11.85</v>
      </c>
      <c r="E203" s="1">
        <v>21443715</v>
      </c>
      <c r="F203" s="1">
        <v>2541080</v>
      </c>
      <c r="G203" s="4">
        <f t="shared" si="10"/>
        <v>2180986.8769005602</v>
      </c>
      <c r="H203" s="4">
        <f t="shared" si="11"/>
        <v>324600.02846504212</v>
      </c>
      <c r="I203" s="17">
        <f t="shared" si="9"/>
        <v>0.85116827987230392</v>
      </c>
      <c r="J203">
        <v>34.630000000000003</v>
      </c>
    </row>
    <row r="204" spans="1:10" x14ac:dyDescent="0.25">
      <c r="A204" t="s">
        <v>69</v>
      </c>
      <c r="B204" t="s">
        <v>86</v>
      </c>
      <c r="C204" t="s">
        <v>9</v>
      </c>
      <c r="D204">
        <v>9.67</v>
      </c>
      <c r="E204" s="1">
        <v>25019470</v>
      </c>
      <c r="F204" s="1">
        <v>2419383</v>
      </c>
      <c r="G204" s="4">
        <f t="shared" si="10"/>
        <v>2433052.0630701678</v>
      </c>
      <c r="H204" s="4">
        <f t="shared" si="11"/>
        <v>379097.81159798428</v>
      </c>
      <c r="I204" s="17">
        <f t="shared" si="9"/>
        <v>0.84418836844797462</v>
      </c>
      <c r="J204">
        <v>39.340000000000003</v>
      </c>
    </row>
    <row r="205" spans="1:10" x14ac:dyDescent="0.25">
      <c r="A205" t="s">
        <v>70</v>
      </c>
      <c r="B205" t="s">
        <v>86</v>
      </c>
      <c r="C205" t="s">
        <v>9</v>
      </c>
      <c r="D205">
        <v>11.2</v>
      </c>
      <c r="E205" s="1">
        <v>22609883</v>
      </c>
      <c r="F205" s="1">
        <v>2532307</v>
      </c>
      <c r="G205" s="4">
        <f t="shared" si="10"/>
        <v>2423483.7189210504</v>
      </c>
      <c r="H205" s="4">
        <f t="shared" si="11"/>
        <v>244096.46157862418</v>
      </c>
      <c r="I205" s="17">
        <f t="shared" si="9"/>
        <v>0.89927868725798676</v>
      </c>
      <c r="J205">
        <v>36.090000000000003</v>
      </c>
    </row>
    <row r="206" spans="1:10" x14ac:dyDescent="0.25">
      <c r="A206" t="s">
        <v>71</v>
      </c>
      <c r="B206" t="s">
        <v>86</v>
      </c>
      <c r="C206" t="s">
        <v>9</v>
      </c>
      <c r="D206">
        <v>14.1</v>
      </c>
      <c r="E206" s="1">
        <v>22706548</v>
      </c>
      <c r="F206" s="1">
        <v>3201623</v>
      </c>
      <c r="G206" s="4">
        <f t="shared" si="10"/>
        <v>2499660.0156763149</v>
      </c>
      <c r="H206" s="4">
        <f t="shared" si="11"/>
        <v>217329.55550922549</v>
      </c>
      <c r="I206" s="17">
        <f t="shared" si="9"/>
        <v>0.91305635400563701</v>
      </c>
      <c r="J206">
        <v>37.39</v>
      </c>
    </row>
    <row r="207" spans="1:10" x14ac:dyDescent="0.25">
      <c r="A207" t="s">
        <v>72</v>
      </c>
      <c r="B207" t="s">
        <v>86</v>
      </c>
      <c r="C207" t="s">
        <v>9</v>
      </c>
      <c r="D207">
        <v>10.02</v>
      </c>
      <c r="E207" s="1">
        <v>21795163</v>
      </c>
      <c r="F207" s="1">
        <v>2183875</v>
      </c>
      <c r="G207" s="4">
        <f t="shared" si="10"/>
        <v>2991034.1047028941</v>
      </c>
      <c r="H207" s="4">
        <f t="shared" si="11"/>
        <v>410195.63671928481</v>
      </c>
      <c r="I207" s="17">
        <f t="shared" si="9"/>
        <v>0.8628582549178152</v>
      </c>
      <c r="J207">
        <v>34.19</v>
      </c>
    </row>
    <row r="208" spans="1:10" x14ac:dyDescent="0.25">
      <c r="A208" t="s">
        <v>73</v>
      </c>
      <c r="B208" t="s">
        <v>86</v>
      </c>
      <c r="C208" t="s">
        <v>9</v>
      </c>
      <c r="D208">
        <v>13.41</v>
      </c>
      <c r="E208" s="1">
        <v>24240457</v>
      </c>
      <c r="F208" s="1">
        <v>3250645</v>
      </c>
      <c r="G208" s="4">
        <f t="shared" si="10"/>
        <v>2426022.7314108685</v>
      </c>
      <c r="H208" s="4">
        <f t="shared" si="11"/>
        <v>620779.17656500568</v>
      </c>
      <c r="I208" s="17">
        <f t="shared" si="9"/>
        <v>0.74411650454569822</v>
      </c>
      <c r="J208">
        <v>39.42</v>
      </c>
    </row>
    <row r="209" spans="1:10" x14ac:dyDescent="0.25">
      <c r="A209" t="s">
        <v>74</v>
      </c>
      <c r="B209" t="s">
        <v>86</v>
      </c>
      <c r="C209" t="s">
        <v>9</v>
      </c>
      <c r="D209">
        <v>10.14</v>
      </c>
      <c r="E209" s="1">
        <v>22381007</v>
      </c>
      <c r="F209" s="1">
        <v>2269434</v>
      </c>
      <c r="G209" s="4">
        <f t="shared" si="10"/>
        <v>3003258.3194232606</v>
      </c>
      <c r="H209" s="4">
        <f t="shared" si="11"/>
        <v>779799.0633315905</v>
      </c>
      <c r="I209" s="17">
        <f t="shared" si="9"/>
        <v>0.74034898753519762</v>
      </c>
      <c r="J209">
        <v>35</v>
      </c>
    </row>
    <row r="210" spans="1:10" x14ac:dyDescent="0.25">
      <c r="A210" t="s">
        <v>75</v>
      </c>
      <c r="B210" t="s">
        <v>86</v>
      </c>
      <c r="C210" t="s">
        <v>9</v>
      </c>
      <c r="D210">
        <v>12.38</v>
      </c>
      <c r="E210" s="1">
        <v>22386909</v>
      </c>
      <c r="F210" s="1">
        <v>2771499</v>
      </c>
      <c r="G210" s="4">
        <f t="shared" si="10"/>
        <v>2489581.2958269781</v>
      </c>
      <c r="H210" s="4">
        <f t="shared" si="11"/>
        <v>789515.85120985692</v>
      </c>
      <c r="I210" s="17">
        <f t="shared" si="9"/>
        <v>0.68287203453318079</v>
      </c>
      <c r="J210">
        <v>35.83</v>
      </c>
    </row>
    <row r="211" spans="1:10" x14ac:dyDescent="0.25">
      <c r="A211" t="s">
        <v>76</v>
      </c>
      <c r="B211" t="s">
        <v>86</v>
      </c>
      <c r="C211" t="s">
        <v>9</v>
      </c>
      <c r="D211">
        <v>12.76</v>
      </c>
      <c r="E211" s="1">
        <v>21150536</v>
      </c>
      <c r="F211" s="1">
        <v>2698808</v>
      </c>
      <c r="G211" s="4">
        <f t="shared" si="10"/>
        <v>2686923.6887480933</v>
      </c>
      <c r="H211" s="4">
        <f t="shared" si="11"/>
        <v>657768.35070215131</v>
      </c>
      <c r="I211" s="17">
        <f t="shared" si="9"/>
        <v>0.7551964897787542</v>
      </c>
      <c r="J211">
        <v>33.92</v>
      </c>
    </row>
    <row r="212" spans="1:10" x14ac:dyDescent="0.25">
      <c r="A212" t="s">
        <v>77</v>
      </c>
      <c r="B212" t="s">
        <v>86</v>
      </c>
      <c r="C212" t="s">
        <v>9</v>
      </c>
      <c r="D212">
        <v>9.01</v>
      </c>
      <c r="E212" s="1">
        <v>23743741</v>
      </c>
      <c r="F212" s="1">
        <v>2139311</v>
      </c>
      <c r="G212" s="4">
        <f t="shared" si="10"/>
        <v>2695242.7066244278</v>
      </c>
      <c r="H212" s="4">
        <f t="shared" si="11"/>
        <v>453915.17583396257</v>
      </c>
      <c r="I212" s="17">
        <f t="shared" si="9"/>
        <v>0.8315865303268164</v>
      </c>
      <c r="J212">
        <v>36.43</v>
      </c>
    </row>
    <row r="213" spans="1:10" x14ac:dyDescent="0.25">
      <c r="A213" t="s">
        <v>78</v>
      </c>
      <c r="B213" t="s">
        <v>86</v>
      </c>
      <c r="C213" t="s">
        <v>9</v>
      </c>
      <c r="D213">
        <v>13.72</v>
      </c>
      <c r="E213" s="1">
        <v>21922951</v>
      </c>
      <c r="F213" s="1">
        <v>3007829</v>
      </c>
      <c r="G213" s="4">
        <f t="shared" si="10"/>
        <v>2306090.5119873285</v>
      </c>
      <c r="H213" s="4">
        <f t="shared" si="11"/>
        <v>359943.92674900003</v>
      </c>
      <c r="I213" s="17">
        <f t="shared" si="9"/>
        <v>0.84391595868506919</v>
      </c>
      <c r="J213">
        <v>35.4</v>
      </c>
    </row>
    <row r="214" spans="1:10" x14ac:dyDescent="0.25">
      <c r="A214" t="s">
        <v>79</v>
      </c>
      <c r="B214" t="s">
        <v>86</v>
      </c>
      <c r="C214" t="s">
        <v>9</v>
      </c>
      <c r="D214">
        <v>13.95</v>
      </c>
      <c r="E214" s="1">
        <v>21630814</v>
      </c>
      <c r="F214" s="1">
        <v>3017499</v>
      </c>
      <c r="G214" s="4">
        <f t="shared" si="10"/>
        <v>2797307.4535961985</v>
      </c>
      <c r="H214" s="4">
        <f t="shared" si="11"/>
        <v>516926.23743386293</v>
      </c>
      <c r="I214" s="17">
        <f t="shared" si="9"/>
        <v>0.81520578413026923</v>
      </c>
      <c r="J214">
        <v>34.950000000000003</v>
      </c>
    </row>
    <row r="215" spans="1:10" x14ac:dyDescent="0.25">
      <c r="A215" t="s">
        <v>80</v>
      </c>
      <c r="B215" t="s">
        <v>86</v>
      </c>
      <c r="C215" t="s">
        <v>9</v>
      </c>
      <c r="D215">
        <v>14.91</v>
      </c>
      <c r="E215" s="1">
        <v>21029261</v>
      </c>
      <c r="F215" s="1">
        <v>3135463</v>
      </c>
      <c r="G215" s="4">
        <f t="shared" si="10"/>
        <v>2951441.5360788591</v>
      </c>
      <c r="H215" s="4">
        <f t="shared" si="11"/>
        <v>532284.78752648842</v>
      </c>
      <c r="I215" s="17">
        <f t="shared" si="9"/>
        <v>0.81965260669413231</v>
      </c>
      <c r="J215">
        <v>34.28</v>
      </c>
    </row>
    <row r="216" spans="1:10" x14ac:dyDescent="0.25">
      <c r="A216" t="s">
        <v>81</v>
      </c>
      <c r="B216" t="s">
        <v>86</v>
      </c>
      <c r="C216" t="s">
        <v>9</v>
      </c>
      <c r="D216">
        <v>12.82</v>
      </c>
      <c r="E216" s="1">
        <v>22634383</v>
      </c>
      <c r="F216" s="1">
        <v>2901728</v>
      </c>
      <c r="G216" s="4">
        <f t="shared" si="10"/>
        <v>3080256.5608236575</v>
      </c>
      <c r="H216" s="4">
        <f t="shared" si="11"/>
        <v>437715.70752779994</v>
      </c>
      <c r="I216" s="17">
        <f t="shared" si="9"/>
        <v>0.85789634763061584</v>
      </c>
      <c r="J216">
        <v>35.94</v>
      </c>
    </row>
    <row r="217" spans="1:10" x14ac:dyDescent="0.25">
      <c r="A217" t="s">
        <v>82</v>
      </c>
      <c r="B217" t="s">
        <v>86</v>
      </c>
      <c r="C217" t="s">
        <v>9</v>
      </c>
      <c r="D217">
        <v>13.45</v>
      </c>
      <c r="E217" s="1">
        <v>21731921</v>
      </c>
      <c r="F217" s="1">
        <v>2922943</v>
      </c>
      <c r="G217" s="4">
        <f t="shared" si="10"/>
        <v>2955286.5682470971</v>
      </c>
      <c r="H217" s="4">
        <f t="shared" si="11"/>
        <v>195124.45884711944</v>
      </c>
      <c r="I217" s="17">
        <f t="shared" si="9"/>
        <v>0.93397443721917772</v>
      </c>
      <c r="J217">
        <v>34.69</v>
      </c>
    </row>
    <row r="218" spans="1:10" x14ac:dyDescent="0.25">
      <c r="A218" t="s">
        <v>83</v>
      </c>
      <c r="B218" t="s">
        <v>86</v>
      </c>
      <c r="C218" t="s">
        <v>9</v>
      </c>
      <c r="D218">
        <v>13.95</v>
      </c>
      <c r="E218" s="1">
        <v>21109708</v>
      </c>
      <c r="F218" s="1">
        <v>2944804</v>
      </c>
      <c r="G218" s="4">
        <f t="shared" si="10"/>
        <v>2932646.0704741292</v>
      </c>
      <c r="H218" s="4">
        <f t="shared" si="11"/>
        <v>149200.59497245174</v>
      </c>
      <c r="I218" s="17">
        <f t="shared" si="9"/>
        <v>0.94912424091178171</v>
      </c>
      <c r="J218">
        <v>33.81</v>
      </c>
    </row>
    <row r="219" spans="1:10" x14ac:dyDescent="0.25">
      <c r="A219" t="s">
        <v>84</v>
      </c>
      <c r="B219" t="s">
        <v>86</v>
      </c>
      <c r="C219" t="s">
        <v>9</v>
      </c>
      <c r="D219">
        <v>20.55</v>
      </c>
      <c r="E219" s="1">
        <v>21046521</v>
      </c>
      <c r="F219" s="1">
        <v>4325060</v>
      </c>
      <c r="G219" s="4">
        <f t="shared" si="10"/>
        <v>2941156.6211422384</v>
      </c>
      <c r="H219" s="4">
        <f t="shared" si="11"/>
        <v>104986.29860935356</v>
      </c>
      <c r="I219" s="17">
        <f t="shared" si="9"/>
        <v>0.96430441757005758</v>
      </c>
      <c r="J219">
        <v>36.43</v>
      </c>
    </row>
    <row r="220" spans="1:10" x14ac:dyDescent="0.25">
      <c r="A220" t="s">
        <v>7</v>
      </c>
      <c r="B220" t="s">
        <v>87</v>
      </c>
      <c r="C220" t="s">
        <v>9</v>
      </c>
      <c r="D220">
        <v>0.91</v>
      </c>
      <c r="E220" s="1">
        <v>6042681</v>
      </c>
      <c r="F220" s="1">
        <v>54988</v>
      </c>
      <c r="G220" s="4">
        <f t="shared" si="10"/>
        <v>3909888.9863426713</v>
      </c>
      <c r="H220" s="4">
        <f t="shared" si="11"/>
        <v>799245.99543804198</v>
      </c>
      <c r="I220" s="17">
        <f t="shared" si="9"/>
        <v>0.79558345563523003</v>
      </c>
      <c r="J220">
        <v>41.1</v>
      </c>
    </row>
    <row r="221" spans="1:10" x14ac:dyDescent="0.25">
      <c r="A221" t="s">
        <v>10</v>
      </c>
      <c r="B221" t="s">
        <v>87</v>
      </c>
      <c r="C221" t="s">
        <v>9</v>
      </c>
      <c r="D221">
        <v>5.26</v>
      </c>
      <c r="E221" s="1">
        <v>6233184</v>
      </c>
      <c r="F221" s="1">
        <v>327865</v>
      </c>
      <c r="G221" s="4">
        <f t="shared" si="10"/>
        <v>1211458.2959028014</v>
      </c>
      <c r="H221" s="4">
        <f t="shared" si="11"/>
        <v>2364712.6669548377</v>
      </c>
      <c r="I221" s="17">
        <f t="shared" si="9"/>
        <v>-0.9519554861709949</v>
      </c>
      <c r="J221">
        <v>44.26</v>
      </c>
    </row>
    <row r="222" spans="1:10" x14ac:dyDescent="0.25">
      <c r="A222" t="s">
        <v>11</v>
      </c>
      <c r="B222" t="s">
        <v>87</v>
      </c>
      <c r="C222" t="s">
        <v>9</v>
      </c>
      <c r="D222">
        <v>0.97</v>
      </c>
      <c r="E222" s="1">
        <v>6664130</v>
      </c>
      <c r="F222" s="1">
        <v>64642</v>
      </c>
      <c r="G222" s="4">
        <f t="shared" si="10"/>
        <v>592942.98877084034</v>
      </c>
      <c r="H222" s="4">
        <f t="shared" si="11"/>
        <v>2419103.6417844254</v>
      </c>
      <c r="I222" s="17">
        <f t="shared" si="9"/>
        <v>-3.0798250212877663</v>
      </c>
      <c r="J222">
        <v>45.17</v>
      </c>
    </row>
    <row r="223" spans="1:10" x14ac:dyDescent="0.25">
      <c r="A223" t="s">
        <v>12</v>
      </c>
      <c r="B223" t="s">
        <v>87</v>
      </c>
      <c r="C223" t="s">
        <v>9</v>
      </c>
      <c r="D223">
        <v>2.89</v>
      </c>
      <c r="E223" s="1">
        <v>6196137</v>
      </c>
      <c r="F223" s="1">
        <v>179068</v>
      </c>
      <c r="G223" s="4">
        <f t="shared" si="10"/>
        <v>223132.2966312521</v>
      </c>
      <c r="H223" s="4">
        <f t="shared" si="11"/>
        <v>2303627.6219480676</v>
      </c>
      <c r="I223" s="17">
        <f t="shared" si="9"/>
        <v>-9.3240438821594562</v>
      </c>
      <c r="J223">
        <v>42.73</v>
      </c>
    </row>
    <row r="224" spans="1:10" x14ac:dyDescent="0.25">
      <c r="A224" t="s">
        <v>13</v>
      </c>
      <c r="B224" t="s">
        <v>87</v>
      </c>
      <c r="C224" t="s">
        <v>9</v>
      </c>
      <c r="D224">
        <v>4.29</v>
      </c>
      <c r="E224" s="1">
        <v>6338136</v>
      </c>
      <c r="F224" s="1">
        <v>271906</v>
      </c>
      <c r="G224" s="4">
        <f t="shared" si="10"/>
        <v>192287.28898937564</v>
      </c>
      <c r="H224" s="4">
        <f t="shared" si="11"/>
        <v>594917.55998575978</v>
      </c>
      <c r="I224" s="17">
        <f t="shared" si="9"/>
        <v>-2.0938995661779312</v>
      </c>
      <c r="J224">
        <v>44.25</v>
      </c>
    </row>
    <row r="225" spans="1:10" x14ac:dyDescent="0.25">
      <c r="A225" t="s">
        <v>14</v>
      </c>
      <c r="B225" t="s">
        <v>87</v>
      </c>
      <c r="C225" t="s">
        <v>9</v>
      </c>
      <c r="D225">
        <v>1.18</v>
      </c>
      <c r="E225" s="1">
        <v>6458159</v>
      </c>
      <c r="F225" s="1">
        <v>76206</v>
      </c>
      <c r="G225" s="4">
        <f t="shared" si="10"/>
        <v>248020.38669681267</v>
      </c>
      <c r="H225" s="4">
        <f t="shared" si="11"/>
        <v>309506.45449211984</v>
      </c>
      <c r="I225" s="17">
        <f t="shared" si="9"/>
        <v>-0.2479073136454284</v>
      </c>
      <c r="J225">
        <v>43.58</v>
      </c>
    </row>
    <row r="226" spans="1:10" x14ac:dyDescent="0.25">
      <c r="A226" t="s">
        <v>15</v>
      </c>
      <c r="B226" t="s">
        <v>87</v>
      </c>
      <c r="C226" t="s">
        <v>9</v>
      </c>
      <c r="D226">
        <v>3.59</v>
      </c>
      <c r="E226" s="1">
        <v>6917881</v>
      </c>
      <c r="F226" s="1">
        <v>248352</v>
      </c>
      <c r="G226" s="4">
        <f t="shared" si="10"/>
        <v>127750.31600904379</v>
      </c>
      <c r="H226" s="4">
        <f t="shared" si="11"/>
        <v>112251.18389368577</v>
      </c>
      <c r="I226" s="17">
        <f t="shared" si="9"/>
        <v>0.12132363034045877</v>
      </c>
      <c r="J226">
        <v>47.74</v>
      </c>
    </row>
    <row r="227" spans="1:10" x14ac:dyDescent="0.25">
      <c r="A227" t="s">
        <v>16</v>
      </c>
      <c r="B227" t="s">
        <v>87</v>
      </c>
      <c r="C227" t="s">
        <v>9</v>
      </c>
      <c r="D227">
        <v>1.71</v>
      </c>
      <c r="E227" s="1">
        <v>6264762</v>
      </c>
      <c r="F227" s="1">
        <v>107127</v>
      </c>
      <c r="G227" s="4">
        <f t="shared" si="10"/>
        <v>212171.49480271313</v>
      </c>
      <c r="H227" s="4">
        <f t="shared" si="11"/>
        <v>129620.07149158351</v>
      </c>
      <c r="I227" s="17">
        <f t="shared" si="9"/>
        <v>0.38907876568381511</v>
      </c>
      <c r="J227">
        <v>42.31</v>
      </c>
    </row>
    <row r="228" spans="1:10" x14ac:dyDescent="0.25">
      <c r="A228" t="s">
        <v>17</v>
      </c>
      <c r="B228" t="s">
        <v>87</v>
      </c>
      <c r="C228" t="s">
        <v>9</v>
      </c>
      <c r="D228">
        <v>8.51</v>
      </c>
      <c r="E228" s="1">
        <v>7113859</v>
      </c>
      <c r="F228" s="1">
        <v>605389</v>
      </c>
      <c r="G228" s="4">
        <f t="shared" si="10"/>
        <v>138640.34844081395</v>
      </c>
      <c r="H228" s="4">
        <f t="shared" si="11"/>
        <v>135522.80932966422</v>
      </c>
      <c r="I228" s="17">
        <f t="shared" si="9"/>
        <v>2.2486521032371889E-2</v>
      </c>
      <c r="J228">
        <v>51.51</v>
      </c>
    </row>
    <row r="229" spans="1:10" x14ac:dyDescent="0.25">
      <c r="A229" t="s">
        <v>18</v>
      </c>
      <c r="B229" t="s">
        <v>87</v>
      </c>
      <c r="C229" t="s">
        <v>9</v>
      </c>
      <c r="D229">
        <v>3.33</v>
      </c>
      <c r="E229" s="1">
        <v>8298791</v>
      </c>
      <c r="F229" s="1">
        <v>276350</v>
      </c>
      <c r="G229" s="4">
        <f t="shared" si="10"/>
        <v>465364.4045322442</v>
      </c>
      <c r="H229" s="4">
        <f t="shared" si="11"/>
        <v>284858.68765765842</v>
      </c>
      <c r="I229" s="17">
        <f t="shared" si="9"/>
        <v>0.3878803688391661</v>
      </c>
      <c r="J229">
        <v>56.74</v>
      </c>
    </row>
    <row r="230" spans="1:10" x14ac:dyDescent="0.25">
      <c r="A230" t="s">
        <v>19</v>
      </c>
      <c r="B230" t="s">
        <v>87</v>
      </c>
      <c r="C230" t="s">
        <v>9</v>
      </c>
      <c r="D230">
        <v>3.09</v>
      </c>
      <c r="E230" s="1">
        <v>7587438</v>
      </c>
      <c r="F230" s="1">
        <v>234452</v>
      </c>
      <c r="G230" s="4">
        <f t="shared" si="10"/>
        <v>333054.32135967328</v>
      </c>
      <c r="H230" s="4">
        <f t="shared" si="11"/>
        <v>296993.31908386678</v>
      </c>
      <c r="I230" s="17">
        <f t="shared" si="9"/>
        <v>0.10827363574983724</v>
      </c>
      <c r="J230">
        <v>51.64</v>
      </c>
    </row>
    <row r="231" spans="1:10" x14ac:dyDescent="0.25">
      <c r="A231" t="s">
        <v>20</v>
      </c>
      <c r="B231" t="s">
        <v>87</v>
      </c>
      <c r="C231" t="s">
        <v>9</v>
      </c>
      <c r="D231">
        <v>3.71</v>
      </c>
      <c r="E231" s="1">
        <v>6240718</v>
      </c>
      <c r="F231" s="1">
        <v>231531</v>
      </c>
      <c r="G231" s="4">
        <f t="shared" si="10"/>
        <v>264032.696407902</v>
      </c>
      <c r="H231" s="4">
        <f t="shared" si="11"/>
        <v>296256.1766616372</v>
      </c>
      <c r="I231" s="17">
        <f t="shared" si="9"/>
        <v>-0.12204352223087329</v>
      </c>
      <c r="J231">
        <v>42.66</v>
      </c>
    </row>
    <row r="232" spans="1:10" x14ac:dyDescent="0.25">
      <c r="A232" t="s">
        <v>21</v>
      </c>
      <c r="B232" t="s">
        <v>87</v>
      </c>
      <c r="C232" t="s">
        <v>9</v>
      </c>
      <c r="D232">
        <v>3.29</v>
      </c>
      <c r="E232" s="1">
        <v>6380086</v>
      </c>
      <c r="F232" s="1">
        <v>209905</v>
      </c>
      <c r="G232" s="4">
        <f t="shared" si="10"/>
        <v>241281.50892237056</v>
      </c>
      <c r="H232" s="4">
        <f t="shared" si="11"/>
        <v>124505.98803215125</v>
      </c>
      <c r="I232" s="17">
        <f t="shared" si="9"/>
        <v>0.48398039871256954</v>
      </c>
      <c r="J232">
        <v>43.32</v>
      </c>
    </row>
    <row r="233" spans="1:10" x14ac:dyDescent="0.25">
      <c r="A233" t="s">
        <v>22</v>
      </c>
      <c r="B233" t="s">
        <v>87</v>
      </c>
      <c r="C233" t="s">
        <v>9</v>
      </c>
      <c r="D233">
        <v>1.75</v>
      </c>
      <c r="E233" s="1">
        <v>7539539</v>
      </c>
      <c r="F233" s="1">
        <v>131942</v>
      </c>
      <c r="G233" s="4">
        <f t="shared" si="10"/>
        <v>219317.95267671117</v>
      </c>
      <c r="H233" s="4">
        <f t="shared" si="11"/>
        <v>62618.589782543306</v>
      </c>
      <c r="I233" s="17">
        <f t="shared" si="9"/>
        <v>0.71448488818037093</v>
      </c>
      <c r="J233">
        <v>50.29</v>
      </c>
    </row>
    <row r="234" spans="1:10" x14ac:dyDescent="0.25">
      <c r="A234" t="s">
        <v>23</v>
      </c>
      <c r="B234" t="s">
        <v>87</v>
      </c>
      <c r="C234" t="s">
        <v>9</v>
      </c>
      <c r="D234">
        <v>2.83</v>
      </c>
      <c r="E234" s="1">
        <v>7370766</v>
      </c>
      <c r="F234" s="1">
        <v>208593</v>
      </c>
      <c r="G234" s="4">
        <f t="shared" si="10"/>
        <v>158154.78580301334</v>
      </c>
      <c r="H234" s="4">
        <f t="shared" si="11"/>
        <v>56790.26526823618</v>
      </c>
      <c r="I234" s="17">
        <f t="shared" si="9"/>
        <v>0.640919716846443</v>
      </c>
      <c r="J234">
        <v>49.6</v>
      </c>
    </row>
    <row r="235" spans="1:10" x14ac:dyDescent="0.25">
      <c r="A235" t="s">
        <v>24</v>
      </c>
      <c r="B235" t="s">
        <v>87</v>
      </c>
      <c r="C235" t="s">
        <v>9</v>
      </c>
      <c r="D235">
        <v>4.17</v>
      </c>
      <c r="E235" s="1">
        <v>6514503</v>
      </c>
      <c r="F235" s="1">
        <v>271655</v>
      </c>
      <c r="G235" s="4">
        <f t="shared" si="10"/>
        <v>193461.53574090399</v>
      </c>
      <c r="H235" s="4">
        <f t="shared" si="11"/>
        <v>61000.152649261392</v>
      </c>
      <c r="I235" s="17">
        <f t="shared" si="9"/>
        <v>0.6846910554304878</v>
      </c>
      <c r="J235">
        <v>44.36</v>
      </c>
    </row>
    <row r="236" spans="1:10" x14ac:dyDescent="0.25">
      <c r="A236" t="s">
        <v>25</v>
      </c>
      <c r="B236" t="s">
        <v>87</v>
      </c>
      <c r="C236" t="s">
        <v>9</v>
      </c>
      <c r="D236">
        <v>3.86</v>
      </c>
      <c r="E236" s="1">
        <v>6527077</v>
      </c>
      <c r="F236" s="1">
        <v>251945</v>
      </c>
      <c r="G236" s="4">
        <f t="shared" si="10"/>
        <v>248196.96072227118</v>
      </c>
      <c r="H236" s="4">
        <f t="shared" si="11"/>
        <v>73694.840186593123</v>
      </c>
      <c r="I236" s="17">
        <f t="shared" si="9"/>
        <v>0.70307919979303624</v>
      </c>
      <c r="J236">
        <v>44.2</v>
      </c>
    </row>
    <row r="237" spans="1:10" x14ac:dyDescent="0.25">
      <c r="A237" t="s">
        <v>26</v>
      </c>
      <c r="B237" t="s">
        <v>87</v>
      </c>
      <c r="C237" t="s">
        <v>9</v>
      </c>
      <c r="D237">
        <v>1.03</v>
      </c>
      <c r="E237" s="1">
        <v>6696222</v>
      </c>
      <c r="F237" s="1">
        <v>68971</v>
      </c>
      <c r="G237" s="4">
        <f t="shared" si="10"/>
        <v>250820.58821668135</v>
      </c>
      <c r="H237" s="4">
        <f t="shared" si="11"/>
        <v>53765.785597183865</v>
      </c>
      <c r="I237" s="17">
        <f t="shared" si="9"/>
        <v>0.7856404612577651</v>
      </c>
      <c r="J237">
        <v>43.96</v>
      </c>
    </row>
    <row r="238" spans="1:10" x14ac:dyDescent="0.25">
      <c r="A238" t="s">
        <v>27</v>
      </c>
      <c r="B238" t="s">
        <v>87</v>
      </c>
      <c r="C238" t="s">
        <v>9</v>
      </c>
      <c r="D238">
        <v>0.64</v>
      </c>
      <c r="E238" s="1">
        <v>7365798</v>
      </c>
      <c r="F238" s="1">
        <v>47141</v>
      </c>
      <c r="G238" s="4">
        <f t="shared" si="10"/>
        <v>123525.8764650044</v>
      </c>
      <c r="H238" s="4">
        <f t="shared" si="11"/>
        <v>114305.93216720717</v>
      </c>
      <c r="I238" s="17">
        <f t="shared" si="9"/>
        <v>7.4639780438305978E-2</v>
      </c>
      <c r="J238">
        <v>48.06</v>
      </c>
    </row>
    <row r="239" spans="1:10" x14ac:dyDescent="0.25">
      <c r="A239" t="s">
        <v>28</v>
      </c>
      <c r="B239" t="s">
        <v>87</v>
      </c>
      <c r="C239" t="s">
        <v>9</v>
      </c>
      <c r="D239">
        <v>3.25</v>
      </c>
      <c r="E239" s="1">
        <v>6529389</v>
      </c>
      <c r="F239" s="1">
        <v>212205</v>
      </c>
      <c r="G239" s="4">
        <f t="shared" si="10"/>
        <v>70056.462939501318</v>
      </c>
      <c r="H239" s="4">
        <f t="shared" si="11"/>
        <v>113897.57077535054</v>
      </c>
      <c r="I239" s="17">
        <f t="shared" si="9"/>
        <v>-0.62579676444283383</v>
      </c>
      <c r="J239">
        <v>43.66</v>
      </c>
    </row>
    <row r="240" spans="1:10" x14ac:dyDescent="0.25">
      <c r="A240" t="s">
        <v>29</v>
      </c>
      <c r="B240" t="s">
        <v>87</v>
      </c>
      <c r="C240" t="s">
        <v>9</v>
      </c>
      <c r="D240">
        <v>4.45</v>
      </c>
      <c r="E240" s="1">
        <v>6508360</v>
      </c>
      <c r="F240" s="1">
        <v>289622</v>
      </c>
      <c r="G240" s="4">
        <f t="shared" si="10"/>
        <v>169560.43888185039</v>
      </c>
      <c r="H240" s="4">
        <f t="shared" si="11"/>
        <v>140368.71526517882</v>
      </c>
      <c r="I240" s="17">
        <f t="shared" si="9"/>
        <v>0.17216117043087126</v>
      </c>
      <c r="J240">
        <v>43.97</v>
      </c>
    </row>
    <row r="241" spans="1:10" x14ac:dyDescent="0.25">
      <c r="A241" t="s">
        <v>30</v>
      </c>
      <c r="B241" t="s">
        <v>87</v>
      </c>
      <c r="C241" t="s">
        <v>9</v>
      </c>
      <c r="D241">
        <v>2.21</v>
      </c>
      <c r="E241" s="1">
        <v>6942533</v>
      </c>
      <c r="F241" s="1">
        <v>153430</v>
      </c>
      <c r="G241" s="4">
        <f t="shared" si="10"/>
        <v>253603.53166455511</v>
      </c>
      <c r="H241" s="4">
        <f t="shared" si="11"/>
        <v>116125.84323216074</v>
      </c>
      <c r="I241" s="17">
        <f t="shared" si="9"/>
        <v>0.5420969003469478</v>
      </c>
      <c r="J241">
        <v>45.72</v>
      </c>
    </row>
    <row r="242" spans="1:10" x14ac:dyDescent="0.25">
      <c r="A242" t="s">
        <v>31</v>
      </c>
      <c r="B242" t="s">
        <v>87</v>
      </c>
      <c r="C242" t="s">
        <v>9</v>
      </c>
      <c r="D242">
        <v>3.01</v>
      </c>
      <c r="E242" s="1">
        <v>7151861</v>
      </c>
      <c r="F242" s="1">
        <v>215271</v>
      </c>
      <c r="G242" s="4">
        <f t="shared" si="10"/>
        <v>183482.05949936653</v>
      </c>
      <c r="H242" s="4">
        <f t="shared" si="11"/>
        <v>122005.08390051726</v>
      </c>
      <c r="I242" s="17">
        <f t="shared" si="9"/>
        <v>0.33505714818435162</v>
      </c>
      <c r="J242">
        <v>47.39</v>
      </c>
    </row>
    <row r="243" spans="1:10" x14ac:dyDescent="0.25">
      <c r="A243" t="s">
        <v>32</v>
      </c>
      <c r="B243" t="s">
        <v>87</v>
      </c>
      <c r="C243" t="s">
        <v>9</v>
      </c>
      <c r="D243">
        <v>1.5</v>
      </c>
      <c r="E243" s="1">
        <v>6638490</v>
      </c>
      <c r="F243" s="1">
        <v>99577</v>
      </c>
      <c r="G243" s="4">
        <f t="shared" si="10"/>
        <v>205734.31784980994</v>
      </c>
      <c r="H243" s="4">
        <f t="shared" si="11"/>
        <v>92123.199471196567</v>
      </c>
      <c r="I243" s="17">
        <f t="shared" si="9"/>
        <v>0.55222249533279955</v>
      </c>
      <c r="J243">
        <v>43.22</v>
      </c>
    </row>
    <row r="244" spans="1:10" x14ac:dyDescent="0.25">
      <c r="A244" t="s">
        <v>33</v>
      </c>
      <c r="B244" t="s">
        <v>87</v>
      </c>
      <c r="C244" t="s">
        <v>9</v>
      </c>
      <c r="D244">
        <v>5.64</v>
      </c>
      <c r="E244" s="1">
        <v>6398523</v>
      </c>
      <c r="F244" s="1">
        <v>360877</v>
      </c>
      <c r="G244" s="4">
        <f t="shared" si="10"/>
        <v>131424.19535494299</v>
      </c>
      <c r="H244" s="4">
        <f t="shared" si="11"/>
        <v>86245.095159798351</v>
      </c>
      <c r="I244" s="17">
        <f t="shared" si="9"/>
        <v>0.34376546931200525</v>
      </c>
      <c r="J244">
        <v>43.39</v>
      </c>
    </row>
    <row r="245" spans="1:10" x14ac:dyDescent="0.25">
      <c r="A245" t="s">
        <v>34</v>
      </c>
      <c r="B245" t="s">
        <v>87</v>
      </c>
      <c r="C245" t="s">
        <v>9</v>
      </c>
      <c r="D245">
        <v>1.63</v>
      </c>
      <c r="E245" s="1">
        <v>6220704</v>
      </c>
      <c r="F245" s="1">
        <v>101397</v>
      </c>
      <c r="G245" s="4">
        <f t="shared" si="10"/>
        <v>292041.1586064829</v>
      </c>
      <c r="H245" s="4">
        <f t="shared" si="11"/>
        <v>147115.03710894758</v>
      </c>
      <c r="I245" s="17">
        <f t="shared" si="9"/>
        <v>0.49625238507158204</v>
      </c>
      <c r="J245">
        <v>40.380000000000003</v>
      </c>
    </row>
    <row r="246" spans="1:10" x14ac:dyDescent="0.25">
      <c r="A246" t="s">
        <v>35</v>
      </c>
      <c r="B246" t="s">
        <v>87</v>
      </c>
      <c r="C246" t="s">
        <v>9</v>
      </c>
      <c r="D246">
        <v>2.86</v>
      </c>
      <c r="E246" s="1">
        <v>6718999</v>
      </c>
      <c r="F246" s="1">
        <v>192163</v>
      </c>
      <c r="G246" s="4">
        <f t="shared" si="10"/>
        <v>158590.24758194486</v>
      </c>
      <c r="H246" s="4">
        <f t="shared" si="11"/>
        <v>182814.25993187921</v>
      </c>
      <c r="I246" s="17">
        <f t="shared" si="9"/>
        <v>-0.15274591419890182</v>
      </c>
      <c r="J246">
        <v>44.07</v>
      </c>
    </row>
    <row r="247" spans="1:10" x14ac:dyDescent="0.25">
      <c r="A247" t="s">
        <v>36</v>
      </c>
      <c r="B247" t="s">
        <v>87</v>
      </c>
      <c r="C247" t="s">
        <v>9</v>
      </c>
      <c r="D247">
        <v>2.09</v>
      </c>
      <c r="E247" s="1">
        <v>6162574</v>
      </c>
      <c r="F247" s="1">
        <v>128798</v>
      </c>
      <c r="G247" s="4">
        <f t="shared" si="10"/>
        <v>182091.17427458346</v>
      </c>
      <c r="H247" s="4">
        <f t="shared" si="11"/>
        <v>173321.3917122182</v>
      </c>
      <c r="I247" s="17">
        <f t="shared" si="9"/>
        <v>4.816149161156439E-2</v>
      </c>
      <c r="J247">
        <v>40.020000000000003</v>
      </c>
    </row>
    <row r="248" spans="1:10" x14ac:dyDescent="0.25">
      <c r="A248" t="s">
        <v>37</v>
      </c>
      <c r="B248" t="s">
        <v>87</v>
      </c>
      <c r="C248" t="s">
        <v>9</v>
      </c>
      <c r="D248">
        <v>4.45</v>
      </c>
      <c r="E248" s="1">
        <v>5869882</v>
      </c>
      <c r="F248" s="1">
        <v>261210</v>
      </c>
      <c r="G248" s="4">
        <f t="shared" si="10"/>
        <v>144785.95228237502</v>
      </c>
      <c r="H248" s="4">
        <f t="shared" si="11"/>
        <v>115920.21299146375</v>
      </c>
      <c r="I248" s="17">
        <f t="shared" si="9"/>
        <v>0.19936836989968904</v>
      </c>
      <c r="J248">
        <v>38.97</v>
      </c>
    </row>
    <row r="249" spans="1:10" x14ac:dyDescent="0.25">
      <c r="A249" t="s">
        <v>38</v>
      </c>
      <c r="B249" t="s">
        <v>87</v>
      </c>
      <c r="C249" t="s">
        <v>9</v>
      </c>
      <c r="D249">
        <v>1.69</v>
      </c>
      <c r="E249" s="1">
        <v>6067913</v>
      </c>
      <c r="F249" s="1">
        <v>102548</v>
      </c>
      <c r="G249" s="4">
        <f t="shared" si="10"/>
        <v>226282.78568471249</v>
      </c>
      <c r="H249" s="4">
        <f t="shared" si="11"/>
        <v>76423.929533754839</v>
      </c>
      <c r="I249" s="17">
        <f t="shared" si="9"/>
        <v>0.66226361717042448</v>
      </c>
      <c r="J249">
        <v>39.07</v>
      </c>
    </row>
    <row r="250" spans="1:10" x14ac:dyDescent="0.25">
      <c r="A250" t="s">
        <v>39</v>
      </c>
      <c r="B250" t="s">
        <v>87</v>
      </c>
      <c r="C250" t="s">
        <v>9</v>
      </c>
      <c r="D250">
        <v>3.05</v>
      </c>
      <c r="E250" s="1">
        <v>6423394</v>
      </c>
      <c r="F250" s="1">
        <v>195914</v>
      </c>
      <c r="G250" s="4">
        <f t="shared" si="10"/>
        <v>139668.43570541375</v>
      </c>
      <c r="H250" s="4">
        <f t="shared" si="11"/>
        <v>102802.42944544756</v>
      </c>
      <c r="I250" s="17">
        <f t="shared" si="9"/>
        <v>0.26395374211624545</v>
      </c>
      <c r="J250">
        <v>41.85</v>
      </c>
    </row>
    <row r="251" spans="1:10" x14ac:dyDescent="0.25">
      <c r="A251" t="s">
        <v>40</v>
      </c>
      <c r="B251" t="s">
        <v>87</v>
      </c>
      <c r="C251" t="s">
        <v>9</v>
      </c>
      <c r="D251">
        <v>2.78</v>
      </c>
      <c r="E251" s="1">
        <v>6112994</v>
      </c>
      <c r="F251" s="1">
        <v>169941</v>
      </c>
      <c r="G251" s="4">
        <f t="shared" si="10"/>
        <v>179040.33071162412</v>
      </c>
      <c r="H251" s="4">
        <f t="shared" si="11"/>
        <v>103325.40761789746</v>
      </c>
      <c r="I251" s="17">
        <f t="shared" si="9"/>
        <v>0.42289311460041273</v>
      </c>
      <c r="J251">
        <v>39.630000000000003</v>
      </c>
    </row>
    <row r="252" spans="1:10" x14ac:dyDescent="0.25">
      <c r="A252" t="s">
        <v>41</v>
      </c>
      <c r="B252" t="s">
        <v>87</v>
      </c>
      <c r="C252" t="s">
        <v>9</v>
      </c>
      <c r="D252">
        <v>23.18</v>
      </c>
      <c r="E252" s="1">
        <v>6098401</v>
      </c>
      <c r="F252" s="1">
        <v>1413609</v>
      </c>
      <c r="G252" s="4">
        <f t="shared" si="10"/>
        <v>172670.79921348725</v>
      </c>
      <c r="H252" s="4">
        <f t="shared" si="11"/>
        <v>78648.285657640954</v>
      </c>
      <c r="I252" s="17">
        <f t="shared" si="9"/>
        <v>0.54451889945559617</v>
      </c>
      <c r="J252">
        <v>49.92</v>
      </c>
    </row>
    <row r="253" spans="1:10" x14ac:dyDescent="0.25">
      <c r="A253" t="s">
        <v>42</v>
      </c>
      <c r="B253" t="s">
        <v>87</v>
      </c>
      <c r="C253" t="s">
        <v>9</v>
      </c>
      <c r="D253">
        <v>12.52</v>
      </c>
      <c r="E253" s="1">
        <v>6392014</v>
      </c>
      <c r="F253" s="1">
        <v>800280</v>
      </c>
      <c r="G253" s="4">
        <f t="shared" si="10"/>
        <v>1041327.5397640461</v>
      </c>
      <c r="H253" s="4">
        <f t="shared" si="11"/>
        <v>717210.79641750222</v>
      </c>
      <c r="I253" s="17">
        <f t="shared" si="9"/>
        <v>0.31125340583999661</v>
      </c>
      <c r="J253">
        <v>45.85</v>
      </c>
    </row>
    <row r="254" spans="1:10" x14ac:dyDescent="0.25">
      <c r="A254" t="s">
        <v>43</v>
      </c>
      <c r="B254" t="s">
        <v>87</v>
      </c>
      <c r="C254" t="s">
        <v>9</v>
      </c>
      <c r="D254">
        <v>5.38</v>
      </c>
      <c r="E254" s="1">
        <v>6369071</v>
      </c>
      <c r="F254" s="1">
        <v>342656</v>
      </c>
      <c r="G254" s="4">
        <f t="shared" si="10"/>
        <v>872594.26192921377</v>
      </c>
      <c r="H254" s="4">
        <f t="shared" si="11"/>
        <v>729866.2736915045</v>
      </c>
      <c r="I254" s="17">
        <f t="shared" si="9"/>
        <v>0.1635674155387554</v>
      </c>
      <c r="J254">
        <v>42.15</v>
      </c>
    </row>
    <row r="255" spans="1:10" x14ac:dyDescent="0.25">
      <c r="A255" t="s">
        <v>44</v>
      </c>
      <c r="B255" t="s">
        <v>87</v>
      </c>
      <c r="C255" t="s">
        <v>9</v>
      </c>
      <c r="D255">
        <v>4.9000000000000004</v>
      </c>
      <c r="E255" s="1">
        <v>5983109</v>
      </c>
      <c r="F255" s="1">
        <v>293172</v>
      </c>
      <c r="G255" s="4">
        <f t="shared" si="10"/>
        <v>501637.47857876413</v>
      </c>
      <c r="H255" s="4">
        <f t="shared" si="11"/>
        <v>791384.03994818323</v>
      </c>
      <c r="I255" s="17">
        <f t="shared" si="9"/>
        <v>-0.5776015025638177</v>
      </c>
      <c r="J255">
        <v>39.299999999999997</v>
      </c>
    </row>
    <row r="256" spans="1:10" x14ac:dyDescent="0.25">
      <c r="A256" t="s">
        <v>45</v>
      </c>
      <c r="B256" t="s">
        <v>87</v>
      </c>
      <c r="C256" t="s">
        <v>9</v>
      </c>
      <c r="D256">
        <v>6.81</v>
      </c>
      <c r="E256" s="1">
        <v>6141864</v>
      </c>
      <c r="F256" s="1">
        <v>418261</v>
      </c>
      <c r="G256" s="4">
        <f t="shared" si="10"/>
        <v>355711.6435736292</v>
      </c>
      <c r="H256" s="4">
        <f t="shared" si="11"/>
        <v>357023.03083598055</v>
      </c>
      <c r="I256" s="17">
        <f t="shared" si="9"/>
        <v>-3.686658241424418E-3</v>
      </c>
      <c r="J256">
        <v>41.08</v>
      </c>
    </row>
    <row r="257" spans="1:10" x14ac:dyDescent="0.25">
      <c r="A257" t="s">
        <v>46</v>
      </c>
      <c r="B257" t="s">
        <v>87</v>
      </c>
      <c r="C257" t="s">
        <v>9</v>
      </c>
      <c r="D257">
        <v>6.94</v>
      </c>
      <c r="E257" s="1">
        <v>6548608</v>
      </c>
      <c r="F257" s="1">
        <v>454473</v>
      </c>
      <c r="G257" s="4">
        <f t="shared" si="10"/>
        <v>399496.1930720887</v>
      </c>
      <c r="H257" s="4">
        <f t="shared" si="11"/>
        <v>330759.14661325305</v>
      </c>
      <c r="I257" s="17">
        <f t="shared" si="9"/>
        <v>0.17205932785054631</v>
      </c>
      <c r="J257">
        <v>43.78</v>
      </c>
    </row>
    <row r="258" spans="1:10" x14ac:dyDescent="0.25">
      <c r="A258" t="s">
        <v>47</v>
      </c>
      <c r="B258" t="s">
        <v>87</v>
      </c>
      <c r="C258" t="s">
        <v>9</v>
      </c>
      <c r="D258">
        <v>3.17</v>
      </c>
      <c r="E258" s="1">
        <v>6808582</v>
      </c>
      <c r="F258" s="1">
        <v>215832</v>
      </c>
      <c r="G258" s="4">
        <f t="shared" si="10"/>
        <v>437979.95792162657</v>
      </c>
      <c r="H258" s="4">
        <f t="shared" si="11"/>
        <v>129605.46162413472</v>
      </c>
      <c r="I258" s="17">
        <f t="shared" si="9"/>
        <v>0.70408357898576102</v>
      </c>
      <c r="J258">
        <v>43.65</v>
      </c>
    </row>
    <row r="259" spans="1:10" x14ac:dyDescent="0.25">
      <c r="A259" t="s">
        <v>48</v>
      </c>
      <c r="B259" t="s">
        <v>87</v>
      </c>
      <c r="C259" t="s">
        <v>9</v>
      </c>
      <c r="D259">
        <v>2.99</v>
      </c>
      <c r="E259" s="1">
        <v>6249706</v>
      </c>
      <c r="F259" s="1">
        <v>186866</v>
      </c>
      <c r="G259" s="4">
        <f t="shared" si="10"/>
        <v>282476.38737648795</v>
      </c>
      <c r="H259" s="4">
        <f t="shared" si="11"/>
        <v>136972.73025203566</v>
      </c>
      <c r="I259" s="17">
        <f t="shared" ref="I259:I322" si="12">(G259-H259)/G259</f>
        <v>0.51510024776167662</v>
      </c>
      <c r="J259">
        <v>39.9</v>
      </c>
    </row>
    <row r="260" spans="1:10" x14ac:dyDescent="0.25">
      <c r="A260" t="s">
        <v>49</v>
      </c>
      <c r="B260" t="s">
        <v>87</v>
      </c>
      <c r="C260" t="s">
        <v>9</v>
      </c>
      <c r="D260">
        <v>9.82</v>
      </c>
      <c r="E260" s="1">
        <v>6259019</v>
      </c>
      <c r="F260" s="1">
        <v>614636</v>
      </c>
      <c r="G260" s="4">
        <f t="shared" ref="G260:G323" si="13">0.7*F259+0.3*G259</f>
        <v>215549.11621294636</v>
      </c>
      <c r="H260" s="4">
        <f t="shared" si="11"/>
        <v>143193.93688633107</v>
      </c>
      <c r="I260" s="17">
        <f t="shared" si="12"/>
        <v>0.33567838550139917</v>
      </c>
      <c r="J260">
        <v>42.89</v>
      </c>
    </row>
    <row r="261" spans="1:10" x14ac:dyDescent="0.25">
      <c r="A261" t="s">
        <v>50</v>
      </c>
      <c r="B261" t="s">
        <v>87</v>
      </c>
      <c r="C261" t="s">
        <v>9</v>
      </c>
      <c r="D261">
        <v>6.76</v>
      </c>
      <c r="E261" s="1">
        <v>6608625</v>
      </c>
      <c r="F261" s="1">
        <v>446743</v>
      </c>
      <c r="G261" s="4">
        <f t="shared" si="13"/>
        <v>494909.93486388389</v>
      </c>
      <c r="H261" s="4">
        <f t="shared" si="11"/>
        <v>269419.99566593178</v>
      </c>
      <c r="I261" s="17">
        <f t="shared" si="12"/>
        <v>0.45561813031692133</v>
      </c>
      <c r="J261">
        <v>43.71</v>
      </c>
    </row>
    <row r="262" spans="1:10" x14ac:dyDescent="0.25">
      <c r="A262" t="s">
        <v>51</v>
      </c>
      <c r="B262" t="s">
        <v>87</v>
      </c>
      <c r="C262" t="s">
        <v>9</v>
      </c>
      <c r="D262">
        <v>4.54</v>
      </c>
      <c r="E262" s="1">
        <v>6753624</v>
      </c>
      <c r="F262" s="1">
        <v>306615</v>
      </c>
      <c r="G262" s="4">
        <f t="shared" si="13"/>
        <v>461193.08045916515</v>
      </c>
      <c r="H262" s="4">
        <f t="shared" ref="H262:H325" si="14">SQRT(SUMXMY2(F259:F261,G259:G261)/3)</f>
        <v>238559.38505909801</v>
      </c>
      <c r="I262" s="17">
        <f t="shared" si="12"/>
        <v>0.48273424913143187</v>
      </c>
      <c r="J262">
        <v>43.53</v>
      </c>
    </row>
    <row r="263" spans="1:10" x14ac:dyDescent="0.25">
      <c r="A263" t="s">
        <v>52</v>
      </c>
      <c r="B263" t="s">
        <v>87</v>
      </c>
      <c r="C263" t="s">
        <v>9</v>
      </c>
      <c r="D263">
        <v>4.6399999999999997</v>
      </c>
      <c r="E263" s="1">
        <v>6607694</v>
      </c>
      <c r="F263" s="1">
        <v>306597</v>
      </c>
      <c r="G263" s="4">
        <f t="shared" si="13"/>
        <v>352988.42413774953</v>
      </c>
      <c r="H263" s="4">
        <f t="shared" si="14"/>
        <v>248652.88883869353</v>
      </c>
      <c r="I263" s="17">
        <f t="shared" si="12"/>
        <v>0.29557778149217806</v>
      </c>
      <c r="J263">
        <v>42.55</v>
      </c>
    </row>
    <row r="264" spans="1:10" x14ac:dyDescent="0.25">
      <c r="A264" t="s">
        <v>53</v>
      </c>
      <c r="B264" t="s">
        <v>87</v>
      </c>
      <c r="C264" t="s">
        <v>9</v>
      </c>
      <c r="D264">
        <v>8.33</v>
      </c>
      <c r="E264" s="1">
        <v>6490778</v>
      </c>
      <c r="F264" s="1">
        <v>540682</v>
      </c>
      <c r="G264" s="4">
        <f t="shared" si="13"/>
        <v>320514.42724132485</v>
      </c>
      <c r="H264" s="4">
        <f t="shared" si="14"/>
        <v>97239.56808856214</v>
      </c>
      <c r="I264" s="17">
        <f t="shared" si="12"/>
        <v>0.69661406843521723</v>
      </c>
      <c r="J264">
        <v>43.38</v>
      </c>
    </row>
    <row r="265" spans="1:10" x14ac:dyDescent="0.25">
      <c r="A265" t="s">
        <v>54</v>
      </c>
      <c r="B265" t="s">
        <v>87</v>
      </c>
      <c r="C265" t="s">
        <v>9</v>
      </c>
      <c r="D265">
        <v>6.96</v>
      </c>
      <c r="E265" s="1">
        <v>7043839</v>
      </c>
      <c r="F265" s="1">
        <v>490251</v>
      </c>
      <c r="G265" s="4">
        <f t="shared" si="13"/>
        <v>474631.72817239742</v>
      </c>
      <c r="H265" s="4">
        <f t="shared" si="14"/>
        <v>157607.43138825995</v>
      </c>
      <c r="I265" s="17">
        <f t="shared" si="12"/>
        <v>0.66793743015213425</v>
      </c>
      <c r="J265">
        <v>46.28</v>
      </c>
    </row>
    <row r="266" spans="1:10" x14ac:dyDescent="0.25">
      <c r="A266" t="s">
        <v>55</v>
      </c>
      <c r="B266" t="s">
        <v>87</v>
      </c>
      <c r="C266" t="s">
        <v>9</v>
      </c>
      <c r="D266">
        <v>2.77</v>
      </c>
      <c r="E266" s="1">
        <v>6942930</v>
      </c>
      <c r="F266" s="1">
        <v>192319</v>
      </c>
      <c r="G266" s="4">
        <f t="shared" si="13"/>
        <v>485565.21845171915</v>
      </c>
      <c r="H266" s="4">
        <f t="shared" si="14"/>
        <v>130217.62039038038</v>
      </c>
      <c r="I266" s="17">
        <f t="shared" si="12"/>
        <v>0.73182259469573552</v>
      </c>
      <c r="J266">
        <v>43.56</v>
      </c>
    </row>
    <row r="267" spans="1:10" x14ac:dyDescent="0.25">
      <c r="A267" t="s">
        <v>56</v>
      </c>
      <c r="B267" t="s">
        <v>87</v>
      </c>
      <c r="C267" t="s">
        <v>9</v>
      </c>
      <c r="D267">
        <v>6.11</v>
      </c>
      <c r="E267" s="1">
        <v>6569389</v>
      </c>
      <c r="F267" s="1">
        <v>401390</v>
      </c>
      <c r="G267" s="4">
        <f t="shared" si="13"/>
        <v>280292.86553551571</v>
      </c>
      <c r="H267" s="4">
        <f t="shared" si="14"/>
        <v>211904.90507387539</v>
      </c>
      <c r="I267" s="17">
        <f t="shared" si="12"/>
        <v>0.24398751759514525</v>
      </c>
      <c r="J267">
        <v>42.59</v>
      </c>
    </row>
    <row r="268" spans="1:10" x14ac:dyDescent="0.25">
      <c r="A268" t="s">
        <v>57</v>
      </c>
      <c r="B268" t="s">
        <v>87</v>
      </c>
      <c r="C268" t="s">
        <v>9</v>
      </c>
      <c r="D268">
        <v>9.89</v>
      </c>
      <c r="E268" s="1">
        <v>6236201</v>
      </c>
      <c r="F268" s="1">
        <v>616760</v>
      </c>
      <c r="G268" s="4">
        <f t="shared" si="13"/>
        <v>365060.85966065468</v>
      </c>
      <c r="H268" s="4">
        <f t="shared" si="14"/>
        <v>183395.58542866411</v>
      </c>
      <c r="I268" s="17">
        <f t="shared" si="12"/>
        <v>0.49763010584278744</v>
      </c>
      <c r="J268">
        <v>42.03</v>
      </c>
    </row>
    <row r="269" spans="1:10" x14ac:dyDescent="0.25">
      <c r="A269" t="s">
        <v>58</v>
      </c>
      <c r="B269" t="s">
        <v>87</v>
      </c>
      <c r="C269" t="s">
        <v>9</v>
      </c>
      <c r="D269">
        <v>7.89</v>
      </c>
      <c r="E269" s="1">
        <v>6847173</v>
      </c>
      <c r="F269" s="1">
        <v>540242</v>
      </c>
      <c r="G269" s="4">
        <f t="shared" si="13"/>
        <v>541250.25789819635</v>
      </c>
      <c r="H269" s="4">
        <f t="shared" si="14"/>
        <v>233816.39367910614</v>
      </c>
      <c r="I269" s="17">
        <f t="shared" si="12"/>
        <v>0.56800686878733164</v>
      </c>
      <c r="J269">
        <v>45.05</v>
      </c>
    </row>
    <row r="270" spans="1:10" x14ac:dyDescent="0.25">
      <c r="A270" t="s">
        <v>59</v>
      </c>
      <c r="B270" t="s">
        <v>87</v>
      </c>
      <c r="C270" t="s">
        <v>9</v>
      </c>
      <c r="D270">
        <v>7.31</v>
      </c>
      <c r="E270" s="1">
        <v>6894808</v>
      </c>
      <c r="F270" s="1">
        <v>504010</v>
      </c>
      <c r="G270" s="4">
        <f t="shared" si="13"/>
        <v>540544.47736945888</v>
      </c>
      <c r="H270" s="4">
        <f t="shared" si="14"/>
        <v>161263.74856846998</v>
      </c>
      <c r="I270" s="17">
        <f t="shared" si="12"/>
        <v>0.70166423796751287</v>
      </c>
      <c r="J270">
        <v>44.98</v>
      </c>
    </row>
    <row r="271" spans="1:10" x14ac:dyDescent="0.25">
      <c r="A271" t="s">
        <v>60</v>
      </c>
      <c r="B271" t="s">
        <v>87</v>
      </c>
      <c r="C271" t="s">
        <v>9</v>
      </c>
      <c r="D271">
        <v>0</v>
      </c>
      <c r="E271" s="1">
        <v>6534321</v>
      </c>
      <c r="F271">
        <v>0</v>
      </c>
      <c r="G271" s="4">
        <f t="shared" si="13"/>
        <v>514970.34321083769</v>
      </c>
      <c r="H271" s="4">
        <f t="shared" si="14"/>
        <v>146842.59358035304</v>
      </c>
      <c r="I271" s="17">
        <f t="shared" si="12"/>
        <v>0.71485232981614011</v>
      </c>
      <c r="J271">
        <v>39.43</v>
      </c>
    </row>
    <row r="272" spans="1:10" x14ac:dyDescent="0.25">
      <c r="A272" t="s">
        <v>61</v>
      </c>
      <c r="B272" t="s">
        <v>87</v>
      </c>
      <c r="C272" t="s">
        <v>9</v>
      </c>
      <c r="D272">
        <v>7.64</v>
      </c>
      <c r="E272" s="1">
        <v>5454091</v>
      </c>
      <c r="F272" s="1">
        <v>416693</v>
      </c>
      <c r="G272" s="4">
        <f t="shared" si="13"/>
        <v>154491.10296325129</v>
      </c>
      <c r="H272" s="4">
        <f t="shared" si="14"/>
        <v>298066.12186299462</v>
      </c>
      <c r="I272" s="17">
        <f t="shared" si="12"/>
        <v>-0.92934166528602902</v>
      </c>
      <c r="J272">
        <v>35.56</v>
      </c>
    </row>
    <row r="273" spans="1:10" x14ac:dyDescent="0.25">
      <c r="A273" t="s">
        <v>62</v>
      </c>
      <c r="B273" t="s">
        <v>87</v>
      </c>
      <c r="C273" t="s">
        <v>9</v>
      </c>
      <c r="D273">
        <v>10.27</v>
      </c>
      <c r="E273" s="1">
        <v>5707746</v>
      </c>
      <c r="F273" s="1">
        <v>586186</v>
      </c>
      <c r="G273" s="4">
        <f t="shared" si="13"/>
        <v>338032.43088897539</v>
      </c>
      <c r="H273" s="4">
        <f t="shared" si="14"/>
        <v>334304.77972104895</v>
      </c>
      <c r="I273" s="17">
        <f t="shared" si="12"/>
        <v>1.1027495669936948E-2</v>
      </c>
      <c r="J273">
        <v>38.22</v>
      </c>
    </row>
    <row r="274" spans="1:10" x14ac:dyDescent="0.25">
      <c r="A274" t="s">
        <v>63</v>
      </c>
      <c r="B274" t="s">
        <v>87</v>
      </c>
      <c r="C274" t="s">
        <v>9</v>
      </c>
      <c r="D274">
        <v>12.37</v>
      </c>
      <c r="E274" s="1">
        <v>6444882</v>
      </c>
      <c r="F274" s="1">
        <v>797232</v>
      </c>
      <c r="G274" s="4">
        <f t="shared" si="13"/>
        <v>511739.92926669255</v>
      </c>
      <c r="H274" s="4">
        <f t="shared" si="14"/>
        <v>363099.84075040015</v>
      </c>
      <c r="I274" s="17">
        <f t="shared" si="12"/>
        <v>0.29046021233732733</v>
      </c>
      <c r="J274">
        <v>44.09</v>
      </c>
    </row>
    <row r="275" spans="1:10" x14ac:dyDescent="0.25">
      <c r="A275" t="s">
        <v>64</v>
      </c>
      <c r="B275" t="s">
        <v>87</v>
      </c>
      <c r="C275" t="s">
        <v>9</v>
      </c>
      <c r="D275">
        <v>6.07</v>
      </c>
      <c r="E275" s="1">
        <v>6893482</v>
      </c>
      <c r="F275" s="1">
        <v>418434</v>
      </c>
      <c r="G275" s="4">
        <f t="shared" si="13"/>
        <v>711584.3787800076</v>
      </c>
      <c r="H275" s="4">
        <f t="shared" si="14"/>
        <v>265729.02935371443</v>
      </c>
      <c r="I275" s="17">
        <f t="shared" si="12"/>
        <v>0.62656708427284513</v>
      </c>
      <c r="J275">
        <v>43.9</v>
      </c>
    </row>
    <row r="276" spans="1:10" x14ac:dyDescent="0.25">
      <c r="A276" t="s">
        <v>65</v>
      </c>
      <c r="B276" t="s">
        <v>87</v>
      </c>
      <c r="C276" t="s">
        <v>9</v>
      </c>
      <c r="D276">
        <v>0.86</v>
      </c>
      <c r="E276" s="1">
        <v>6881003</v>
      </c>
      <c r="F276" s="1">
        <v>59177</v>
      </c>
      <c r="G276" s="4">
        <f t="shared" si="13"/>
        <v>506379.11363400228</v>
      </c>
      <c r="H276" s="4">
        <f t="shared" si="14"/>
        <v>276298.78808576887</v>
      </c>
      <c r="I276" s="17">
        <f t="shared" si="12"/>
        <v>0.45436377479528017</v>
      </c>
      <c r="J276">
        <v>41.43</v>
      </c>
    </row>
    <row r="277" spans="1:10" x14ac:dyDescent="0.25">
      <c r="A277" t="s">
        <v>66</v>
      </c>
      <c r="B277" t="s">
        <v>87</v>
      </c>
      <c r="C277" t="s">
        <v>9</v>
      </c>
      <c r="D277">
        <v>6.11</v>
      </c>
      <c r="E277" s="1">
        <v>6334070</v>
      </c>
      <c r="F277" s="1">
        <v>387012</v>
      </c>
      <c r="G277" s="4">
        <f t="shared" si="13"/>
        <v>193337.63409020068</v>
      </c>
      <c r="H277" s="4">
        <f t="shared" si="14"/>
        <v>349967.90208492591</v>
      </c>
      <c r="I277" s="17">
        <f t="shared" si="12"/>
        <v>-0.81013853682335946</v>
      </c>
      <c r="J277">
        <v>40.18</v>
      </c>
    </row>
    <row r="278" spans="1:10" x14ac:dyDescent="0.25">
      <c r="A278" t="s">
        <v>67</v>
      </c>
      <c r="B278" t="s">
        <v>87</v>
      </c>
      <c r="C278" t="s">
        <v>9</v>
      </c>
      <c r="D278">
        <v>3.09</v>
      </c>
      <c r="E278" s="1">
        <v>6536087</v>
      </c>
      <c r="F278" s="1">
        <v>201965</v>
      </c>
      <c r="G278" s="4">
        <f t="shared" si="13"/>
        <v>328909.69022706017</v>
      </c>
      <c r="H278" s="4">
        <f t="shared" si="14"/>
        <v>328347.69936158822</v>
      </c>
      <c r="I278" s="17">
        <f t="shared" si="12"/>
        <v>1.708647942491392E-3</v>
      </c>
      <c r="J278">
        <v>40.08</v>
      </c>
    </row>
    <row r="279" spans="1:10" x14ac:dyDescent="0.25">
      <c r="A279" t="s">
        <v>68</v>
      </c>
      <c r="B279" t="s">
        <v>87</v>
      </c>
      <c r="C279" t="s">
        <v>9</v>
      </c>
      <c r="D279">
        <v>7.84</v>
      </c>
      <c r="E279" s="1">
        <v>6292258</v>
      </c>
      <c r="F279" s="1">
        <v>493313</v>
      </c>
      <c r="G279" s="4">
        <f t="shared" si="13"/>
        <v>240048.40706811805</v>
      </c>
      <c r="H279" s="4">
        <f t="shared" si="14"/>
        <v>290754.44669923006</v>
      </c>
      <c r="I279" s="17">
        <f t="shared" si="12"/>
        <v>-0.21123256034239488</v>
      </c>
      <c r="J279">
        <v>40.479999999999997</v>
      </c>
    </row>
    <row r="280" spans="1:10" x14ac:dyDescent="0.25">
      <c r="A280" t="s">
        <v>69</v>
      </c>
      <c r="B280" t="s">
        <v>87</v>
      </c>
      <c r="C280" t="s">
        <v>9</v>
      </c>
      <c r="D280">
        <v>6.76</v>
      </c>
      <c r="E280" s="1">
        <v>6525591</v>
      </c>
      <c r="F280" s="1">
        <v>441130</v>
      </c>
      <c r="G280" s="4">
        <f t="shared" si="13"/>
        <v>417333.62212043541</v>
      </c>
      <c r="H280" s="4">
        <f t="shared" si="14"/>
        <v>198130.99069416928</v>
      </c>
      <c r="I280" s="17">
        <f t="shared" si="12"/>
        <v>0.5252455584875162</v>
      </c>
      <c r="J280">
        <v>41.41</v>
      </c>
    </row>
    <row r="281" spans="1:10" x14ac:dyDescent="0.25">
      <c r="A281" t="s">
        <v>70</v>
      </c>
      <c r="B281" t="s">
        <v>87</v>
      </c>
      <c r="C281" t="s">
        <v>9</v>
      </c>
      <c r="D281">
        <v>5.82</v>
      </c>
      <c r="E281" s="1">
        <v>6586047</v>
      </c>
      <c r="F281" s="1">
        <v>383308</v>
      </c>
      <c r="G281" s="4">
        <f t="shared" si="13"/>
        <v>433991.08663613058</v>
      </c>
      <c r="H281" s="4">
        <f t="shared" si="14"/>
        <v>164138.33191344343</v>
      </c>
      <c r="I281" s="17">
        <f t="shared" si="12"/>
        <v>0.62179331104313385</v>
      </c>
      <c r="J281">
        <v>41.29</v>
      </c>
    </row>
    <row r="282" spans="1:10" x14ac:dyDescent="0.25">
      <c r="A282" t="s">
        <v>71</v>
      </c>
      <c r="B282" t="s">
        <v>87</v>
      </c>
      <c r="C282" t="s">
        <v>9</v>
      </c>
      <c r="D282">
        <v>2.46</v>
      </c>
      <c r="E282" s="1">
        <v>6321761</v>
      </c>
      <c r="F282" s="1">
        <v>155515</v>
      </c>
      <c r="G282" s="4">
        <f t="shared" si="13"/>
        <v>398512.92599083914</v>
      </c>
      <c r="H282" s="4">
        <f t="shared" si="14"/>
        <v>149753.12673875899</v>
      </c>
      <c r="I282" s="17">
        <f t="shared" si="12"/>
        <v>0.62422015204043479</v>
      </c>
      <c r="J282">
        <v>38.18</v>
      </c>
    </row>
    <row r="283" spans="1:10" x14ac:dyDescent="0.25">
      <c r="A283" t="s">
        <v>72</v>
      </c>
      <c r="B283" t="s">
        <v>87</v>
      </c>
      <c r="C283" t="s">
        <v>9</v>
      </c>
      <c r="D283">
        <v>3.42</v>
      </c>
      <c r="E283" s="1">
        <v>7057826</v>
      </c>
      <c r="F283" s="1">
        <v>241378</v>
      </c>
      <c r="G283" s="4">
        <f t="shared" si="13"/>
        <v>228414.37779725174</v>
      </c>
      <c r="H283" s="4">
        <f t="shared" si="14"/>
        <v>143971.10231686762</v>
      </c>
      <c r="I283" s="17">
        <f t="shared" si="12"/>
        <v>0.36969334546592686</v>
      </c>
      <c r="J283">
        <v>42.96</v>
      </c>
    </row>
    <row r="284" spans="1:10" x14ac:dyDescent="0.25">
      <c r="A284" t="s">
        <v>73</v>
      </c>
      <c r="B284" t="s">
        <v>87</v>
      </c>
      <c r="C284" t="s">
        <v>9</v>
      </c>
      <c r="D284">
        <v>9.35</v>
      </c>
      <c r="E284" s="1">
        <v>7019483</v>
      </c>
      <c r="F284" s="1">
        <v>656322</v>
      </c>
      <c r="G284" s="4">
        <f t="shared" si="13"/>
        <v>237488.91333917552</v>
      </c>
      <c r="H284" s="4">
        <f t="shared" si="14"/>
        <v>143509.37577667233</v>
      </c>
      <c r="I284" s="17">
        <f t="shared" si="12"/>
        <v>0.39572178861370277</v>
      </c>
      <c r="J284">
        <v>45.42</v>
      </c>
    </row>
    <row r="285" spans="1:10" x14ac:dyDescent="0.25">
      <c r="A285" t="s">
        <v>74</v>
      </c>
      <c r="B285" t="s">
        <v>87</v>
      </c>
      <c r="C285" t="s">
        <v>9</v>
      </c>
      <c r="D285">
        <v>2.3199999999999998</v>
      </c>
      <c r="E285" s="1">
        <v>7098251</v>
      </c>
      <c r="F285" s="1">
        <v>164679</v>
      </c>
      <c r="G285" s="4">
        <f t="shared" si="13"/>
        <v>530672.07400175266</v>
      </c>
      <c r="H285" s="4">
        <f t="shared" si="14"/>
        <v>279664.80056089687</v>
      </c>
      <c r="I285" s="17">
        <f t="shared" si="12"/>
        <v>0.47299883626442113</v>
      </c>
      <c r="J285">
        <v>42.54</v>
      </c>
    </row>
    <row r="286" spans="1:10" x14ac:dyDescent="0.25">
      <c r="A286" t="s">
        <v>75</v>
      </c>
      <c r="B286" t="s">
        <v>87</v>
      </c>
      <c r="C286" t="s">
        <v>9</v>
      </c>
      <c r="D286">
        <v>3.75</v>
      </c>
      <c r="E286" s="1">
        <v>6498464</v>
      </c>
      <c r="F286" s="1">
        <v>243692</v>
      </c>
      <c r="G286" s="4">
        <f t="shared" si="13"/>
        <v>274476.92220052576</v>
      </c>
      <c r="H286" s="4">
        <f t="shared" si="14"/>
        <v>321216.51067968766</v>
      </c>
      <c r="I286" s="17">
        <f t="shared" si="12"/>
        <v>-0.17028604118861099</v>
      </c>
      <c r="J286">
        <v>39.43</v>
      </c>
    </row>
    <row r="287" spans="1:10" x14ac:dyDescent="0.25">
      <c r="A287" t="s">
        <v>76</v>
      </c>
      <c r="B287" t="s">
        <v>87</v>
      </c>
      <c r="C287" t="s">
        <v>9</v>
      </c>
      <c r="D287">
        <v>3.91</v>
      </c>
      <c r="E287" s="1">
        <v>6538489</v>
      </c>
      <c r="F287" s="1">
        <v>255655</v>
      </c>
      <c r="G287" s="4">
        <f t="shared" si="13"/>
        <v>252927.47666015773</v>
      </c>
      <c r="H287" s="4">
        <f t="shared" si="14"/>
        <v>321620.78919848992</v>
      </c>
      <c r="I287" s="17">
        <f t="shared" si="12"/>
        <v>-0.27159292238791022</v>
      </c>
      <c r="J287">
        <v>39.659999999999997</v>
      </c>
    </row>
    <row r="288" spans="1:10" x14ac:dyDescent="0.25">
      <c r="A288" t="s">
        <v>77</v>
      </c>
      <c r="B288" t="s">
        <v>87</v>
      </c>
      <c r="C288" t="s">
        <v>9</v>
      </c>
      <c r="D288">
        <v>4.38</v>
      </c>
      <c r="E288" s="1">
        <v>6309784</v>
      </c>
      <c r="F288" s="1">
        <v>276369</v>
      </c>
      <c r="G288" s="4">
        <f t="shared" si="13"/>
        <v>254836.74299804732</v>
      </c>
      <c r="H288" s="4">
        <f t="shared" si="14"/>
        <v>212058.23181044258</v>
      </c>
      <c r="I288" s="17">
        <f t="shared" si="12"/>
        <v>0.16786633938392681</v>
      </c>
      <c r="J288">
        <v>38.369999999999997</v>
      </c>
    </row>
    <row r="289" spans="1:10" x14ac:dyDescent="0.25">
      <c r="A289" t="s">
        <v>78</v>
      </c>
      <c r="B289" t="s">
        <v>87</v>
      </c>
      <c r="C289" t="s">
        <v>9</v>
      </c>
      <c r="D289">
        <v>3.1</v>
      </c>
      <c r="E289" s="1">
        <v>6846724</v>
      </c>
      <c r="F289" s="1">
        <v>212248</v>
      </c>
      <c r="G289" s="4">
        <f t="shared" si="13"/>
        <v>269909.32289941417</v>
      </c>
      <c r="H289" s="4">
        <f t="shared" si="14"/>
        <v>21746.945456469268</v>
      </c>
      <c r="I289" s="17">
        <f t="shared" si="12"/>
        <v>0.91942869841300889</v>
      </c>
      <c r="J289">
        <v>41</v>
      </c>
    </row>
    <row r="290" spans="1:10" x14ac:dyDescent="0.25">
      <c r="A290" t="s">
        <v>79</v>
      </c>
      <c r="B290" t="s">
        <v>87</v>
      </c>
      <c r="C290" t="s">
        <v>9</v>
      </c>
      <c r="D290">
        <v>1.84</v>
      </c>
      <c r="E290" s="1">
        <v>7343137</v>
      </c>
      <c r="F290" s="1">
        <v>135114</v>
      </c>
      <c r="G290" s="4">
        <f t="shared" si="13"/>
        <v>229546.39686982421</v>
      </c>
      <c r="H290" s="4">
        <f t="shared" si="14"/>
        <v>35571.082045570052</v>
      </c>
      <c r="I290" s="17">
        <f t="shared" si="12"/>
        <v>0.84503750644475417</v>
      </c>
      <c r="J290">
        <v>43.31</v>
      </c>
    </row>
    <row r="291" spans="1:10" x14ac:dyDescent="0.25">
      <c r="A291" t="s">
        <v>80</v>
      </c>
      <c r="B291" t="s">
        <v>87</v>
      </c>
      <c r="C291" t="s">
        <v>9</v>
      </c>
      <c r="D291">
        <v>2.58</v>
      </c>
      <c r="E291" s="1">
        <v>6822833</v>
      </c>
      <c r="F291" s="1">
        <v>176029</v>
      </c>
      <c r="G291" s="4">
        <f t="shared" si="13"/>
        <v>163443.71906094725</v>
      </c>
      <c r="H291" s="4">
        <f t="shared" si="14"/>
        <v>65079.294783847159</v>
      </c>
      <c r="I291" s="17">
        <f t="shared" si="12"/>
        <v>0.60182443744088165</v>
      </c>
      <c r="J291">
        <v>40.46</v>
      </c>
    </row>
    <row r="292" spans="1:10" x14ac:dyDescent="0.25">
      <c r="A292" t="s">
        <v>81</v>
      </c>
      <c r="B292" t="s">
        <v>87</v>
      </c>
      <c r="C292" t="s">
        <v>9</v>
      </c>
      <c r="D292">
        <v>2.84</v>
      </c>
      <c r="E292" s="1">
        <v>6105811</v>
      </c>
      <c r="F292" s="1">
        <v>173405</v>
      </c>
      <c r="G292" s="4">
        <f t="shared" si="13"/>
        <v>172253.41571828414</v>
      </c>
      <c r="H292" s="4">
        <f t="shared" si="14"/>
        <v>64292.806838207995</v>
      </c>
      <c r="I292" s="17">
        <f t="shared" si="12"/>
        <v>0.62675453157133809</v>
      </c>
      <c r="J292">
        <v>36.22</v>
      </c>
    </row>
    <row r="293" spans="1:10" x14ac:dyDescent="0.25">
      <c r="A293" t="s">
        <v>82</v>
      </c>
      <c r="B293" t="s">
        <v>87</v>
      </c>
      <c r="C293" t="s">
        <v>9</v>
      </c>
      <c r="D293">
        <v>1.73</v>
      </c>
      <c r="E293" s="1">
        <v>6635456</v>
      </c>
      <c r="F293" s="1">
        <v>114793</v>
      </c>
      <c r="G293" s="4">
        <f t="shared" si="13"/>
        <v>173059.52471548523</v>
      </c>
      <c r="H293" s="4">
        <f t="shared" si="14"/>
        <v>55006.64511751516</v>
      </c>
      <c r="I293" s="17">
        <f t="shared" si="12"/>
        <v>0.68215187688774914</v>
      </c>
      <c r="J293">
        <v>38.840000000000003</v>
      </c>
    </row>
    <row r="294" spans="1:10" x14ac:dyDescent="0.25">
      <c r="A294" t="s">
        <v>83</v>
      </c>
      <c r="B294" t="s">
        <v>87</v>
      </c>
      <c r="C294" t="s">
        <v>9</v>
      </c>
      <c r="D294">
        <v>0.33</v>
      </c>
      <c r="E294" s="1">
        <v>6890976</v>
      </c>
      <c r="F294" s="1">
        <v>22740</v>
      </c>
      <c r="G294" s="4">
        <f t="shared" si="13"/>
        <v>132272.95741464556</v>
      </c>
      <c r="H294" s="4">
        <f t="shared" si="14"/>
        <v>34422.39263954512</v>
      </c>
      <c r="I294" s="17">
        <f t="shared" si="12"/>
        <v>0.73976243283319987</v>
      </c>
      <c r="J294">
        <v>39.68</v>
      </c>
    </row>
    <row r="295" spans="1:10" x14ac:dyDescent="0.25">
      <c r="A295" t="s">
        <v>84</v>
      </c>
      <c r="B295" t="s">
        <v>87</v>
      </c>
      <c r="C295" t="s">
        <v>9</v>
      </c>
      <c r="D295">
        <v>0.73</v>
      </c>
      <c r="E295" s="1">
        <v>6852302</v>
      </c>
      <c r="F295" s="1">
        <v>50022</v>
      </c>
      <c r="G295" s="4">
        <f t="shared" si="13"/>
        <v>55599.887224393664</v>
      </c>
      <c r="H295" s="4">
        <f t="shared" si="14"/>
        <v>71632.820245044801</v>
      </c>
      <c r="I295" s="17">
        <f t="shared" si="12"/>
        <v>-0.28836268958504135</v>
      </c>
      <c r="J295">
        <v>39.54</v>
      </c>
    </row>
    <row r="296" spans="1:10" x14ac:dyDescent="0.25">
      <c r="A296" t="s">
        <v>7</v>
      </c>
      <c r="B296" t="s">
        <v>88</v>
      </c>
      <c r="C296" t="s">
        <v>9</v>
      </c>
      <c r="D296">
        <v>11.18</v>
      </c>
      <c r="E296" s="1">
        <v>144325</v>
      </c>
      <c r="F296" s="1">
        <v>16136</v>
      </c>
      <c r="G296" s="4">
        <f t="shared" si="13"/>
        <v>51695.36616731809</v>
      </c>
      <c r="H296" s="4">
        <f t="shared" si="14"/>
        <v>71702.090830293222</v>
      </c>
      <c r="I296" s="17">
        <f t="shared" si="12"/>
        <v>-0.38701195380299719</v>
      </c>
      <c r="J296">
        <v>42.71</v>
      </c>
    </row>
    <row r="297" spans="1:10" x14ac:dyDescent="0.25">
      <c r="A297" t="s">
        <v>10</v>
      </c>
      <c r="B297" t="s">
        <v>88</v>
      </c>
      <c r="C297" t="s">
        <v>9</v>
      </c>
      <c r="D297">
        <v>11.11</v>
      </c>
      <c r="E297" s="1">
        <v>139645</v>
      </c>
      <c r="F297" s="1">
        <v>15515</v>
      </c>
      <c r="G297" s="4">
        <f t="shared" si="13"/>
        <v>26803.809850195423</v>
      </c>
      <c r="H297" s="4">
        <f t="shared" si="14"/>
        <v>66565.88242262452</v>
      </c>
      <c r="I297" s="17">
        <f t="shared" si="12"/>
        <v>-1.4834485393925894</v>
      </c>
      <c r="J297">
        <v>41.12</v>
      </c>
    </row>
    <row r="298" spans="1:10" x14ac:dyDescent="0.25">
      <c r="A298" t="s">
        <v>11</v>
      </c>
      <c r="B298" t="s">
        <v>88</v>
      </c>
      <c r="C298" t="s">
        <v>9</v>
      </c>
      <c r="D298">
        <v>27.27</v>
      </c>
      <c r="E298" s="1">
        <v>144183</v>
      </c>
      <c r="F298" s="1">
        <v>39319</v>
      </c>
      <c r="G298" s="4">
        <f t="shared" si="13"/>
        <v>18901.642955058625</v>
      </c>
      <c r="H298" s="4">
        <f t="shared" si="14"/>
        <v>21779.337118343232</v>
      </c>
      <c r="I298" s="17">
        <f t="shared" si="12"/>
        <v>-0.15224571589500122</v>
      </c>
      <c r="J298">
        <v>51.64</v>
      </c>
    </row>
    <row r="299" spans="1:10" x14ac:dyDescent="0.25">
      <c r="A299" t="s">
        <v>12</v>
      </c>
      <c r="B299" t="s">
        <v>88</v>
      </c>
      <c r="C299" t="s">
        <v>9</v>
      </c>
      <c r="D299">
        <v>23.76</v>
      </c>
      <c r="E299" s="1">
        <v>152488</v>
      </c>
      <c r="F299" s="1">
        <v>36231</v>
      </c>
      <c r="G299" s="4">
        <f t="shared" si="13"/>
        <v>33193.792886517585</v>
      </c>
      <c r="H299" s="4">
        <f t="shared" si="14"/>
        <v>24554.525847291323</v>
      </c>
      <c r="I299" s="17">
        <f t="shared" si="12"/>
        <v>0.26026754666940449</v>
      </c>
      <c r="J299">
        <v>51.86</v>
      </c>
    </row>
    <row r="300" spans="1:10" x14ac:dyDescent="0.25">
      <c r="A300" t="s">
        <v>13</v>
      </c>
      <c r="B300" t="s">
        <v>88</v>
      </c>
      <c r="C300" t="s">
        <v>9</v>
      </c>
      <c r="D300">
        <v>11.72</v>
      </c>
      <c r="E300" s="1">
        <v>142106</v>
      </c>
      <c r="F300" s="1">
        <v>16655</v>
      </c>
      <c r="G300" s="4">
        <f t="shared" si="13"/>
        <v>35319.837865955269</v>
      </c>
      <c r="H300" s="4">
        <f t="shared" si="14"/>
        <v>13583.449777635953</v>
      </c>
      <c r="I300" s="17">
        <f t="shared" si="12"/>
        <v>0.6154158513074881</v>
      </c>
      <c r="J300">
        <v>41.55</v>
      </c>
    </row>
    <row r="301" spans="1:10" x14ac:dyDescent="0.25">
      <c r="A301" t="s">
        <v>14</v>
      </c>
      <c r="B301" t="s">
        <v>88</v>
      </c>
      <c r="C301" t="s">
        <v>9</v>
      </c>
      <c r="D301">
        <v>7.23</v>
      </c>
      <c r="E301" s="1">
        <v>143400</v>
      </c>
      <c r="F301" s="1">
        <v>10368</v>
      </c>
      <c r="G301" s="4">
        <f t="shared" si="13"/>
        <v>22254.451359786581</v>
      </c>
      <c r="H301" s="4">
        <f t="shared" si="14"/>
        <v>16067.246894569951</v>
      </c>
      <c r="I301" s="17">
        <f t="shared" si="12"/>
        <v>0.27802098399050196</v>
      </c>
      <c r="J301">
        <v>39.71</v>
      </c>
    </row>
    <row r="302" spans="1:10" x14ac:dyDescent="0.25">
      <c r="A302" t="s">
        <v>15</v>
      </c>
      <c r="B302" t="s">
        <v>88</v>
      </c>
      <c r="C302" t="s">
        <v>9</v>
      </c>
      <c r="D302">
        <v>19.41</v>
      </c>
      <c r="E302" s="1">
        <v>147909</v>
      </c>
      <c r="F302" s="1">
        <v>28709</v>
      </c>
      <c r="G302" s="4">
        <f t="shared" si="13"/>
        <v>13933.935407935973</v>
      </c>
      <c r="H302" s="4">
        <f t="shared" si="14"/>
        <v>12895.587430605325</v>
      </c>
      <c r="I302" s="17">
        <f t="shared" si="12"/>
        <v>7.4519362041772091E-2</v>
      </c>
      <c r="J302">
        <v>46.93</v>
      </c>
    </row>
    <row r="303" spans="1:10" x14ac:dyDescent="0.25">
      <c r="A303" t="s">
        <v>16</v>
      </c>
      <c r="B303" t="s">
        <v>88</v>
      </c>
      <c r="C303" t="s">
        <v>9</v>
      </c>
      <c r="D303">
        <v>21.11</v>
      </c>
      <c r="E303" s="1">
        <v>136416</v>
      </c>
      <c r="F303" s="1">
        <v>28797</v>
      </c>
      <c r="G303" s="4">
        <f t="shared" si="13"/>
        <v>24276.48062238079</v>
      </c>
      <c r="H303" s="4">
        <f t="shared" si="14"/>
        <v>15361.927311708363</v>
      </c>
      <c r="I303" s="17">
        <f t="shared" si="12"/>
        <v>0.36720945879008465</v>
      </c>
      <c r="J303">
        <v>44.01</v>
      </c>
    </row>
    <row r="304" spans="1:10" x14ac:dyDescent="0.25">
      <c r="A304" t="s">
        <v>17</v>
      </c>
      <c r="B304" t="s">
        <v>88</v>
      </c>
      <c r="C304" t="s">
        <v>9</v>
      </c>
      <c r="D304">
        <v>14.17</v>
      </c>
      <c r="E304" s="1">
        <v>131146</v>
      </c>
      <c r="F304" s="1">
        <v>18583</v>
      </c>
      <c r="G304" s="4">
        <f t="shared" si="13"/>
        <v>27440.844186714236</v>
      </c>
      <c r="H304" s="4">
        <f t="shared" si="14"/>
        <v>11255.004147365846</v>
      </c>
      <c r="I304" s="17">
        <f t="shared" si="12"/>
        <v>0.58984482872377986</v>
      </c>
      <c r="J304">
        <v>38.71</v>
      </c>
    </row>
    <row r="305" spans="1:10" x14ac:dyDescent="0.25">
      <c r="A305" t="s">
        <v>18</v>
      </c>
      <c r="B305" t="s">
        <v>88</v>
      </c>
      <c r="C305" t="s">
        <v>9</v>
      </c>
      <c r="D305">
        <v>10.199999999999999</v>
      </c>
      <c r="E305" s="1">
        <v>143028</v>
      </c>
      <c r="F305" s="1">
        <v>14589</v>
      </c>
      <c r="G305" s="4">
        <f t="shared" si="13"/>
        <v>21240.35325601427</v>
      </c>
      <c r="H305" s="4">
        <f t="shared" si="14"/>
        <v>10282.65583039716</v>
      </c>
      <c r="I305" s="17">
        <f t="shared" si="12"/>
        <v>0.51589054539450308</v>
      </c>
      <c r="J305">
        <v>40.159999999999997</v>
      </c>
    </row>
    <row r="306" spans="1:10" x14ac:dyDescent="0.25">
      <c r="A306" t="s">
        <v>19</v>
      </c>
      <c r="B306" t="s">
        <v>88</v>
      </c>
      <c r="C306" t="s">
        <v>9</v>
      </c>
      <c r="D306">
        <v>17.989999999999998</v>
      </c>
      <c r="E306" s="1">
        <v>152807</v>
      </c>
      <c r="F306" s="1">
        <v>27490</v>
      </c>
      <c r="G306" s="4">
        <f t="shared" si="13"/>
        <v>16584.405976804279</v>
      </c>
      <c r="H306" s="4">
        <f t="shared" si="14"/>
        <v>6907.4114595804404</v>
      </c>
      <c r="I306" s="17">
        <f t="shared" si="12"/>
        <v>0.58349961588968169</v>
      </c>
      <c r="J306">
        <v>46.77</v>
      </c>
    </row>
    <row r="307" spans="1:10" x14ac:dyDescent="0.25">
      <c r="A307" t="s">
        <v>20</v>
      </c>
      <c r="B307" t="s">
        <v>88</v>
      </c>
      <c r="C307" t="s">
        <v>9</v>
      </c>
      <c r="D307">
        <v>17.53</v>
      </c>
      <c r="E307" s="1">
        <v>138138</v>
      </c>
      <c r="F307" s="1">
        <v>24216</v>
      </c>
      <c r="G307" s="4">
        <f t="shared" si="13"/>
        <v>24218.321793041283</v>
      </c>
      <c r="H307" s="4">
        <f t="shared" si="14"/>
        <v>8974.6659133949761</v>
      </c>
      <c r="I307" s="17">
        <f t="shared" si="12"/>
        <v>0.62942659734690243</v>
      </c>
      <c r="J307">
        <v>41.85</v>
      </c>
    </row>
    <row r="308" spans="1:10" x14ac:dyDescent="0.25">
      <c r="A308" t="s">
        <v>21</v>
      </c>
      <c r="B308" t="s">
        <v>88</v>
      </c>
      <c r="C308" t="s">
        <v>9</v>
      </c>
      <c r="D308">
        <v>6.15</v>
      </c>
      <c r="E308" s="1">
        <v>141804</v>
      </c>
      <c r="F308" s="1">
        <v>8721</v>
      </c>
      <c r="G308" s="4">
        <f t="shared" si="13"/>
        <v>24216.696537912387</v>
      </c>
      <c r="H308" s="4">
        <f t="shared" si="14"/>
        <v>7375.0138197786182</v>
      </c>
      <c r="I308" s="17">
        <f t="shared" si="12"/>
        <v>0.6954574787592237</v>
      </c>
      <c r="J308">
        <v>37.57</v>
      </c>
    </row>
    <row r="309" spans="1:10" x14ac:dyDescent="0.25">
      <c r="A309" t="s">
        <v>22</v>
      </c>
      <c r="B309" t="s">
        <v>88</v>
      </c>
      <c r="C309" t="s">
        <v>9</v>
      </c>
      <c r="D309">
        <v>10.67</v>
      </c>
      <c r="E309" s="1">
        <v>125279</v>
      </c>
      <c r="F309" s="1">
        <v>13367</v>
      </c>
      <c r="G309" s="4">
        <f t="shared" si="13"/>
        <v>13369.708961373715</v>
      </c>
      <c r="H309" s="4">
        <f t="shared" si="14"/>
        <v>10939.966447001489</v>
      </c>
      <c r="I309" s="17">
        <f t="shared" si="12"/>
        <v>0.18173488453577935</v>
      </c>
      <c r="J309">
        <v>34.72</v>
      </c>
    </row>
    <row r="310" spans="1:10" x14ac:dyDescent="0.25">
      <c r="A310" t="s">
        <v>23</v>
      </c>
      <c r="B310" t="s">
        <v>88</v>
      </c>
      <c r="C310" t="s">
        <v>9</v>
      </c>
      <c r="D310">
        <v>2.54</v>
      </c>
      <c r="E310" s="1">
        <v>148688</v>
      </c>
      <c r="F310" s="1">
        <v>3777</v>
      </c>
      <c r="G310" s="4">
        <f t="shared" si="13"/>
        <v>13367.812688412114</v>
      </c>
      <c r="H310" s="4">
        <f t="shared" si="14"/>
        <v>8946.4448045814006</v>
      </c>
      <c r="I310" s="17">
        <f t="shared" si="12"/>
        <v>0.33074729478094611</v>
      </c>
      <c r="J310">
        <v>37.6</v>
      </c>
    </row>
    <row r="311" spans="1:10" x14ac:dyDescent="0.25">
      <c r="A311" t="s">
        <v>24</v>
      </c>
      <c r="B311" t="s">
        <v>88</v>
      </c>
      <c r="C311" t="s">
        <v>9</v>
      </c>
      <c r="D311">
        <v>13.13</v>
      </c>
      <c r="E311" s="1">
        <v>128418</v>
      </c>
      <c r="F311" s="1">
        <v>16861</v>
      </c>
      <c r="G311" s="4">
        <f t="shared" si="13"/>
        <v>6654.2438065236338</v>
      </c>
      <c r="H311" s="4">
        <f t="shared" si="14"/>
        <v>10521.411606144688</v>
      </c>
      <c r="I311" s="17">
        <f t="shared" si="12"/>
        <v>-0.58115811684413954</v>
      </c>
      <c r="J311">
        <v>36.26</v>
      </c>
    </row>
    <row r="312" spans="1:10" x14ac:dyDescent="0.25">
      <c r="A312" t="s">
        <v>25</v>
      </c>
      <c r="B312" t="s">
        <v>88</v>
      </c>
      <c r="C312" t="s">
        <v>9</v>
      </c>
      <c r="D312">
        <v>4.51</v>
      </c>
      <c r="E312" s="1">
        <v>143693</v>
      </c>
      <c r="F312" s="1">
        <v>6481</v>
      </c>
      <c r="G312" s="4">
        <f t="shared" si="13"/>
        <v>13798.973141957089</v>
      </c>
      <c r="H312" s="4">
        <f t="shared" si="14"/>
        <v>8086.2345451132087</v>
      </c>
      <c r="I312" s="17">
        <f t="shared" si="12"/>
        <v>0.41399737053431573</v>
      </c>
      <c r="J312">
        <v>36.74</v>
      </c>
    </row>
    <row r="313" spans="1:10" x14ac:dyDescent="0.25">
      <c r="A313" t="s">
        <v>26</v>
      </c>
      <c r="B313" t="s">
        <v>88</v>
      </c>
      <c r="C313" t="s">
        <v>9</v>
      </c>
      <c r="D313">
        <v>5.3</v>
      </c>
      <c r="E313" s="1">
        <v>133938</v>
      </c>
      <c r="F313" s="1">
        <v>7099</v>
      </c>
      <c r="G313" s="4">
        <f t="shared" si="13"/>
        <v>8676.3919425871263</v>
      </c>
      <c r="H313" s="4">
        <f t="shared" si="14"/>
        <v>9123.4914903539029</v>
      </c>
      <c r="I313" s="17">
        <f t="shared" si="12"/>
        <v>-5.1530584455531228E-2</v>
      </c>
      <c r="J313">
        <v>34.369999999999997</v>
      </c>
    </row>
    <row r="314" spans="1:10" x14ac:dyDescent="0.25">
      <c r="A314" t="s">
        <v>27</v>
      </c>
      <c r="B314" t="s">
        <v>88</v>
      </c>
      <c r="C314" t="s">
        <v>9</v>
      </c>
      <c r="D314">
        <v>4.12</v>
      </c>
      <c r="E314" s="1">
        <v>146744</v>
      </c>
      <c r="F314" s="1">
        <v>6046</v>
      </c>
      <c r="G314" s="4">
        <f t="shared" si="13"/>
        <v>7572.2175827761366</v>
      </c>
      <c r="H314" s="4">
        <f t="shared" si="14"/>
        <v>7307.9584071068775</v>
      </c>
      <c r="I314" s="17">
        <f t="shared" si="12"/>
        <v>3.4898518535751856E-2</v>
      </c>
      <c r="J314">
        <v>37.020000000000003</v>
      </c>
    </row>
    <row r="315" spans="1:10" x14ac:dyDescent="0.25">
      <c r="A315" t="s">
        <v>28</v>
      </c>
      <c r="B315" t="s">
        <v>88</v>
      </c>
      <c r="C315" t="s">
        <v>9</v>
      </c>
      <c r="D315">
        <v>15.94</v>
      </c>
      <c r="E315" s="1">
        <v>138058</v>
      </c>
      <c r="F315" s="1">
        <v>22006</v>
      </c>
      <c r="G315" s="4">
        <f t="shared" si="13"/>
        <v>6503.8652748328404</v>
      </c>
      <c r="H315" s="4">
        <f t="shared" si="14"/>
        <v>4410.9801011007039</v>
      </c>
      <c r="I315" s="17">
        <f t="shared" si="12"/>
        <v>0.32179097894765768</v>
      </c>
      <c r="J315">
        <v>39.54</v>
      </c>
    </row>
    <row r="316" spans="1:10" x14ac:dyDescent="0.25">
      <c r="A316" t="s">
        <v>29</v>
      </c>
      <c r="B316" t="s">
        <v>88</v>
      </c>
      <c r="C316" t="s">
        <v>9</v>
      </c>
      <c r="D316">
        <v>3.23</v>
      </c>
      <c r="E316" s="1">
        <v>152660</v>
      </c>
      <c r="F316" s="1">
        <v>4931</v>
      </c>
      <c r="G316" s="4">
        <f t="shared" si="13"/>
        <v>17355.359582449852</v>
      </c>
      <c r="H316" s="4">
        <f t="shared" si="14"/>
        <v>9039.4263550984851</v>
      </c>
      <c r="I316" s="17">
        <f t="shared" si="12"/>
        <v>0.47915649271598115</v>
      </c>
      <c r="J316">
        <v>37.799999999999997</v>
      </c>
    </row>
    <row r="317" spans="1:10" x14ac:dyDescent="0.25">
      <c r="A317" t="s">
        <v>30</v>
      </c>
      <c r="B317" t="s">
        <v>88</v>
      </c>
      <c r="C317" t="s">
        <v>9</v>
      </c>
      <c r="D317">
        <v>4.4000000000000004</v>
      </c>
      <c r="E317" s="1">
        <v>136457</v>
      </c>
      <c r="F317" s="1">
        <v>6004</v>
      </c>
      <c r="G317" s="4">
        <f t="shared" si="13"/>
        <v>8658.3078747349555</v>
      </c>
      <c r="H317" s="4">
        <f t="shared" si="14"/>
        <v>11503.770862652269</v>
      </c>
      <c r="I317" s="17">
        <f t="shared" si="12"/>
        <v>-0.32863961747311021</v>
      </c>
      <c r="J317">
        <v>34.049999999999997</v>
      </c>
    </row>
    <row r="318" spans="1:10" x14ac:dyDescent="0.25">
      <c r="A318" t="s">
        <v>31</v>
      </c>
      <c r="B318" t="s">
        <v>88</v>
      </c>
      <c r="C318" t="s">
        <v>9</v>
      </c>
      <c r="D318">
        <v>3.49</v>
      </c>
      <c r="E318" s="1">
        <v>161595</v>
      </c>
      <c r="F318" s="1">
        <v>5640</v>
      </c>
      <c r="G318" s="4">
        <f t="shared" si="13"/>
        <v>6800.2923624204868</v>
      </c>
      <c r="H318" s="4">
        <f t="shared" si="14"/>
        <v>11571.894721913188</v>
      </c>
      <c r="I318" s="17">
        <f t="shared" si="12"/>
        <v>-0.70167606114427461</v>
      </c>
      <c r="J318">
        <v>39.76</v>
      </c>
    </row>
    <row r="319" spans="1:10" x14ac:dyDescent="0.25">
      <c r="A319" t="s">
        <v>32</v>
      </c>
      <c r="B319" t="s">
        <v>88</v>
      </c>
      <c r="C319" t="s">
        <v>9</v>
      </c>
      <c r="D319">
        <v>3.82</v>
      </c>
      <c r="E319" s="1">
        <v>142949</v>
      </c>
      <c r="F319" s="1">
        <v>5461</v>
      </c>
      <c r="G319" s="4">
        <f t="shared" si="13"/>
        <v>5988.0877087261451</v>
      </c>
      <c r="H319" s="4">
        <f t="shared" si="14"/>
        <v>7365.6033854257257</v>
      </c>
      <c r="I319" s="17">
        <f t="shared" si="12"/>
        <v>-0.23004266866235024</v>
      </c>
      <c r="J319">
        <v>35.119999999999997</v>
      </c>
    </row>
    <row r="320" spans="1:10" x14ac:dyDescent="0.25">
      <c r="A320" t="s">
        <v>33</v>
      </c>
      <c r="B320" t="s">
        <v>88</v>
      </c>
      <c r="C320" t="s">
        <v>9</v>
      </c>
      <c r="D320">
        <v>3.87</v>
      </c>
      <c r="E320" s="1">
        <v>153021</v>
      </c>
      <c r="F320" s="1">
        <v>5922</v>
      </c>
      <c r="G320" s="4">
        <f t="shared" si="13"/>
        <v>5619.1263126178437</v>
      </c>
      <c r="H320" s="4">
        <f t="shared" si="14"/>
        <v>1699.9460886413906</v>
      </c>
      <c r="I320" s="17">
        <f t="shared" si="12"/>
        <v>0.69747145836103863</v>
      </c>
      <c r="J320">
        <v>37.44</v>
      </c>
    </row>
    <row r="321" spans="1:10" x14ac:dyDescent="0.25">
      <c r="A321" t="s">
        <v>34</v>
      </c>
      <c r="B321" t="s">
        <v>88</v>
      </c>
      <c r="C321" t="s">
        <v>9</v>
      </c>
      <c r="D321">
        <v>4.4400000000000004</v>
      </c>
      <c r="E321" s="1">
        <v>144573</v>
      </c>
      <c r="F321" s="1">
        <v>6419</v>
      </c>
      <c r="G321" s="4">
        <f t="shared" si="13"/>
        <v>5831.1378937853524</v>
      </c>
      <c r="H321" s="4">
        <f t="shared" si="14"/>
        <v>756.26985692717653</v>
      </c>
      <c r="I321" s="17">
        <f t="shared" si="12"/>
        <v>0.87030492663649983</v>
      </c>
      <c r="J321">
        <v>35.43</v>
      </c>
    </row>
    <row r="322" spans="1:10" x14ac:dyDescent="0.25">
      <c r="A322" t="s">
        <v>35</v>
      </c>
      <c r="B322" t="s">
        <v>88</v>
      </c>
      <c r="C322" t="s">
        <v>9</v>
      </c>
      <c r="D322">
        <v>4.8899999999999997</v>
      </c>
      <c r="E322" s="1">
        <v>157209</v>
      </c>
      <c r="F322" s="1">
        <v>7688</v>
      </c>
      <c r="G322" s="4">
        <f t="shared" si="13"/>
        <v>6242.6413681356053</v>
      </c>
      <c r="H322" s="4">
        <f t="shared" si="14"/>
        <v>488.24030255662814</v>
      </c>
      <c r="I322" s="17">
        <f t="shared" si="12"/>
        <v>0.9217894679888613</v>
      </c>
      <c r="J322">
        <v>38.53</v>
      </c>
    </row>
    <row r="323" spans="1:10" x14ac:dyDescent="0.25">
      <c r="A323" t="s">
        <v>36</v>
      </c>
      <c r="B323" t="s">
        <v>88</v>
      </c>
      <c r="C323" t="s">
        <v>9</v>
      </c>
      <c r="D323">
        <v>8.23</v>
      </c>
      <c r="E323" s="1">
        <v>136151</v>
      </c>
      <c r="F323" s="1">
        <v>11205</v>
      </c>
      <c r="G323" s="4">
        <f t="shared" si="13"/>
        <v>7254.3924104406815</v>
      </c>
      <c r="H323" s="4">
        <f t="shared" si="14"/>
        <v>917.67385294495205</v>
      </c>
      <c r="I323" s="17">
        <f t="shared" ref="I323:I386" si="15">(G323-H323)/G323</f>
        <v>0.87350093556777886</v>
      </c>
      <c r="J323">
        <v>34.42</v>
      </c>
    </row>
    <row r="324" spans="1:10" x14ac:dyDescent="0.25">
      <c r="A324" t="s">
        <v>37</v>
      </c>
      <c r="B324" t="s">
        <v>88</v>
      </c>
      <c r="C324" t="s">
        <v>9</v>
      </c>
      <c r="D324">
        <v>4.22</v>
      </c>
      <c r="E324" s="1">
        <v>155775</v>
      </c>
      <c r="F324" s="1">
        <v>6574</v>
      </c>
      <c r="G324" s="4">
        <f t="shared" ref="G324:G387" si="16">0.7*F323+0.3*G323</f>
        <v>10019.817723132204</v>
      </c>
      <c r="H324" s="4">
        <f t="shared" si="14"/>
        <v>2452.3419933682253</v>
      </c>
      <c r="I324" s="17">
        <f t="shared" si="15"/>
        <v>0.75525083777655577</v>
      </c>
      <c r="J324">
        <v>37.56</v>
      </c>
    </row>
    <row r="325" spans="1:10" x14ac:dyDescent="0.25">
      <c r="A325" t="s">
        <v>38</v>
      </c>
      <c r="B325" t="s">
        <v>88</v>
      </c>
      <c r="C325" t="s">
        <v>9</v>
      </c>
      <c r="D325">
        <v>6.38</v>
      </c>
      <c r="E325" s="1">
        <v>149248</v>
      </c>
      <c r="F325" s="1">
        <v>9522</v>
      </c>
      <c r="G325" s="4">
        <f t="shared" si="16"/>
        <v>7607.7453169396604</v>
      </c>
      <c r="H325" s="4">
        <f t="shared" si="14"/>
        <v>3139.5340250022568</v>
      </c>
      <c r="I325" s="17">
        <f t="shared" si="15"/>
        <v>0.58732398441208777</v>
      </c>
      <c r="J325">
        <v>36.65</v>
      </c>
    </row>
    <row r="326" spans="1:10" x14ac:dyDescent="0.25">
      <c r="A326" t="s">
        <v>39</v>
      </c>
      <c r="B326" t="s">
        <v>88</v>
      </c>
      <c r="C326" t="s">
        <v>9</v>
      </c>
      <c r="D326">
        <v>14.58</v>
      </c>
      <c r="E326" s="1">
        <v>152907</v>
      </c>
      <c r="F326" s="1">
        <v>22294</v>
      </c>
      <c r="G326" s="4">
        <f t="shared" si="16"/>
        <v>8947.7235950818977</v>
      </c>
      <c r="H326" s="4">
        <f t="shared" ref="H326:H389" si="17">SQRT(SUMXMY2(F323:F325,G323:G325)/3)</f>
        <v>3222.0765095071915</v>
      </c>
      <c r="I326" s="17">
        <f t="shared" si="15"/>
        <v>0.63989986109112706</v>
      </c>
      <c r="J326">
        <v>40.96</v>
      </c>
    </row>
    <row r="327" spans="1:10" x14ac:dyDescent="0.25">
      <c r="A327" t="s">
        <v>40</v>
      </c>
      <c r="B327" t="s">
        <v>88</v>
      </c>
      <c r="C327" t="s">
        <v>9</v>
      </c>
      <c r="D327">
        <v>6.94</v>
      </c>
      <c r="E327" s="1">
        <v>138141</v>
      </c>
      <c r="F327" s="1">
        <v>9587</v>
      </c>
      <c r="G327" s="4">
        <f t="shared" si="16"/>
        <v>18290.11707852457</v>
      </c>
      <c r="H327" s="4">
        <f t="shared" si="17"/>
        <v>8034.5322338255246</v>
      </c>
      <c r="I327" s="17">
        <f t="shared" si="15"/>
        <v>0.5607172879576966</v>
      </c>
      <c r="J327">
        <v>33.799999999999997</v>
      </c>
    </row>
    <row r="328" spans="1:10" x14ac:dyDescent="0.25">
      <c r="A328" t="s">
        <v>41</v>
      </c>
      <c r="B328" t="s">
        <v>88</v>
      </c>
      <c r="C328" t="s">
        <v>9</v>
      </c>
      <c r="D328">
        <v>5.52</v>
      </c>
      <c r="E328" s="1">
        <v>163295</v>
      </c>
      <c r="F328" s="1">
        <v>9014</v>
      </c>
      <c r="G328" s="4">
        <f t="shared" si="16"/>
        <v>12197.93512355737</v>
      </c>
      <c r="H328" s="4">
        <f t="shared" si="17"/>
        <v>9265.1985362897685</v>
      </c>
      <c r="I328" s="17">
        <f t="shared" si="15"/>
        <v>0.24042893797686532</v>
      </c>
      <c r="J328">
        <v>39.18</v>
      </c>
    </row>
    <row r="329" spans="1:10" x14ac:dyDescent="0.25">
      <c r="A329" t="s">
        <v>42</v>
      </c>
      <c r="B329" t="s">
        <v>88</v>
      </c>
      <c r="C329" t="s">
        <v>9</v>
      </c>
      <c r="D329">
        <v>12.57</v>
      </c>
      <c r="E329" s="1">
        <v>141566</v>
      </c>
      <c r="F329" s="1">
        <v>17795</v>
      </c>
      <c r="G329" s="4">
        <f t="shared" si="16"/>
        <v>9969.18053706721</v>
      </c>
      <c r="H329" s="4">
        <f t="shared" si="17"/>
        <v>9380.9165087071324</v>
      </c>
      <c r="I329" s="17">
        <f t="shared" si="15"/>
        <v>5.9008263133845953E-2</v>
      </c>
      <c r="J329">
        <v>36.53</v>
      </c>
    </row>
    <row r="330" spans="1:10" x14ac:dyDescent="0.25">
      <c r="A330" t="s">
        <v>43</v>
      </c>
      <c r="B330" t="s">
        <v>88</v>
      </c>
      <c r="C330" t="s">
        <v>9</v>
      </c>
      <c r="D330">
        <v>11.44</v>
      </c>
      <c r="E330" s="1">
        <v>157215</v>
      </c>
      <c r="F330" s="1">
        <v>17985</v>
      </c>
      <c r="G330" s="4">
        <f t="shared" si="16"/>
        <v>15447.254161120163</v>
      </c>
      <c r="H330" s="4">
        <f t="shared" si="17"/>
        <v>7002.9788904424095</v>
      </c>
      <c r="I330" s="17">
        <f t="shared" si="15"/>
        <v>0.54665218702308283</v>
      </c>
      <c r="J330">
        <v>39.86</v>
      </c>
    </row>
    <row r="331" spans="1:10" x14ac:dyDescent="0.25">
      <c r="A331" t="s">
        <v>44</v>
      </c>
      <c r="B331" t="s">
        <v>88</v>
      </c>
      <c r="C331" t="s">
        <v>9</v>
      </c>
      <c r="D331">
        <v>9.15</v>
      </c>
      <c r="E331" s="1">
        <v>137901</v>
      </c>
      <c r="F331" s="1">
        <v>12618</v>
      </c>
      <c r="G331" s="4">
        <f t="shared" si="16"/>
        <v>17223.676248336051</v>
      </c>
      <c r="H331" s="4">
        <f t="shared" si="17"/>
        <v>5093.1668956289495</v>
      </c>
      <c r="I331" s="17">
        <f t="shared" si="15"/>
        <v>0.70429269441702425</v>
      </c>
      <c r="J331">
        <v>33.92</v>
      </c>
    </row>
    <row r="332" spans="1:10" x14ac:dyDescent="0.25">
      <c r="A332" t="s">
        <v>45</v>
      </c>
      <c r="B332" t="s">
        <v>88</v>
      </c>
      <c r="C332" t="s">
        <v>9</v>
      </c>
      <c r="D332">
        <v>9.44</v>
      </c>
      <c r="E332" s="1">
        <v>163568</v>
      </c>
      <c r="F332" s="1">
        <v>15441</v>
      </c>
      <c r="G332" s="4">
        <f t="shared" si="16"/>
        <v>13999.702874500814</v>
      </c>
      <c r="H332" s="4">
        <f t="shared" si="17"/>
        <v>5443.5239172695356</v>
      </c>
      <c r="I332" s="17">
        <f t="shared" si="15"/>
        <v>0.61116861078641749</v>
      </c>
      <c r="J332">
        <v>40.18</v>
      </c>
    </row>
    <row r="333" spans="1:10" x14ac:dyDescent="0.25">
      <c r="A333" t="s">
        <v>46</v>
      </c>
      <c r="B333" t="s">
        <v>88</v>
      </c>
      <c r="C333" t="s">
        <v>9</v>
      </c>
      <c r="D333">
        <v>8.33</v>
      </c>
      <c r="E333" s="1">
        <v>153787</v>
      </c>
      <c r="F333" s="1">
        <v>12810</v>
      </c>
      <c r="G333" s="4">
        <f t="shared" si="16"/>
        <v>15008.610862350244</v>
      </c>
      <c r="H333" s="4">
        <f t="shared" si="17"/>
        <v>3148.0017498518528</v>
      </c>
      <c r="I333" s="17">
        <f t="shared" si="15"/>
        <v>0.79025362315517467</v>
      </c>
      <c r="J333">
        <v>37.159999999999997</v>
      </c>
    </row>
    <row r="334" spans="1:10" x14ac:dyDescent="0.25">
      <c r="A334" t="s">
        <v>47</v>
      </c>
      <c r="B334" t="s">
        <v>88</v>
      </c>
      <c r="C334" t="s">
        <v>9</v>
      </c>
      <c r="D334">
        <v>10.130000000000001</v>
      </c>
      <c r="E334" s="1">
        <v>164083</v>
      </c>
      <c r="F334" s="1">
        <v>16622</v>
      </c>
      <c r="G334" s="4">
        <f t="shared" si="16"/>
        <v>13469.583258705072</v>
      </c>
      <c r="H334" s="4">
        <f t="shared" si="17"/>
        <v>3061.7794843578322</v>
      </c>
      <c r="I334" s="17">
        <f t="shared" si="15"/>
        <v>0.7726893679224206</v>
      </c>
      <c r="J334">
        <v>40.25</v>
      </c>
    </row>
    <row r="335" spans="1:10" x14ac:dyDescent="0.25">
      <c r="A335" t="s">
        <v>48</v>
      </c>
      <c r="B335" t="s">
        <v>88</v>
      </c>
      <c r="C335" t="s">
        <v>9</v>
      </c>
      <c r="D335">
        <v>9.74</v>
      </c>
      <c r="E335" s="1">
        <v>141714</v>
      </c>
      <c r="F335" s="1">
        <v>13803</v>
      </c>
      <c r="G335" s="4">
        <f t="shared" si="16"/>
        <v>15676.274977611522</v>
      </c>
      <c r="H335" s="4">
        <f t="shared" si="17"/>
        <v>2369.8775241780768</v>
      </c>
      <c r="I335" s="17">
        <f t="shared" si="15"/>
        <v>0.84882393760235264</v>
      </c>
      <c r="J335">
        <v>34.450000000000003</v>
      </c>
    </row>
    <row r="336" spans="1:10" x14ac:dyDescent="0.25">
      <c r="A336" t="s">
        <v>49</v>
      </c>
      <c r="B336" t="s">
        <v>88</v>
      </c>
      <c r="C336" t="s">
        <v>9</v>
      </c>
      <c r="D336">
        <v>12.56</v>
      </c>
      <c r="E336" s="1">
        <v>169487</v>
      </c>
      <c r="F336" s="1">
        <v>21288</v>
      </c>
      <c r="G336" s="4">
        <f t="shared" si="16"/>
        <v>14364.982493283454</v>
      </c>
      <c r="H336" s="4">
        <f t="shared" si="17"/>
        <v>2468.5204864848679</v>
      </c>
      <c r="I336" s="17">
        <f t="shared" si="15"/>
        <v>0.82815708354402395</v>
      </c>
      <c r="J336">
        <v>42.33</v>
      </c>
    </row>
    <row r="337" spans="1:10" x14ac:dyDescent="0.25">
      <c r="A337" t="s">
        <v>50</v>
      </c>
      <c r="B337" t="s">
        <v>88</v>
      </c>
      <c r="C337" t="s">
        <v>9</v>
      </c>
      <c r="D337">
        <v>9.33</v>
      </c>
      <c r="E337" s="1">
        <v>149076</v>
      </c>
      <c r="F337" s="1">
        <v>13909</v>
      </c>
      <c r="G337" s="4">
        <f t="shared" si="16"/>
        <v>19211.094747985037</v>
      </c>
      <c r="H337" s="4">
        <f t="shared" si="17"/>
        <v>4523.0911941151398</v>
      </c>
      <c r="I337" s="17">
        <f t="shared" si="15"/>
        <v>0.76455838392085673</v>
      </c>
      <c r="J337">
        <v>35.74</v>
      </c>
    </row>
    <row r="338" spans="1:10" x14ac:dyDescent="0.25">
      <c r="A338" t="s">
        <v>51</v>
      </c>
      <c r="B338" t="s">
        <v>88</v>
      </c>
      <c r="C338" t="s">
        <v>9</v>
      </c>
      <c r="D338">
        <v>11.07</v>
      </c>
      <c r="E338" s="1">
        <v>166605</v>
      </c>
      <c r="F338" s="1">
        <v>18443</v>
      </c>
      <c r="G338" s="4">
        <f t="shared" si="16"/>
        <v>15499.628424395509</v>
      </c>
      <c r="H338" s="4">
        <f t="shared" si="17"/>
        <v>5149.4187133649602</v>
      </c>
      <c r="I338" s="17">
        <f t="shared" si="15"/>
        <v>0.66777147345931998</v>
      </c>
      <c r="J338">
        <v>40.53</v>
      </c>
    </row>
    <row r="339" spans="1:10" x14ac:dyDescent="0.25">
      <c r="A339" t="s">
        <v>52</v>
      </c>
      <c r="B339" t="s">
        <v>88</v>
      </c>
      <c r="C339" t="s">
        <v>9</v>
      </c>
      <c r="D339">
        <v>17.18</v>
      </c>
      <c r="E339" s="1">
        <v>135407</v>
      </c>
      <c r="F339" s="1">
        <v>23263</v>
      </c>
      <c r="G339" s="4">
        <f t="shared" si="16"/>
        <v>17559.988527318652</v>
      </c>
      <c r="H339" s="4">
        <f t="shared" si="17"/>
        <v>5313.6245114796093</v>
      </c>
      <c r="I339" s="17">
        <f t="shared" si="15"/>
        <v>0.6974015954957471</v>
      </c>
      <c r="J339">
        <v>35.21</v>
      </c>
    </row>
    <row r="340" spans="1:10" x14ac:dyDescent="0.25">
      <c r="A340" t="s">
        <v>53</v>
      </c>
      <c r="B340" t="s">
        <v>88</v>
      </c>
      <c r="C340" t="s">
        <v>9</v>
      </c>
      <c r="D340">
        <v>12.5</v>
      </c>
      <c r="E340" s="1">
        <v>166056</v>
      </c>
      <c r="F340" s="1">
        <v>20757</v>
      </c>
      <c r="G340" s="4">
        <f t="shared" si="16"/>
        <v>21552.096558195593</v>
      </c>
      <c r="H340" s="4">
        <f t="shared" si="17"/>
        <v>4806.2454094029936</v>
      </c>
      <c r="I340" s="17">
        <f t="shared" si="15"/>
        <v>0.77699406661319326</v>
      </c>
      <c r="J340">
        <v>40.68</v>
      </c>
    </row>
    <row r="341" spans="1:10" x14ac:dyDescent="0.25">
      <c r="A341" t="s">
        <v>54</v>
      </c>
      <c r="B341" t="s">
        <v>88</v>
      </c>
      <c r="C341" t="s">
        <v>9</v>
      </c>
      <c r="D341">
        <v>15.84</v>
      </c>
      <c r="E341" s="1">
        <v>149511</v>
      </c>
      <c r="F341" s="1">
        <v>23683</v>
      </c>
      <c r="G341" s="4">
        <f t="shared" si="16"/>
        <v>20995.528967458678</v>
      </c>
      <c r="H341" s="4">
        <f t="shared" si="17"/>
        <v>3733.6289150756097</v>
      </c>
      <c r="I341" s="17">
        <f t="shared" si="15"/>
        <v>0.82217028583264451</v>
      </c>
      <c r="J341">
        <v>37.9</v>
      </c>
    </row>
    <row r="342" spans="1:10" x14ac:dyDescent="0.25">
      <c r="A342" t="s">
        <v>55</v>
      </c>
      <c r="B342" t="s">
        <v>88</v>
      </c>
      <c r="C342" t="s">
        <v>9</v>
      </c>
      <c r="D342">
        <v>11.11</v>
      </c>
      <c r="E342" s="1">
        <v>178768</v>
      </c>
      <c r="F342" s="1">
        <v>19861</v>
      </c>
      <c r="G342" s="4">
        <f t="shared" si="16"/>
        <v>22876.758690237602</v>
      </c>
      <c r="H342" s="4">
        <f t="shared" si="17"/>
        <v>3668.7426976707916</v>
      </c>
      <c r="I342" s="17">
        <f t="shared" si="15"/>
        <v>0.83963013522381624</v>
      </c>
      <c r="J342">
        <v>42.71</v>
      </c>
    </row>
    <row r="343" spans="1:10" x14ac:dyDescent="0.25">
      <c r="A343" t="s">
        <v>56</v>
      </c>
      <c r="B343" t="s">
        <v>88</v>
      </c>
      <c r="C343" t="s">
        <v>9</v>
      </c>
      <c r="D343">
        <v>16.97</v>
      </c>
      <c r="E343" s="1">
        <v>145671</v>
      </c>
      <c r="F343" s="1">
        <v>24720</v>
      </c>
      <c r="G343" s="4">
        <f t="shared" si="16"/>
        <v>20765.72760707128</v>
      </c>
      <c r="H343" s="4">
        <f t="shared" si="17"/>
        <v>2376.9363731034687</v>
      </c>
      <c r="I343" s="17">
        <f t="shared" si="15"/>
        <v>0.88553560857197899</v>
      </c>
      <c r="J343">
        <v>37.08</v>
      </c>
    </row>
    <row r="344" spans="1:10" x14ac:dyDescent="0.25">
      <c r="A344" t="s">
        <v>57</v>
      </c>
      <c r="B344" t="s">
        <v>88</v>
      </c>
      <c r="C344" t="s">
        <v>9</v>
      </c>
      <c r="D344">
        <v>13.48</v>
      </c>
      <c r="E344" s="1">
        <v>157791</v>
      </c>
      <c r="F344" s="1">
        <v>21270</v>
      </c>
      <c r="G344" s="4">
        <f t="shared" si="16"/>
        <v>23533.718282121383</v>
      </c>
      <c r="H344" s="4">
        <f t="shared" si="17"/>
        <v>3263.6161531839989</v>
      </c>
      <c r="I344" s="17">
        <f t="shared" si="15"/>
        <v>0.86132169536237813</v>
      </c>
      <c r="J344">
        <v>38.36</v>
      </c>
    </row>
    <row r="345" spans="1:10" x14ac:dyDescent="0.25">
      <c r="A345" t="s">
        <v>58</v>
      </c>
      <c r="B345" t="s">
        <v>88</v>
      </c>
      <c r="C345" t="s">
        <v>9</v>
      </c>
      <c r="D345">
        <v>13.81</v>
      </c>
      <c r="E345" s="1">
        <v>147500</v>
      </c>
      <c r="F345" s="1">
        <v>20370</v>
      </c>
      <c r="G345" s="4">
        <f t="shared" si="16"/>
        <v>21949.115484636412</v>
      </c>
      <c r="H345" s="4">
        <f t="shared" si="17"/>
        <v>3154.652178187659</v>
      </c>
      <c r="I345" s="17">
        <f t="shared" si="15"/>
        <v>0.8562742913081941</v>
      </c>
      <c r="J345">
        <v>35.840000000000003</v>
      </c>
    </row>
    <row r="346" spans="1:10" x14ac:dyDescent="0.25">
      <c r="A346" t="s">
        <v>59</v>
      </c>
      <c r="B346" t="s">
        <v>88</v>
      </c>
      <c r="C346" t="s">
        <v>9</v>
      </c>
      <c r="D346">
        <v>15.18</v>
      </c>
      <c r="E346" s="1">
        <v>152413</v>
      </c>
      <c r="F346" s="1">
        <v>23136</v>
      </c>
      <c r="G346" s="4">
        <f t="shared" si="16"/>
        <v>20843.734645390923</v>
      </c>
      <c r="H346" s="4">
        <f t="shared" si="17"/>
        <v>2784.1393842087782</v>
      </c>
      <c r="I346" s="17">
        <f t="shared" si="15"/>
        <v>0.86642799711401897</v>
      </c>
      <c r="J346">
        <v>37.450000000000003</v>
      </c>
    </row>
    <row r="347" spans="1:10" x14ac:dyDescent="0.25">
      <c r="A347" t="s">
        <v>60</v>
      </c>
      <c r="B347" t="s">
        <v>88</v>
      </c>
      <c r="C347" t="s">
        <v>9</v>
      </c>
      <c r="D347">
        <v>20.69</v>
      </c>
      <c r="E347" s="1">
        <v>115487</v>
      </c>
      <c r="F347" s="1">
        <v>23894</v>
      </c>
      <c r="G347" s="4">
        <f t="shared" si="16"/>
        <v>22448.320393617276</v>
      </c>
      <c r="H347" s="4">
        <f t="shared" si="17"/>
        <v>2071.43321000784</v>
      </c>
      <c r="I347" s="17">
        <f t="shared" si="15"/>
        <v>0.90772435649141892</v>
      </c>
      <c r="J347">
        <v>30.21</v>
      </c>
    </row>
    <row r="348" spans="1:10" x14ac:dyDescent="0.25">
      <c r="A348" t="s">
        <v>61</v>
      </c>
      <c r="B348" t="s">
        <v>88</v>
      </c>
      <c r="C348" t="s">
        <v>9</v>
      </c>
      <c r="D348">
        <v>22.76</v>
      </c>
      <c r="E348" s="1">
        <v>129610</v>
      </c>
      <c r="F348" s="1">
        <v>29499</v>
      </c>
      <c r="G348" s="4">
        <f t="shared" si="16"/>
        <v>23460.296118085182</v>
      </c>
      <c r="H348" s="4">
        <f t="shared" si="17"/>
        <v>1810.8999322685277</v>
      </c>
      <c r="I348" s="17">
        <f t="shared" si="15"/>
        <v>0.92281001385687833</v>
      </c>
      <c r="J348">
        <v>34.65</v>
      </c>
    </row>
    <row r="349" spans="1:10" x14ac:dyDescent="0.25">
      <c r="A349" t="s">
        <v>62</v>
      </c>
      <c r="B349" t="s">
        <v>88</v>
      </c>
      <c r="C349" t="s">
        <v>9</v>
      </c>
      <c r="D349">
        <v>21.14</v>
      </c>
      <c r="E349" s="1">
        <v>112108</v>
      </c>
      <c r="F349" s="1">
        <v>23700</v>
      </c>
      <c r="G349" s="4">
        <f t="shared" si="16"/>
        <v>27687.388835425554</v>
      </c>
      <c r="H349" s="4">
        <f t="shared" si="17"/>
        <v>3821.4488767876633</v>
      </c>
      <c r="I349" s="17">
        <f t="shared" si="15"/>
        <v>0.86197871892136735</v>
      </c>
      <c r="J349">
        <v>29.22</v>
      </c>
    </row>
    <row r="350" spans="1:10" x14ac:dyDescent="0.25">
      <c r="A350" t="s">
        <v>63</v>
      </c>
      <c r="B350" t="s">
        <v>88</v>
      </c>
      <c r="C350" t="s">
        <v>9</v>
      </c>
      <c r="D350">
        <v>16.2</v>
      </c>
      <c r="E350" s="1">
        <v>142944</v>
      </c>
      <c r="F350" s="1">
        <v>23157</v>
      </c>
      <c r="G350" s="4">
        <f t="shared" si="16"/>
        <v>24896.216650627666</v>
      </c>
      <c r="H350" s="4">
        <f t="shared" si="17"/>
        <v>4260.485254938314</v>
      </c>
      <c r="I350" s="17">
        <f t="shared" si="15"/>
        <v>0.8288701727364306</v>
      </c>
      <c r="J350">
        <v>34.89</v>
      </c>
    </row>
    <row r="351" spans="1:10" x14ac:dyDescent="0.25">
      <c r="A351" t="s">
        <v>64</v>
      </c>
      <c r="B351" t="s">
        <v>88</v>
      </c>
      <c r="C351" t="s">
        <v>9</v>
      </c>
      <c r="D351">
        <v>20</v>
      </c>
      <c r="E351" s="1">
        <v>121757</v>
      </c>
      <c r="F351" s="1">
        <v>24351</v>
      </c>
      <c r="G351" s="4">
        <f t="shared" si="16"/>
        <v>23678.7649951883</v>
      </c>
      <c r="H351" s="4">
        <f t="shared" si="17"/>
        <v>4296.9015525201403</v>
      </c>
      <c r="I351" s="17">
        <f t="shared" si="15"/>
        <v>0.818533544574926</v>
      </c>
      <c r="J351">
        <v>30.98</v>
      </c>
    </row>
    <row r="352" spans="1:10" x14ac:dyDescent="0.25">
      <c r="A352" t="s">
        <v>65</v>
      </c>
      <c r="B352" t="s">
        <v>88</v>
      </c>
      <c r="C352" t="s">
        <v>9</v>
      </c>
      <c r="D352">
        <v>8.6999999999999993</v>
      </c>
      <c r="E352" s="1">
        <v>144510</v>
      </c>
      <c r="F352" s="1">
        <v>12572</v>
      </c>
      <c r="G352" s="4">
        <f t="shared" si="16"/>
        <v>24149.32949855649</v>
      </c>
      <c r="H352" s="4">
        <f t="shared" si="17"/>
        <v>2541.3935930502817</v>
      </c>
      <c r="I352" s="17">
        <f t="shared" si="15"/>
        <v>0.89476338905383723</v>
      </c>
      <c r="J352">
        <v>32.07</v>
      </c>
    </row>
    <row r="353" spans="1:10" x14ac:dyDescent="0.25">
      <c r="A353" t="s">
        <v>66</v>
      </c>
      <c r="B353" t="s">
        <v>88</v>
      </c>
      <c r="C353" t="s">
        <v>9</v>
      </c>
      <c r="D353">
        <v>9.14</v>
      </c>
      <c r="E353" s="1">
        <v>132505</v>
      </c>
      <c r="F353" s="1">
        <v>12111</v>
      </c>
      <c r="G353" s="4">
        <f t="shared" si="16"/>
        <v>16045.198849566947</v>
      </c>
      <c r="H353" s="4">
        <f t="shared" si="17"/>
        <v>6770.3109918147029</v>
      </c>
      <c r="I353" s="17">
        <f t="shared" si="15"/>
        <v>0.57804754834824434</v>
      </c>
      <c r="J353">
        <v>29.41</v>
      </c>
    </row>
    <row r="354" spans="1:10" x14ac:dyDescent="0.25">
      <c r="A354" t="s">
        <v>67</v>
      </c>
      <c r="B354" t="s">
        <v>88</v>
      </c>
      <c r="C354" t="s">
        <v>9</v>
      </c>
      <c r="D354">
        <v>7.07</v>
      </c>
      <c r="E354" s="1">
        <v>154829</v>
      </c>
      <c r="F354" s="1">
        <v>10946</v>
      </c>
      <c r="G354" s="4">
        <f t="shared" si="16"/>
        <v>13291.259654870082</v>
      </c>
      <c r="H354" s="4">
        <f t="shared" si="17"/>
        <v>7070.2281624611032</v>
      </c>
      <c r="I354" s="17">
        <f t="shared" si="15"/>
        <v>0.46805431945116777</v>
      </c>
      <c r="J354">
        <v>33.450000000000003</v>
      </c>
    </row>
    <row r="355" spans="1:10" x14ac:dyDescent="0.25">
      <c r="A355" t="s">
        <v>68</v>
      </c>
      <c r="B355" t="s">
        <v>88</v>
      </c>
      <c r="C355" t="s">
        <v>9</v>
      </c>
      <c r="D355">
        <v>9.93</v>
      </c>
      <c r="E355" s="1">
        <v>138922</v>
      </c>
      <c r="F355" s="1">
        <v>13795</v>
      </c>
      <c r="G355" s="4">
        <f t="shared" si="16"/>
        <v>11649.577896461025</v>
      </c>
      <c r="H355" s="4">
        <f t="shared" si="17"/>
        <v>7188.2478568573188</v>
      </c>
      <c r="I355" s="17">
        <f t="shared" si="15"/>
        <v>0.38296065997026335</v>
      </c>
      <c r="J355">
        <v>30.82</v>
      </c>
    </row>
    <row r="356" spans="1:10" x14ac:dyDescent="0.25">
      <c r="A356" t="s">
        <v>69</v>
      </c>
      <c r="B356" t="s">
        <v>88</v>
      </c>
      <c r="C356" t="s">
        <v>9</v>
      </c>
      <c r="D356">
        <v>10.32</v>
      </c>
      <c r="E356" s="1">
        <v>143249</v>
      </c>
      <c r="F356" s="1">
        <v>14783</v>
      </c>
      <c r="G356" s="4">
        <f t="shared" si="16"/>
        <v>13151.373368938308</v>
      </c>
      <c r="H356" s="4">
        <f t="shared" si="17"/>
        <v>2920.1027059020157</v>
      </c>
      <c r="I356" s="17">
        <f t="shared" si="15"/>
        <v>0.77796214707135547</v>
      </c>
      <c r="J356">
        <v>31.76</v>
      </c>
    </row>
    <row r="357" spans="1:10" x14ac:dyDescent="0.25">
      <c r="A357" t="s">
        <v>70</v>
      </c>
      <c r="B357" t="s">
        <v>88</v>
      </c>
      <c r="C357" t="s">
        <v>9</v>
      </c>
      <c r="D357">
        <v>7.18</v>
      </c>
      <c r="E357" s="1">
        <v>140722</v>
      </c>
      <c r="F357" s="1">
        <v>10104</v>
      </c>
      <c r="G357" s="4">
        <f t="shared" si="16"/>
        <v>14293.51201068149</v>
      </c>
      <c r="H357" s="4">
        <f t="shared" si="17"/>
        <v>2062.7881062859769</v>
      </c>
      <c r="I357" s="17">
        <f t="shared" si="15"/>
        <v>0.85568360632820939</v>
      </c>
      <c r="J357">
        <v>30.02</v>
      </c>
    </row>
    <row r="358" spans="1:10" x14ac:dyDescent="0.25">
      <c r="A358" t="s">
        <v>71</v>
      </c>
      <c r="B358" t="s">
        <v>88</v>
      </c>
      <c r="C358" t="s">
        <v>9</v>
      </c>
      <c r="D358">
        <v>10.95</v>
      </c>
      <c r="E358" s="1">
        <v>153814</v>
      </c>
      <c r="F358" s="1">
        <v>16843</v>
      </c>
      <c r="G358" s="4">
        <f t="shared" si="16"/>
        <v>11360.853603204447</v>
      </c>
      <c r="H358" s="4">
        <f t="shared" si="17"/>
        <v>2876.1694637826768</v>
      </c>
      <c r="I358" s="17">
        <f t="shared" si="15"/>
        <v>0.74683509142557536</v>
      </c>
      <c r="J358">
        <v>34.04</v>
      </c>
    </row>
    <row r="359" spans="1:10" x14ac:dyDescent="0.25">
      <c r="A359" t="s">
        <v>72</v>
      </c>
      <c r="B359" t="s">
        <v>88</v>
      </c>
      <c r="C359" t="s">
        <v>9</v>
      </c>
      <c r="D359">
        <v>14.18</v>
      </c>
      <c r="E359" s="1">
        <v>132057</v>
      </c>
      <c r="F359" s="1">
        <v>18726</v>
      </c>
      <c r="G359" s="4">
        <f t="shared" si="16"/>
        <v>15198.356080961332</v>
      </c>
      <c r="H359" s="4">
        <f t="shared" si="17"/>
        <v>4093.4152597691436</v>
      </c>
      <c r="I359" s="17">
        <f t="shared" si="15"/>
        <v>0.73066723545865053</v>
      </c>
      <c r="J359">
        <v>30.18</v>
      </c>
    </row>
    <row r="360" spans="1:10" x14ac:dyDescent="0.25">
      <c r="A360" t="s">
        <v>73</v>
      </c>
      <c r="B360" t="s">
        <v>88</v>
      </c>
      <c r="C360" t="s">
        <v>9</v>
      </c>
      <c r="D360">
        <v>22.22</v>
      </c>
      <c r="E360" s="1">
        <v>118925</v>
      </c>
      <c r="F360" s="1">
        <v>26425</v>
      </c>
      <c r="G360" s="4">
        <f t="shared" si="16"/>
        <v>17667.706824288398</v>
      </c>
      <c r="H360" s="4">
        <f t="shared" si="17"/>
        <v>4474.0068403715186</v>
      </c>
      <c r="I360" s="17">
        <f t="shared" si="15"/>
        <v>0.74676923921892624</v>
      </c>
      <c r="J360">
        <v>29.85</v>
      </c>
    </row>
    <row r="361" spans="1:10" x14ac:dyDescent="0.25">
      <c r="A361" t="s">
        <v>74</v>
      </c>
      <c r="B361" t="s">
        <v>88</v>
      </c>
      <c r="C361" t="s">
        <v>9</v>
      </c>
      <c r="D361">
        <v>21.31</v>
      </c>
      <c r="E361" s="1">
        <v>113061</v>
      </c>
      <c r="F361" s="1">
        <v>24093</v>
      </c>
      <c r="G361" s="4">
        <f t="shared" si="16"/>
        <v>23797.812047286519</v>
      </c>
      <c r="H361" s="4">
        <f t="shared" si="17"/>
        <v>6303.131087028466</v>
      </c>
      <c r="I361" s="17">
        <f t="shared" si="15"/>
        <v>0.73513821041597971</v>
      </c>
      <c r="J361">
        <v>27.92</v>
      </c>
    </row>
    <row r="362" spans="1:10" x14ac:dyDescent="0.25">
      <c r="A362" t="s">
        <v>75</v>
      </c>
      <c r="B362" t="s">
        <v>88</v>
      </c>
      <c r="C362" t="s">
        <v>9</v>
      </c>
      <c r="D362">
        <v>9.91</v>
      </c>
      <c r="E362" s="1">
        <v>162721</v>
      </c>
      <c r="F362" s="1">
        <v>16126</v>
      </c>
      <c r="G362" s="4">
        <f t="shared" si="16"/>
        <v>24004.443614185955</v>
      </c>
      <c r="H362" s="4">
        <f t="shared" si="17"/>
        <v>5453.4879148523733</v>
      </c>
      <c r="I362" s="17">
        <f t="shared" si="15"/>
        <v>0.77281340061431325</v>
      </c>
      <c r="J362">
        <v>34.93</v>
      </c>
    </row>
    <row r="363" spans="1:10" x14ac:dyDescent="0.25">
      <c r="A363" t="s">
        <v>76</v>
      </c>
      <c r="B363" t="s">
        <v>88</v>
      </c>
      <c r="C363" t="s">
        <v>9</v>
      </c>
      <c r="D363">
        <v>11.18</v>
      </c>
      <c r="E363" s="1">
        <v>136472</v>
      </c>
      <c r="F363" s="1">
        <v>15258</v>
      </c>
      <c r="G363" s="4">
        <f t="shared" si="16"/>
        <v>18489.533084255785</v>
      </c>
      <c r="H363" s="4">
        <f t="shared" si="17"/>
        <v>6803.1167728402161</v>
      </c>
      <c r="I363" s="17">
        <f t="shared" si="15"/>
        <v>0.63205578302930709</v>
      </c>
      <c r="J363">
        <v>29.57</v>
      </c>
    </row>
    <row r="364" spans="1:10" x14ac:dyDescent="0.25">
      <c r="A364" t="s">
        <v>77</v>
      </c>
      <c r="B364" t="s">
        <v>88</v>
      </c>
      <c r="C364" t="s">
        <v>9</v>
      </c>
      <c r="D364">
        <v>10</v>
      </c>
      <c r="E364" s="1">
        <v>161349</v>
      </c>
      <c r="F364" s="1">
        <v>16135</v>
      </c>
      <c r="G364" s="4">
        <f t="shared" si="16"/>
        <v>16227.459925276733</v>
      </c>
      <c r="H364" s="4">
        <f t="shared" si="17"/>
        <v>4919.3433092901851</v>
      </c>
      <c r="I364" s="17">
        <f t="shared" si="15"/>
        <v>0.69685068815806717</v>
      </c>
      <c r="J364">
        <v>34.340000000000003</v>
      </c>
    </row>
    <row r="365" spans="1:10" x14ac:dyDescent="0.25">
      <c r="A365" t="s">
        <v>78</v>
      </c>
      <c r="B365" t="s">
        <v>88</v>
      </c>
      <c r="C365" t="s">
        <v>9</v>
      </c>
      <c r="D365">
        <v>6.18</v>
      </c>
      <c r="E365" s="1">
        <v>158683</v>
      </c>
      <c r="F365" s="1">
        <v>9807</v>
      </c>
      <c r="G365" s="4">
        <f t="shared" si="16"/>
        <v>16162.73797758302</v>
      </c>
      <c r="H365" s="4">
        <f t="shared" si="17"/>
        <v>4916.6800687160621</v>
      </c>
      <c r="I365" s="17">
        <f t="shared" si="15"/>
        <v>0.69580153588239368</v>
      </c>
      <c r="J365">
        <v>32.25</v>
      </c>
    </row>
    <row r="366" spans="1:10" x14ac:dyDescent="0.25">
      <c r="A366" t="s">
        <v>79</v>
      </c>
      <c r="B366" t="s">
        <v>88</v>
      </c>
      <c r="C366" t="s">
        <v>9</v>
      </c>
      <c r="D366">
        <v>11.63</v>
      </c>
      <c r="E366" s="1">
        <v>160963</v>
      </c>
      <c r="F366" s="1">
        <v>18720</v>
      </c>
      <c r="G366" s="4">
        <f t="shared" si="16"/>
        <v>11713.721393274905</v>
      </c>
      <c r="H366" s="4">
        <f t="shared" si="17"/>
        <v>4116.9066118512246</v>
      </c>
      <c r="I366" s="17">
        <f t="shared" si="15"/>
        <v>0.64853982149389111</v>
      </c>
      <c r="J366">
        <v>34.57</v>
      </c>
    </row>
    <row r="367" spans="1:10" x14ac:dyDescent="0.25">
      <c r="A367" t="s">
        <v>80</v>
      </c>
      <c r="B367" t="s">
        <v>88</v>
      </c>
      <c r="C367" t="s">
        <v>9</v>
      </c>
      <c r="D367">
        <v>9.6999999999999993</v>
      </c>
      <c r="E367" s="1">
        <v>138370</v>
      </c>
      <c r="F367" s="1">
        <v>13422</v>
      </c>
      <c r="G367" s="4">
        <f t="shared" si="16"/>
        <v>16618.11641798247</v>
      </c>
      <c r="H367" s="4">
        <f t="shared" si="17"/>
        <v>5461.7425178089761</v>
      </c>
      <c r="I367" s="17">
        <f t="shared" si="15"/>
        <v>0.67133805177229222</v>
      </c>
      <c r="J367">
        <v>28.94</v>
      </c>
    </row>
    <row r="368" spans="1:10" x14ac:dyDescent="0.25">
      <c r="A368" t="s">
        <v>81</v>
      </c>
      <c r="B368" t="s">
        <v>88</v>
      </c>
      <c r="C368" t="s">
        <v>9</v>
      </c>
      <c r="D368">
        <v>9.77</v>
      </c>
      <c r="E368" s="1">
        <v>159398</v>
      </c>
      <c r="F368" s="1">
        <v>15573</v>
      </c>
      <c r="G368" s="4">
        <f t="shared" si="16"/>
        <v>14380.834925394742</v>
      </c>
      <c r="H368" s="4">
        <f t="shared" si="17"/>
        <v>5764.7927199522082</v>
      </c>
      <c r="I368" s="17">
        <f t="shared" si="15"/>
        <v>0.59913365601796098</v>
      </c>
      <c r="J368">
        <v>33.21</v>
      </c>
    </row>
    <row r="369" spans="1:10" x14ac:dyDescent="0.25">
      <c r="A369" t="s">
        <v>82</v>
      </c>
      <c r="B369" t="s">
        <v>88</v>
      </c>
      <c r="C369" t="s">
        <v>9</v>
      </c>
      <c r="D369">
        <v>5.7</v>
      </c>
      <c r="E369" s="1">
        <v>160204</v>
      </c>
      <c r="F369" s="1">
        <v>9132</v>
      </c>
      <c r="G369" s="4">
        <f t="shared" si="16"/>
        <v>15215.35047761842</v>
      </c>
      <c r="H369" s="4">
        <f t="shared" si="17"/>
        <v>4499.0501826296404</v>
      </c>
      <c r="I369" s="17">
        <f t="shared" si="15"/>
        <v>0.70430847523047968</v>
      </c>
      <c r="J369">
        <v>31.8</v>
      </c>
    </row>
    <row r="370" spans="1:10" x14ac:dyDescent="0.25">
      <c r="A370" t="s">
        <v>83</v>
      </c>
      <c r="B370" t="s">
        <v>88</v>
      </c>
      <c r="C370" t="s">
        <v>9</v>
      </c>
      <c r="D370">
        <v>10.1</v>
      </c>
      <c r="E370" s="1">
        <v>163915</v>
      </c>
      <c r="F370" s="1">
        <v>16555</v>
      </c>
      <c r="G370" s="4">
        <f t="shared" si="16"/>
        <v>10957.005143285525</v>
      </c>
      <c r="H370" s="4">
        <f t="shared" si="17"/>
        <v>4026.7261621961957</v>
      </c>
      <c r="I370" s="17">
        <f t="shared" si="15"/>
        <v>0.63249755662807361</v>
      </c>
      <c r="J370">
        <v>33.96</v>
      </c>
    </row>
    <row r="371" spans="1:10" x14ac:dyDescent="0.25">
      <c r="A371" t="s">
        <v>84</v>
      </c>
      <c r="B371" t="s">
        <v>88</v>
      </c>
      <c r="C371" t="s">
        <v>9</v>
      </c>
      <c r="D371">
        <v>9.4</v>
      </c>
      <c r="E371" s="1">
        <v>143616</v>
      </c>
      <c r="F371" s="1">
        <v>13500</v>
      </c>
      <c r="G371" s="4">
        <f t="shared" si="16"/>
        <v>14875.601542985658</v>
      </c>
      <c r="H371" s="4">
        <f t="shared" si="17"/>
        <v>4822.3769040605739</v>
      </c>
      <c r="I371" s="17">
        <f t="shared" si="15"/>
        <v>0.67581970449225393</v>
      </c>
      <c r="J371">
        <v>29.39</v>
      </c>
    </row>
    <row r="372" spans="1:10" x14ac:dyDescent="0.25">
      <c r="A372" t="s">
        <v>7</v>
      </c>
      <c r="B372" t="s">
        <v>89</v>
      </c>
      <c r="C372" t="s">
        <v>9</v>
      </c>
      <c r="D372">
        <v>12.29</v>
      </c>
      <c r="E372" s="1">
        <v>196982</v>
      </c>
      <c r="F372" s="1">
        <v>24209</v>
      </c>
      <c r="G372" s="4">
        <f t="shared" si="16"/>
        <v>13912.680462895696</v>
      </c>
      <c r="H372" s="4">
        <f t="shared" si="17"/>
        <v>4838.6285610148698</v>
      </c>
      <c r="I372" s="17">
        <f t="shared" si="15"/>
        <v>0.6522144978518547</v>
      </c>
      <c r="J372">
        <v>49.31</v>
      </c>
    </row>
    <row r="373" spans="1:10" x14ac:dyDescent="0.25">
      <c r="A373" t="s">
        <v>10</v>
      </c>
      <c r="B373" t="s">
        <v>89</v>
      </c>
      <c r="C373" t="s">
        <v>9</v>
      </c>
      <c r="D373">
        <v>5.4</v>
      </c>
      <c r="E373" s="1">
        <v>211252</v>
      </c>
      <c r="F373" s="1">
        <v>11408</v>
      </c>
      <c r="G373" s="4">
        <f t="shared" si="16"/>
        <v>21120.104138868708</v>
      </c>
      <c r="H373" s="4">
        <f t="shared" si="17"/>
        <v>6812.8315706716739</v>
      </c>
      <c r="I373" s="17">
        <f t="shared" si="15"/>
        <v>0.67742433816253889</v>
      </c>
      <c r="J373">
        <v>48.99</v>
      </c>
    </row>
    <row r="374" spans="1:10" x14ac:dyDescent="0.25">
      <c r="A374" t="s">
        <v>11</v>
      </c>
      <c r="B374" t="s">
        <v>89</v>
      </c>
      <c r="C374" t="s">
        <v>9</v>
      </c>
      <c r="D374">
        <v>7.26</v>
      </c>
      <c r="E374" s="1">
        <v>230237</v>
      </c>
      <c r="F374" s="1">
        <v>16715</v>
      </c>
      <c r="G374" s="4">
        <f t="shared" si="16"/>
        <v>14321.631241660612</v>
      </c>
      <c r="H374" s="4">
        <f t="shared" si="17"/>
        <v>8210.38859046779</v>
      </c>
      <c r="I374" s="17">
        <f t="shared" si="15"/>
        <v>0.42671414645949335</v>
      </c>
      <c r="J374">
        <v>54.42</v>
      </c>
    </row>
    <row r="375" spans="1:10" x14ac:dyDescent="0.25">
      <c r="A375" t="s">
        <v>13</v>
      </c>
      <c r="B375" t="s">
        <v>89</v>
      </c>
      <c r="C375" t="s">
        <v>9</v>
      </c>
      <c r="D375">
        <v>14.58</v>
      </c>
      <c r="E375" s="1">
        <v>200947</v>
      </c>
      <c r="F375" s="1">
        <v>29298</v>
      </c>
      <c r="G375" s="4">
        <f t="shared" si="16"/>
        <v>15996.989372498185</v>
      </c>
      <c r="H375" s="4">
        <f t="shared" si="17"/>
        <v>8287.890299060462</v>
      </c>
      <c r="I375" s="17">
        <f t="shared" si="15"/>
        <v>0.48190937019006247</v>
      </c>
      <c r="J375">
        <v>51.47</v>
      </c>
    </row>
    <row r="376" spans="1:10" x14ac:dyDescent="0.25">
      <c r="A376" t="s">
        <v>14</v>
      </c>
      <c r="B376" t="s">
        <v>89</v>
      </c>
      <c r="C376" t="s">
        <v>9</v>
      </c>
      <c r="D376">
        <v>7.8</v>
      </c>
      <c r="E376" s="1">
        <v>213994</v>
      </c>
      <c r="F376" s="1">
        <v>16692</v>
      </c>
      <c r="G376" s="4">
        <f t="shared" si="16"/>
        <v>25307.696811749454</v>
      </c>
      <c r="H376" s="4">
        <f t="shared" si="17"/>
        <v>9608.504297939091</v>
      </c>
      <c r="I376" s="17">
        <f t="shared" si="15"/>
        <v>0.6203327244904322</v>
      </c>
      <c r="J376">
        <v>50.74</v>
      </c>
    </row>
    <row r="377" spans="1:10" x14ac:dyDescent="0.25">
      <c r="A377" t="s">
        <v>15</v>
      </c>
      <c r="B377" t="s">
        <v>89</v>
      </c>
      <c r="C377" t="s">
        <v>9</v>
      </c>
      <c r="D377">
        <v>4.2699999999999996</v>
      </c>
      <c r="E377" s="1">
        <v>221852</v>
      </c>
      <c r="F377" s="1">
        <v>9473</v>
      </c>
      <c r="G377" s="4">
        <f t="shared" si="16"/>
        <v>19276.709043524836</v>
      </c>
      <c r="H377" s="4">
        <f t="shared" si="17"/>
        <v>9253.3836924356292</v>
      </c>
      <c r="I377" s="17">
        <f t="shared" si="15"/>
        <v>0.51997077553318694</v>
      </c>
      <c r="J377">
        <v>50.62</v>
      </c>
    </row>
    <row r="378" spans="1:10" x14ac:dyDescent="0.25">
      <c r="A378" t="s">
        <v>16</v>
      </c>
      <c r="B378" t="s">
        <v>89</v>
      </c>
      <c r="C378" t="s">
        <v>9</v>
      </c>
      <c r="D378">
        <v>12.5</v>
      </c>
      <c r="E378" s="1">
        <v>227317</v>
      </c>
      <c r="F378" s="1">
        <v>28415</v>
      </c>
      <c r="G378" s="4">
        <f t="shared" si="16"/>
        <v>12414.11271305745</v>
      </c>
      <c r="H378" s="4">
        <f t="shared" si="17"/>
        <v>10758.869616507065</v>
      </c>
      <c r="I378" s="17">
        <f t="shared" si="15"/>
        <v>0.13333559431995182</v>
      </c>
      <c r="J378">
        <v>56.69</v>
      </c>
    </row>
    <row r="379" spans="1:10" x14ac:dyDescent="0.25">
      <c r="A379" t="s">
        <v>17</v>
      </c>
      <c r="B379" t="s">
        <v>89</v>
      </c>
      <c r="C379" t="s">
        <v>9</v>
      </c>
      <c r="D379">
        <v>11.36</v>
      </c>
      <c r="E379" s="1">
        <v>228587</v>
      </c>
      <c r="F379" s="1">
        <v>25967</v>
      </c>
      <c r="G379" s="4">
        <f t="shared" si="16"/>
        <v>23614.733813917235</v>
      </c>
      <c r="H379" s="4">
        <f t="shared" si="17"/>
        <v>11921.567801419411</v>
      </c>
      <c r="I379" s="17">
        <f t="shared" si="15"/>
        <v>0.4951639982325996</v>
      </c>
      <c r="J379">
        <v>56.23</v>
      </c>
    </row>
    <row r="380" spans="1:10" x14ac:dyDescent="0.25">
      <c r="A380" t="s">
        <v>18</v>
      </c>
      <c r="B380" t="s">
        <v>89</v>
      </c>
      <c r="C380" t="s">
        <v>9</v>
      </c>
      <c r="D380">
        <v>8.7799999999999994</v>
      </c>
      <c r="E380" s="1">
        <v>213007</v>
      </c>
      <c r="F380" s="1">
        <v>18702</v>
      </c>
      <c r="G380" s="4">
        <f t="shared" si="16"/>
        <v>25261.320144175166</v>
      </c>
      <c r="H380" s="4">
        <f t="shared" si="17"/>
        <v>10919.00882543403</v>
      </c>
      <c r="I380" s="17">
        <f t="shared" si="15"/>
        <v>0.56775779083929745</v>
      </c>
      <c r="J380">
        <v>50.87</v>
      </c>
    </row>
    <row r="381" spans="1:10" x14ac:dyDescent="0.25">
      <c r="A381" t="s">
        <v>19</v>
      </c>
      <c r="B381" t="s">
        <v>89</v>
      </c>
      <c r="C381" t="s">
        <v>9</v>
      </c>
      <c r="D381">
        <v>18.18</v>
      </c>
      <c r="E381" s="1">
        <v>213420</v>
      </c>
      <c r="F381" s="1">
        <v>38800</v>
      </c>
      <c r="G381" s="4">
        <f t="shared" si="16"/>
        <v>20669.796043252551</v>
      </c>
      <c r="H381" s="4">
        <f t="shared" si="17"/>
        <v>10076.147261948392</v>
      </c>
      <c r="I381" s="17">
        <f t="shared" si="15"/>
        <v>0.51251830250944108</v>
      </c>
      <c r="J381">
        <v>56.77</v>
      </c>
    </row>
    <row r="382" spans="1:10" x14ac:dyDescent="0.25">
      <c r="A382" t="s">
        <v>20</v>
      </c>
      <c r="B382" t="s">
        <v>89</v>
      </c>
      <c r="C382" t="s">
        <v>9</v>
      </c>
      <c r="D382">
        <v>7.81</v>
      </c>
      <c r="E382" s="1">
        <v>233892</v>
      </c>
      <c r="F382" s="1">
        <v>18267</v>
      </c>
      <c r="G382" s="4">
        <f t="shared" si="16"/>
        <v>33360.938812975764</v>
      </c>
      <c r="H382" s="4">
        <f t="shared" si="17"/>
        <v>11214.011064693896</v>
      </c>
      <c r="I382" s="17">
        <f t="shared" si="15"/>
        <v>0.66385804885286392</v>
      </c>
      <c r="J382">
        <v>55.17</v>
      </c>
    </row>
    <row r="383" spans="1:10" x14ac:dyDescent="0.25">
      <c r="A383" t="s">
        <v>21</v>
      </c>
      <c r="B383" t="s">
        <v>89</v>
      </c>
      <c r="C383" t="s">
        <v>9</v>
      </c>
      <c r="D383">
        <v>8.02</v>
      </c>
      <c r="E383" s="1">
        <v>225591</v>
      </c>
      <c r="F383" s="1">
        <v>18092</v>
      </c>
      <c r="G383" s="4">
        <f t="shared" si="16"/>
        <v>22795.181643892727</v>
      </c>
      <c r="H383" s="4">
        <f t="shared" si="17"/>
        <v>14136.901654380747</v>
      </c>
      <c r="I383" s="17">
        <f t="shared" si="15"/>
        <v>0.37982939222735707</v>
      </c>
      <c r="J383">
        <v>53.29</v>
      </c>
    </row>
    <row r="384" spans="1:10" x14ac:dyDescent="0.25">
      <c r="A384" t="s">
        <v>22</v>
      </c>
      <c r="B384" t="s">
        <v>89</v>
      </c>
      <c r="C384" t="s">
        <v>9</v>
      </c>
      <c r="D384">
        <v>8.7899999999999991</v>
      </c>
      <c r="E384" s="1">
        <v>213591</v>
      </c>
      <c r="F384" s="1">
        <v>18775</v>
      </c>
      <c r="G384" s="4">
        <f t="shared" si="16"/>
        <v>19502.954493167817</v>
      </c>
      <c r="H384" s="4">
        <f t="shared" si="17"/>
        <v>13888.258853897256</v>
      </c>
      <c r="I384" s="17">
        <f t="shared" si="15"/>
        <v>0.28788949085829407</v>
      </c>
      <c r="J384">
        <v>50.84</v>
      </c>
    </row>
    <row r="385" spans="1:10" x14ac:dyDescent="0.25">
      <c r="A385" t="s">
        <v>23</v>
      </c>
      <c r="B385" t="s">
        <v>89</v>
      </c>
      <c r="C385" t="s">
        <v>9</v>
      </c>
      <c r="D385">
        <v>16.11</v>
      </c>
      <c r="E385" s="1">
        <v>207306</v>
      </c>
      <c r="F385" s="1">
        <v>33397</v>
      </c>
      <c r="G385" s="4">
        <f t="shared" si="16"/>
        <v>18993.386347950345</v>
      </c>
      <c r="H385" s="4">
        <f t="shared" si="17"/>
        <v>9137.4107238580618</v>
      </c>
      <c r="I385" s="17">
        <f t="shared" si="15"/>
        <v>0.51891618711562104</v>
      </c>
      <c r="J385">
        <v>53.6</v>
      </c>
    </row>
    <row r="386" spans="1:10" x14ac:dyDescent="0.25">
      <c r="A386" t="s">
        <v>24</v>
      </c>
      <c r="B386" t="s">
        <v>89</v>
      </c>
      <c r="C386" t="s">
        <v>9</v>
      </c>
      <c r="D386">
        <v>5.76</v>
      </c>
      <c r="E386" s="1">
        <v>232012</v>
      </c>
      <c r="F386" s="1">
        <v>13364</v>
      </c>
      <c r="G386" s="4">
        <f t="shared" si="16"/>
        <v>29075.915904385103</v>
      </c>
      <c r="H386" s="4">
        <f t="shared" si="17"/>
        <v>8758.1185490393982</v>
      </c>
      <c r="I386" s="17">
        <f t="shared" si="15"/>
        <v>0.6987844311477549</v>
      </c>
      <c r="J386">
        <v>53.35</v>
      </c>
    </row>
    <row r="387" spans="1:10" x14ac:dyDescent="0.25">
      <c r="A387" t="s">
        <v>25</v>
      </c>
      <c r="B387" t="s">
        <v>89</v>
      </c>
      <c r="C387" t="s">
        <v>9</v>
      </c>
      <c r="D387">
        <v>8.4</v>
      </c>
      <c r="E387" s="1">
        <v>232870</v>
      </c>
      <c r="F387" s="1">
        <v>19561</v>
      </c>
      <c r="G387" s="4">
        <f t="shared" si="16"/>
        <v>18077.574771315529</v>
      </c>
      <c r="H387" s="4">
        <f t="shared" si="17"/>
        <v>12313.384389464227</v>
      </c>
      <c r="I387" s="17">
        <f t="shared" ref="I387:I450" si="18">(G387-H387)/G387</f>
        <v>0.31885861100116109</v>
      </c>
      <c r="J387">
        <v>55.04</v>
      </c>
    </row>
    <row r="388" spans="1:10" x14ac:dyDescent="0.25">
      <c r="A388" t="s">
        <v>26</v>
      </c>
      <c r="B388" t="s">
        <v>89</v>
      </c>
      <c r="C388" t="s">
        <v>9</v>
      </c>
      <c r="D388">
        <v>7.49</v>
      </c>
      <c r="E388" s="1">
        <v>214974</v>
      </c>
      <c r="F388" s="1">
        <v>16102</v>
      </c>
      <c r="G388" s="4">
        <f t="shared" ref="G388:G451" si="19">0.7*F387+0.3*G387</f>
        <v>19115.972431394657</v>
      </c>
      <c r="H388" s="4">
        <f t="shared" si="17"/>
        <v>12335.976356887717</v>
      </c>
      <c r="I388" s="17">
        <f t="shared" si="18"/>
        <v>0.35467701676384389</v>
      </c>
      <c r="J388">
        <v>50.27</v>
      </c>
    </row>
    <row r="389" spans="1:10" x14ac:dyDescent="0.25">
      <c r="A389" t="s">
        <v>27</v>
      </c>
      <c r="B389" t="s">
        <v>89</v>
      </c>
      <c r="C389" t="s">
        <v>9</v>
      </c>
      <c r="D389">
        <v>4.42</v>
      </c>
      <c r="E389" s="1">
        <v>212631</v>
      </c>
      <c r="F389" s="1">
        <v>9398</v>
      </c>
      <c r="G389" s="4">
        <f t="shared" si="19"/>
        <v>17006.191729418395</v>
      </c>
      <c r="H389" s="4">
        <f t="shared" si="17"/>
        <v>9276.2938291247574</v>
      </c>
      <c r="I389" s="17">
        <f t="shared" si="18"/>
        <v>0.45453432627846757</v>
      </c>
      <c r="J389">
        <v>48.09</v>
      </c>
    </row>
    <row r="390" spans="1:10" x14ac:dyDescent="0.25">
      <c r="A390" t="s">
        <v>28</v>
      </c>
      <c r="B390" t="s">
        <v>89</v>
      </c>
      <c r="C390" t="s">
        <v>9</v>
      </c>
      <c r="D390">
        <v>9.16</v>
      </c>
      <c r="E390" s="1">
        <v>230573</v>
      </c>
      <c r="F390" s="1">
        <v>21120</v>
      </c>
      <c r="G390" s="4">
        <f t="shared" si="19"/>
        <v>11680.457518825518</v>
      </c>
      <c r="H390" s="4">
        <f t="shared" ref="H390:H453" si="20">SQRT(SUMXMY2(F387:F389,G387:G389)/3)</f>
        <v>4801.7066972030916</v>
      </c>
      <c r="I390" s="17">
        <f t="shared" si="18"/>
        <v>0.5889110773731141</v>
      </c>
      <c r="J390">
        <v>54.81</v>
      </c>
    </row>
    <row r="391" spans="1:10" x14ac:dyDescent="0.25">
      <c r="A391" t="s">
        <v>29</v>
      </c>
      <c r="B391" t="s">
        <v>89</v>
      </c>
      <c r="C391" t="s">
        <v>9</v>
      </c>
      <c r="D391">
        <v>2.44</v>
      </c>
      <c r="E391" s="1">
        <v>218109</v>
      </c>
      <c r="F391" s="1">
        <v>5322</v>
      </c>
      <c r="G391" s="4">
        <f t="shared" si="19"/>
        <v>18288.137255647653</v>
      </c>
      <c r="H391" s="4">
        <f t="shared" si="20"/>
        <v>7212.8028177377109</v>
      </c>
      <c r="I391" s="17">
        <f t="shared" si="18"/>
        <v>0.6056021060586535</v>
      </c>
      <c r="J391">
        <v>48.24</v>
      </c>
    </row>
    <row r="392" spans="1:10" x14ac:dyDescent="0.25">
      <c r="A392" t="s">
        <v>30</v>
      </c>
      <c r="B392" t="s">
        <v>89</v>
      </c>
      <c r="C392" t="s">
        <v>9</v>
      </c>
      <c r="D392">
        <v>8.77</v>
      </c>
      <c r="E392" s="1">
        <v>202711</v>
      </c>
      <c r="F392" s="1">
        <v>17778</v>
      </c>
      <c r="G392" s="4">
        <f t="shared" si="19"/>
        <v>9211.8411766942954</v>
      </c>
      <c r="H392" s="4">
        <f t="shared" si="20"/>
        <v>10248.743971462751</v>
      </c>
      <c r="I392" s="17">
        <f t="shared" si="18"/>
        <v>-0.11256194878737064</v>
      </c>
      <c r="J392">
        <v>47.9</v>
      </c>
    </row>
    <row r="393" spans="1:10" x14ac:dyDescent="0.25">
      <c r="A393" t="s">
        <v>31</v>
      </c>
      <c r="B393" t="s">
        <v>89</v>
      </c>
      <c r="C393" t="s">
        <v>9</v>
      </c>
      <c r="D393">
        <v>2.63</v>
      </c>
      <c r="E393" s="1">
        <v>215636</v>
      </c>
      <c r="F393" s="1">
        <v>5671</v>
      </c>
      <c r="G393" s="4">
        <f t="shared" si="19"/>
        <v>15208.152353008287</v>
      </c>
      <c r="H393" s="4">
        <f t="shared" si="20"/>
        <v>10497.694263857658</v>
      </c>
      <c r="I393" s="17">
        <f t="shared" si="18"/>
        <v>0.30973243690702928</v>
      </c>
      <c r="J393">
        <v>47.7</v>
      </c>
    </row>
    <row r="394" spans="1:10" x14ac:dyDescent="0.25">
      <c r="A394" t="s">
        <v>32</v>
      </c>
      <c r="B394" t="s">
        <v>89</v>
      </c>
      <c r="C394" t="s">
        <v>9</v>
      </c>
      <c r="D394">
        <v>5.71</v>
      </c>
      <c r="E394" s="1">
        <v>227529</v>
      </c>
      <c r="F394" s="1">
        <v>12992</v>
      </c>
      <c r="G394" s="4">
        <f t="shared" si="19"/>
        <v>8532.145705902487</v>
      </c>
      <c r="H394" s="4">
        <f t="shared" si="20"/>
        <v>10527.061434273159</v>
      </c>
      <c r="I394" s="17">
        <f t="shared" si="18"/>
        <v>-0.23381172768657726</v>
      </c>
      <c r="J394">
        <v>51.93</v>
      </c>
    </row>
    <row r="395" spans="1:10" x14ac:dyDescent="0.25">
      <c r="A395" t="s">
        <v>33</v>
      </c>
      <c r="B395" t="s">
        <v>89</v>
      </c>
      <c r="C395" t="s">
        <v>9</v>
      </c>
      <c r="D395">
        <v>10</v>
      </c>
      <c r="E395" s="1">
        <v>195755</v>
      </c>
      <c r="F395" s="1">
        <v>19576</v>
      </c>
      <c r="G395" s="4">
        <f t="shared" si="19"/>
        <v>11654.043711770746</v>
      </c>
      <c r="H395" s="4">
        <f t="shared" si="20"/>
        <v>7836.3820800836756</v>
      </c>
      <c r="I395" s="17">
        <f t="shared" si="18"/>
        <v>0.32758257357754539</v>
      </c>
      <c r="J395">
        <v>46.76</v>
      </c>
    </row>
    <row r="396" spans="1:10" x14ac:dyDescent="0.25">
      <c r="A396" t="s">
        <v>34</v>
      </c>
      <c r="B396" t="s">
        <v>89</v>
      </c>
      <c r="C396" t="s">
        <v>9</v>
      </c>
      <c r="D396">
        <v>5.75</v>
      </c>
      <c r="E396" s="1">
        <v>199849</v>
      </c>
      <c r="F396" s="1">
        <v>11491</v>
      </c>
      <c r="G396" s="4">
        <f t="shared" si="19"/>
        <v>17199.413113531224</v>
      </c>
      <c r="H396" s="4">
        <f t="shared" si="20"/>
        <v>7607.1231259849819</v>
      </c>
      <c r="I396" s="17">
        <f t="shared" si="18"/>
        <v>0.55771030814997635</v>
      </c>
      <c r="J396">
        <v>45.55</v>
      </c>
    </row>
    <row r="397" spans="1:10" x14ac:dyDescent="0.25">
      <c r="A397" t="s">
        <v>35</v>
      </c>
      <c r="B397" t="s">
        <v>89</v>
      </c>
      <c r="C397" t="s">
        <v>9</v>
      </c>
      <c r="D397">
        <v>4</v>
      </c>
      <c r="E397" s="1">
        <v>209009</v>
      </c>
      <c r="F397" s="1">
        <v>8360</v>
      </c>
      <c r="G397" s="4">
        <f t="shared" si="19"/>
        <v>13203.523934059367</v>
      </c>
      <c r="H397" s="4">
        <f t="shared" si="20"/>
        <v>6197.6789212287713</v>
      </c>
      <c r="I397" s="17">
        <f t="shared" si="18"/>
        <v>0.53060418171837842</v>
      </c>
      <c r="J397">
        <v>46.73</v>
      </c>
    </row>
    <row r="398" spans="1:10" x14ac:dyDescent="0.25">
      <c r="A398" t="s">
        <v>36</v>
      </c>
      <c r="B398" t="s">
        <v>89</v>
      </c>
      <c r="C398" t="s">
        <v>9</v>
      </c>
      <c r="D398">
        <v>6.88</v>
      </c>
      <c r="E398" s="1">
        <v>221279</v>
      </c>
      <c r="F398" s="1">
        <v>15224</v>
      </c>
      <c r="G398" s="4">
        <f t="shared" si="19"/>
        <v>9813.0571802178092</v>
      </c>
      <c r="H398" s="4">
        <f t="shared" si="20"/>
        <v>6292.935081161947</v>
      </c>
      <c r="I398" s="17">
        <f t="shared" si="18"/>
        <v>0.35871818887921025</v>
      </c>
      <c r="J398">
        <v>50.96</v>
      </c>
    </row>
    <row r="399" spans="1:10" x14ac:dyDescent="0.25">
      <c r="A399" t="s">
        <v>37</v>
      </c>
      <c r="B399" t="s">
        <v>89</v>
      </c>
      <c r="C399" t="s">
        <v>9</v>
      </c>
      <c r="D399">
        <v>5.47</v>
      </c>
      <c r="E399" s="1">
        <v>200979</v>
      </c>
      <c r="F399" s="1">
        <v>10994</v>
      </c>
      <c r="G399" s="4">
        <f t="shared" si="19"/>
        <v>13600.717154065342</v>
      </c>
      <c r="H399" s="4">
        <f t="shared" si="20"/>
        <v>5333.0418641238766</v>
      </c>
      <c r="I399" s="17">
        <f t="shared" si="18"/>
        <v>0.60788524577692604</v>
      </c>
      <c r="J399">
        <v>45.55</v>
      </c>
    </row>
    <row r="400" spans="1:10" x14ac:dyDescent="0.25">
      <c r="A400" t="s">
        <v>38</v>
      </c>
      <c r="B400" t="s">
        <v>89</v>
      </c>
      <c r="C400" t="s">
        <v>9</v>
      </c>
      <c r="D400">
        <v>7.58</v>
      </c>
      <c r="E400" s="1">
        <v>202815</v>
      </c>
      <c r="F400" s="1">
        <v>15373</v>
      </c>
      <c r="G400" s="4">
        <f t="shared" si="19"/>
        <v>11776.015146219601</v>
      </c>
      <c r="H400" s="4">
        <f t="shared" si="20"/>
        <v>4454.6979179310201</v>
      </c>
      <c r="I400" s="17">
        <f t="shared" si="18"/>
        <v>0.62171431824617762</v>
      </c>
      <c r="J400">
        <v>46.98</v>
      </c>
    </row>
    <row r="401" spans="1:10" x14ac:dyDescent="0.25">
      <c r="A401" t="s">
        <v>39</v>
      </c>
      <c r="B401" t="s">
        <v>89</v>
      </c>
      <c r="C401" t="s">
        <v>9</v>
      </c>
      <c r="D401">
        <v>5.17</v>
      </c>
      <c r="E401" s="1">
        <v>204092</v>
      </c>
      <c r="F401" s="1">
        <v>10552</v>
      </c>
      <c r="G401" s="4">
        <f t="shared" si="19"/>
        <v>14293.90454386588</v>
      </c>
      <c r="H401" s="4">
        <f t="shared" si="20"/>
        <v>4041.9292653622956</v>
      </c>
      <c r="I401" s="17">
        <f t="shared" si="18"/>
        <v>0.71722707025514176</v>
      </c>
      <c r="J401">
        <v>46.03</v>
      </c>
    </row>
    <row r="402" spans="1:10" x14ac:dyDescent="0.25">
      <c r="A402" t="s">
        <v>40</v>
      </c>
      <c r="B402" t="s">
        <v>89</v>
      </c>
      <c r="C402" t="s">
        <v>9</v>
      </c>
      <c r="D402">
        <v>6.25</v>
      </c>
      <c r="E402" s="1">
        <v>210397</v>
      </c>
      <c r="F402" s="1">
        <v>13150</v>
      </c>
      <c r="G402" s="4">
        <f t="shared" si="19"/>
        <v>11674.571363159765</v>
      </c>
      <c r="H402" s="4">
        <f t="shared" si="20"/>
        <v>3353.3626891538902</v>
      </c>
      <c r="I402" s="17">
        <f t="shared" si="18"/>
        <v>0.71276352811241117</v>
      </c>
      <c r="J402">
        <v>47.96</v>
      </c>
    </row>
    <row r="403" spans="1:10" x14ac:dyDescent="0.25">
      <c r="A403" t="s">
        <v>41</v>
      </c>
      <c r="B403" t="s">
        <v>89</v>
      </c>
      <c r="C403" t="s">
        <v>9</v>
      </c>
      <c r="D403">
        <v>5.79</v>
      </c>
      <c r="E403" s="1">
        <v>203023</v>
      </c>
      <c r="F403" s="1">
        <v>11755</v>
      </c>
      <c r="G403" s="4">
        <f t="shared" si="19"/>
        <v>12707.371408947929</v>
      </c>
      <c r="H403" s="4">
        <f t="shared" si="20"/>
        <v>3115.3939994880234</v>
      </c>
      <c r="I403" s="17">
        <f t="shared" si="18"/>
        <v>0.75483568558527292</v>
      </c>
      <c r="J403">
        <v>46.01</v>
      </c>
    </row>
    <row r="404" spans="1:10" x14ac:dyDescent="0.25">
      <c r="A404" t="s">
        <v>42</v>
      </c>
      <c r="B404" t="s">
        <v>89</v>
      </c>
      <c r="C404" t="s">
        <v>9</v>
      </c>
      <c r="D404">
        <v>1.05</v>
      </c>
      <c r="E404" s="1">
        <v>198499</v>
      </c>
      <c r="F404" s="1">
        <v>2084</v>
      </c>
      <c r="G404" s="4">
        <f t="shared" si="19"/>
        <v>12040.711422684379</v>
      </c>
      <c r="H404" s="4">
        <f t="shared" si="20"/>
        <v>2386.4723322925697</v>
      </c>
      <c r="I404" s="17">
        <f t="shared" si="18"/>
        <v>0.80179972357808371</v>
      </c>
      <c r="J404">
        <v>42.79</v>
      </c>
    </row>
    <row r="405" spans="1:10" x14ac:dyDescent="0.25">
      <c r="A405" t="s">
        <v>43</v>
      </c>
      <c r="B405" t="s">
        <v>89</v>
      </c>
      <c r="C405" t="s">
        <v>9</v>
      </c>
      <c r="D405">
        <v>1.77</v>
      </c>
      <c r="E405" s="1">
        <v>205855</v>
      </c>
      <c r="F405" s="1">
        <v>3644</v>
      </c>
      <c r="G405" s="4">
        <f t="shared" si="19"/>
        <v>5071.0134268053134</v>
      </c>
      <c r="H405" s="4">
        <f t="shared" si="20"/>
        <v>5837.2368839375613</v>
      </c>
      <c r="I405" s="17">
        <f t="shared" si="18"/>
        <v>-0.15109868435409779</v>
      </c>
      <c r="J405">
        <v>44.66</v>
      </c>
    </row>
    <row r="406" spans="1:10" x14ac:dyDescent="0.25">
      <c r="A406" t="s">
        <v>44</v>
      </c>
      <c r="B406" t="s">
        <v>89</v>
      </c>
      <c r="C406" t="s">
        <v>9</v>
      </c>
      <c r="D406">
        <v>7.22</v>
      </c>
      <c r="E406" s="1">
        <v>212538</v>
      </c>
      <c r="F406" s="1">
        <v>15345</v>
      </c>
      <c r="G406" s="4">
        <f t="shared" si="19"/>
        <v>4072.1040280415937</v>
      </c>
      <c r="H406" s="4">
        <f t="shared" si="20"/>
        <v>5833.2232649275966</v>
      </c>
      <c r="I406" s="17">
        <f t="shared" si="18"/>
        <v>-0.4324838522686224</v>
      </c>
      <c r="J406">
        <v>48.78</v>
      </c>
    </row>
    <row r="407" spans="1:10" x14ac:dyDescent="0.25">
      <c r="A407" t="s">
        <v>45</v>
      </c>
      <c r="B407" t="s">
        <v>89</v>
      </c>
      <c r="C407" t="s">
        <v>9</v>
      </c>
      <c r="D407">
        <v>4.46</v>
      </c>
      <c r="E407" s="1">
        <v>181567</v>
      </c>
      <c r="F407" s="1">
        <v>8098</v>
      </c>
      <c r="G407" s="4">
        <f t="shared" si="19"/>
        <v>11963.131208412478</v>
      </c>
      <c r="H407" s="4">
        <f t="shared" si="20"/>
        <v>8722.5885544275643</v>
      </c>
      <c r="I407" s="17">
        <f t="shared" si="18"/>
        <v>0.27087746489866826</v>
      </c>
      <c r="J407">
        <v>40.43</v>
      </c>
    </row>
    <row r="408" spans="1:10" x14ac:dyDescent="0.25">
      <c r="A408" t="s">
        <v>46</v>
      </c>
      <c r="B408" t="s">
        <v>89</v>
      </c>
      <c r="C408" t="s">
        <v>9</v>
      </c>
      <c r="D408">
        <v>6.25</v>
      </c>
      <c r="E408" s="1">
        <v>193322</v>
      </c>
      <c r="F408" s="1">
        <v>12083</v>
      </c>
      <c r="G408" s="4">
        <f t="shared" si="19"/>
        <v>9257.539362523743</v>
      </c>
      <c r="H408" s="4">
        <f t="shared" si="20"/>
        <v>6929.4970999133548</v>
      </c>
      <c r="I408" s="17">
        <f t="shared" si="18"/>
        <v>0.25147527560452404</v>
      </c>
      <c r="J408">
        <v>43.84</v>
      </c>
    </row>
    <row r="409" spans="1:10" x14ac:dyDescent="0.25">
      <c r="A409" t="s">
        <v>47</v>
      </c>
      <c r="B409" t="s">
        <v>89</v>
      </c>
      <c r="C409" t="s">
        <v>9</v>
      </c>
      <c r="D409">
        <v>8.74</v>
      </c>
      <c r="E409" s="1">
        <v>179185</v>
      </c>
      <c r="F409" s="1">
        <v>15661</v>
      </c>
      <c r="G409" s="4">
        <f t="shared" si="19"/>
        <v>11235.361808757123</v>
      </c>
      <c r="H409" s="4">
        <f t="shared" si="20"/>
        <v>7071.0831482116391</v>
      </c>
      <c r="I409" s="17">
        <f t="shared" si="18"/>
        <v>0.37064037023709734</v>
      </c>
      <c r="J409">
        <v>41.7</v>
      </c>
    </row>
    <row r="410" spans="1:10" x14ac:dyDescent="0.25">
      <c r="A410" t="s">
        <v>48</v>
      </c>
      <c r="B410" t="s">
        <v>89</v>
      </c>
      <c r="C410" t="s">
        <v>9</v>
      </c>
      <c r="D410">
        <v>7.25</v>
      </c>
      <c r="E410" s="1">
        <v>201737</v>
      </c>
      <c r="F410" s="1">
        <v>14626</v>
      </c>
      <c r="G410" s="4">
        <f t="shared" si="19"/>
        <v>14333.308542627135</v>
      </c>
      <c r="H410" s="4">
        <f t="shared" si="20"/>
        <v>3764.2502782519377</v>
      </c>
      <c r="I410" s="17">
        <f t="shared" si="18"/>
        <v>0.73737743333598871</v>
      </c>
      <c r="J410">
        <v>46.15</v>
      </c>
    </row>
    <row r="411" spans="1:10" x14ac:dyDescent="0.25">
      <c r="A411" t="s">
        <v>49</v>
      </c>
      <c r="B411" t="s">
        <v>89</v>
      </c>
      <c r="C411" t="s">
        <v>9</v>
      </c>
      <c r="D411">
        <v>2.91</v>
      </c>
      <c r="E411" s="1">
        <v>179340</v>
      </c>
      <c r="F411" s="1">
        <v>5219</v>
      </c>
      <c r="G411" s="4">
        <f t="shared" si="19"/>
        <v>14538.192562788139</v>
      </c>
      <c r="H411" s="4">
        <f t="shared" si="20"/>
        <v>3036.1801386464931</v>
      </c>
      <c r="I411" s="17">
        <f t="shared" si="18"/>
        <v>0.79115834891210068</v>
      </c>
      <c r="J411">
        <v>39.159999999999997</v>
      </c>
    </row>
    <row r="412" spans="1:10" x14ac:dyDescent="0.25">
      <c r="A412" t="s">
        <v>50</v>
      </c>
      <c r="B412" t="s">
        <v>89</v>
      </c>
      <c r="C412" t="s">
        <v>9</v>
      </c>
      <c r="D412">
        <v>5.45</v>
      </c>
      <c r="E412" s="1">
        <v>170471</v>
      </c>
      <c r="F412" s="1">
        <v>9291</v>
      </c>
      <c r="G412" s="4">
        <f t="shared" si="19"/>
        <v>8014.7577688364418</v>
      </c>
      <c r="H412" s="4">
        <f t="shared" si="20"/>
        <v>5958.7272609546508</v>
      </c>
      <c r="I412" s="17">
        <f t="shared" si="18"/>
        <v>0.25653058609908297</v>
      </c>
      <c r="J412">
        <v>38.19</v>
      </c>
    </row>
    <row r="413" spans="1:10" x14ac:dyDescent="0.25">
      <c r="A413" t="s">
        <v>51</v>
      </c>
      <c r="B413" t="s">
        <v>89</v>
      </c>
      <c r="C413" t="s">
        <v>9</v>
      </c>
      <c r="D413">
        <v>10.98</v>
      </c>
      <c r="E413" s="1">
        <v>167437</v>
      </c>
      <c r="F413" s="1">
        <v>18385</v>
      </c>
      <c r="G413" s="4">
        <f t="shared" si="19"/>
        <v>8908.127330650932</v>
      </c>
      <c r="H413" s="4">
        <f t="shared" si="20"/>
        <v>5433.2866831581223</v>
      </c>
      <c r="I413" s="17">
        <f t="shared" si="18"/>
        <v>0.39007532318679794</v>
      </c>
      <c r="J413">
        <v>39.81</v>
      </c>
    </row>
    <row r="414" spans="1:10" x14ac:dyDescent="0.25">
      <c r="A414" t="s">
        <v>52</v>
      </c>
      <c r="B414" t="s">
        <v>89</v>
      </c>
      <c r="C414" t="s">
        <v>9</v>
      </c>
      <c r="D414">
        <v>1.98</v>
      </c>
      <c r="E414" s="1">
        <v>183603</v>
      </c>
      <c r="F414" s="1">
        <v>3635</v>
      </c>
      <c r="G414" s="4">
        <f t="shared" si="19"/>
        <v>15541.93819919528</v>
      </c>
      <c r="H414" s="4">
        <f t="shared" si="20"/>
        <v>7709.0263078633225</v>
      </c>
      <c r="I414" s="17">
        <f t="shared" si="18"/>
        <v>0.50398552554645493</v>
      </c>
      <c r="J414">
        <v>39.61</v>
      </c>
    </row>
    <row r="415" spans="1:10" x14ac:dyDescent="0.25">
      <c r="A415" t="s">
        <v>53</v>
      </c>
      <c r="B415" t="s">
        <v>89</v>
      </c>
      <c r="C415" t="s">
        <v>9</v>
      </c>
      <c r="D415">
        <v>3.41</v>
      </c>
      <c r="E415" s="1">
        <v>162885</v>
      </c>
      <c r="F415" s="1">
        <v>5554</v>
      </c>
      <c r="G415" s="4">
        <f t="shared" si="19"/>
        <v>7207.0814597585841</v>
      </c>
      <c r="H415" s="4">
        <f t="shared" si="20"/>
        <v>8816.9361099933958</v>
      </c>
      <c r="I415" s="17">
        <f t="shared" si="18"/>
        <v>-0.2233712299803445</v>
      </c>
      <c r="J415">
        <v>35.630000000000003</v>
      </c>
    </row>
    <row r="416" spans="1:10" x14ac:dyDescent="0.25">
      <c r="A416" t="s">
        <v>54</v>
      </c>
      <c r="B416" t="s">
        <v>89</v>
      </c>
      <c r="C416" t="s">
        <v>9</v>
      </c>
      <c r="D416">
        <v>7.21</v>
      </c>
      <c r="E416" s="1">
        <v>177440</v>
      </c>
      <c r="F416" s="1">
        <v>12793</v>
      </c>
      <c r="G416" s="4">
        <f t="shared" si="19"/>
        <v>6049.9244379275751</v>
      </c>
      <c r="H416" s="4">
        <f t="shared" si="20"/>
        <v>8837.7782121810942</v>
      </c>
      <c r="I416" s="17">
        <f t="shared" si="18"/>
        <v>-0.46080803204353887</v>
      </c>
      <c r="J416">
        <v>40.36</v>
      </c>
    </row>
    <row r="417" spans="1:10" x14ac:dyDescent="0.25">
      <c r="A417" t="s">
        <v>55</v>
      </c>
      <c r="B417" t="s">
        <v>89</v>
      </c>
      <c r="C417" t="s">
        <v>9</v>
      </c>
      <c r="D417">
        <v>23.71</v>
      </c>
      <c r="E417" s="1">
        <v>159489</v>
      </c>
      <c r="F417" s="1">
        <v>37815</v>
      </c>
      <c r="G417" s="4">
        <f t="shared" si="19"/>
        <v>10770.07733137827</v>
      </c>
      <c r="H417" s="4">
        <f t="shared" si="20"/>
        <v>7957.7409614343778</v>
      </c>
      <c r="I417" s="17">
        <f t="shared" si="18"/>
        <v>0.26112499320225324</v>
      </c>
      <c r="J417">
        <v>44.09</v>
      </c>
    </row>
    <row r="418" spans="1:10" x14ac:dyDescent="0.25">
      <c r="A418" t="s">
        <v>56</v>
      </c>
      <c r="B418" t="s">
        <v>89</v>
      </c>
      <c r="C418" t="s">
        <v>9</v>
      </c>
      <c r="D418">
        <v>3.54</v>
      </c>
      <c r="E418" s="1">
        <v>177155</v>
      </c>
      <c r="F418" s="1">
        <v>6271</v>
      </c>
      <c r="G418" s="4">
        <f t="shared" si="19"/>
        <v>29701.523199413481</v>
      </c>
      <c r="H418" s="4">
        <f t="shared" si="20"/>
        <v>16120.68638427187</v>
      </c>
      <c r="I418" s="17">
        <f t="shared" si="18"/>
        <v>0.4572437825481554</v>
      </c>
      <c r="J418">
        <v>38.700000000000003</v>
      </c>
    </row>
    <row r="419" spans="1:10" x14ac:dyDescent="0.25">
      <c r="A419" t="s">
        <v>57</v>
      </c>
      <c r="B419" t="s">
        <v>89</v>
      </c>
      <c r="C419" t="s">
        <v>9</v>
      </c>
      <c r="D419">
        <v>5.38</v>
      </c>
      <c r="E419" s="1">
        <v>158936</v>
      </c>
      <c r="F419" s="1">
        <v>8551</v>
      </c>
      <c r="G419" s="4">
        <f t="shared" si="19"/>
        <v>13300.156959824042</v>
      </c>
      <c r="H419" s="4">
        <f t="shared" si="20"/>
        <v>21022.894881420754</v>
      </c>
      <c r="I419" s="17">
        <f t="shared" si="18"/>
        <v>-0.58065013404916099</v>
      </c>
      <c r="J419">
        <v>35.36</v>
      </c>
    </row>
    <row r="420" spans="1:10" x14ac:dyDescent="0.25">
      <c r="A420" t="s">
        <v>58</v>
      </c>
      <c r="B420" t="s">
        <v>89</v>
      </c>
      <c r="C420" t="s">
        <v>9</v>
      </c>
      <c r="D420">
        <v>0</v>
      </c>
      <c r="E420" s="1">
        <v>171672</v>
      </c>
      <c r="F420">
        <v>0</v>
      </c>
      <c r="G420" s="4">
        <f t="shared" si="19"/>
        <v>9975.747087947213</v>
      </c>
      <c r="H420" s="4">
        <f t="shared" si="20"/>
        <v>20840.439465768053</v>
      </c>
      <c r="I420" s="17">
        <f t="shared" si="18"/>
        <v>-1.0891106482588817</v>
      </c>
      <c r="J420">
        <v>36.11</v>
      </c>
    </row>
    <row r="421" spans="1:10" x14ac:dyDescent="0.25">
      <c r="A421" t="s">
        <v>60</v>
      </c>
      <c r="B421" t="s">
        <v>89</v>
      </c>
      <c r="C421" t="s">
        <v>9</v>
      </c>
      <c r="D421">
        <v>15.91</v>
      </c>
      <c r="E421" s="1">
        <v>181657</v>
      </c>
      <c r="F421" s="1">
        <v>28902</v>
      </c>
      <c r="G421" s="4">
        <f t="shared" si="19"/>
        <v>2992.7241263841638</v>
      </c>
      <c r="H421" s="4">
        <f t="shared" si="20"/>
        <v>14956.151902477965</v>
      </c>
      <c r="I421" s="17">
        <f t="shared" si="18"/>
        <v>-3.9975043708917206</v>
      </c>
      <c r="J421">
        <v>45.36</v>
      </c>
    </row>
    <row r="422" spans="1:10" x14ac:dyDescent="0.25">
      <c r="A422" t="s">
        <v>61</v>
      </c>
      <c r="B422" t="s">
        <v>89</v>
      </c>
      <c r="C422" t="s">
        <v>9</v>
      </c>
      <c r="D422">
        <v>20</v>
      </c>
      <c r="E422" s="1">
        <v>128538</v>
      </c>
      <c r="F422" s="1">
        <v>25708</v>
      </c>
      <c r="G422" s="4">
        <f t="shared" si="19"/>
        <v>21129.217237915247</v>
      </c>
      <c r="H422" s="4">
        <f t="shared" si="20"/>
        <v>16262.027324279756</v>
      </c>
      <c r="I422" s="17">
        <f t="shared" si="18"/>
        <v>0.23035353647183768</v>
      </c>
      <c r="J422">
        <v>33.71</v>
      </c>
    </row>
    <row r="423" spans="1:10" x14ac:dyDescent="0.25">
      <c r="A423" t="s">
        <v>63</v>
      </c>
      <c r="B423" t="s">
        <v>89</v>
      </c>
      <c r="C423" t="s">
        <v>9</v>
      </c>
      <c r="D423">
        <v>16.36</v>
      </c>
      <c r="E423" s="1">
        <v>177137</v>
      </c>
      <c r="F423" s="1">
        <v>28980</v>
      </c>
      <c r="G423" s="4">
        <f t="shared" si="19"/>
        <v>24334.365171374571</v>
      </c>
      <c r="H423" s="4">
        <f t="shared" si="20"/>
        <v>16245.731314617013</v>
      </c>
      <c r="I423" s="17">
        <f t="shared" si="18"/>
        <v>0.33239551555150176</v>
      </c>
      <c r="J423">
        <v>44.35</v>
      </c>
    </row>
    <row r="424" spans="1:10" x14ac:dyDescent="0.25">
      <c r="A424" t="s">
        <v>65</v>
      </c>
      <c r="B424" t="s">
        <v>89</v>
      </c>
      <c r="C424" t="s">
        <v>9</v>
      </c>
      <c r="D424">
        <v>1.52</v>
      </c>
      <c r="E424" s="1">
        <v>156241</v>
      </c>
      <c r="F424" s="1">
        <v>2375</v>
      </c>
      <c r="G424" s="4">
        <f t="shared" si="19"/>
        <v>27586.309551412371</v>
      </c>
      <c r="H424" s="4">
        <f t="shared" si="20"/>
        <v>15425.495679106865</v>
      </c>
      <c r="I424" s="17">
        <f t="shared" si="18"/>
        <v>0.44082786244537348</v>
      </c>
      <c r="J424">
        <v>33.17</v>
      </c>
    </row>
    <row r="425" spans="1:10" x14ac:dyDescent="0.25">
      <c r="A425" t="s">
        <v>66</v>
      </c>
      <c r="B425" t="s">
        <v>89</v>
      </c>
      <c r="C425" t="s">
        <v>9</v>
      </c>
      <c r="D425">
        <v>18</v>
      </c>
      <c r="E425" s="1">
        <v>145403</v>
      </c>
      <c r="F425" s="1">
        <v>26173</v>
      </c>
      <c r="G425" s="4">
        <f t="shared" si="19"/>
        <v>9938.3928654237116</v>
      </c>
      <c r="H425" s="4">
        <f t="shared" si="20"/>
        <v>15035.040226533469</v>
      </c>
      <c r="I425" s="17">
        <f t="shared" si="18"/>
        <v>-0.51282409843560428</v>
      </c>
      <c r="J425">
        <v>37.04</v>
      </c>
    </row>
    <row r="426" spans="1:10" x14ac:dyDescent="0.25">
      <c r="A426" t="s">
        <v>67</v>
      </c>
      <c r="B426" t="s">
        <v>89</v>
      </c>
      <c r="C426" t="s">
        <v>9</v>
      </c>
      <c r="D426">
        <v>14.29</v>
      </c>
      <c r="E426" s="1">
        <v>153337</v>
      </c>
      <c r="F426" s="1">
        <v>21912</v>
      </c>
      <c r="G426" s="4">
        <f t="shared" si="19"/>
        <v>21302.617859627113</v>
      </c>
      <c r="H426" s="4">
        <f t="shared" si="20"/>
        <v>17519.080275251417</v>
      </c>
      <c r="I426" s="17">
        <f t="shared" si="18"/>
        <v>0.17760904360709046</v>
      </c>
      <c r="J426">
        <v>37.33</v>
      </c>
    </row>
    <row r="427" spans="1:10" x14ac:dyDescent="0.25">
      <c r="A427" t="s">
        <v>68</v>
      </c>
      <c r="B427" t="s">
        <v>89</v>
      </c>
      <c r="C427" t="s">
        <v>9</v>
      </c>
      <c r="D427">
        <v>17.920000000000002</v>
      </c>
      <c r="E427" s="1">
        <v>150093</v>
      </c>
      <c r="F427" s="1">
        <v>26897</v>
      </c>
      <c r="G427" s="4">
        <f t="shared" si="19"/>
        <v>21729.185357888135</v>
      </c>
      <c r="H427" s="4">
        <f t="shared" si="20"/>
        <v>17316.119125487072</v>
      </c>
      <c r="I427" s="17">
        <f t="shared" si="18"/>
        <v>0.20309395680123968</v>
      </c>
      <c r="J427">
        <v>38.130000000000003</v>
      </c>
    </row>
    <row r="428" spans="1:10" x14ac:dyDescent="0.25">
      <c r="A428" t="s">
        <v>69</v>
      </c>
      <c r="B428" t="s">
        <v>89</v>
      </c>
      <c r="C428" t="s">
        <v>9</v>
      </c>
      <c r="D428">
        <v>8.6999999999999993</v>
      </c>
      <c r="E428" s="1">
        <v>162592</v>
      </c>
      <c r="F428" s="1">
        <v>14146</v>
      </c>
      <c r="G428" s="4">
        <f t="shared" si="19"/>
        <v>25346.65560736644</v>
      </c>
      <c r="H428" s="4">
        <f t="shared" si="20"/>
        <v>9842.7659320990078</v>
      </c>
      <c r="I428" s="17">
        <f t="shared" si="18"/>
        <v>0.61167397843057336</v>
      </c>
      <c r="J428">
        <v>37.1</v>
      </c>
    </row>
    <row r="429" spans="1:10" x14ac:dyDescent="0.25">
      <c r="A429" t="s">
        <v>70</v>
      </c>
      <c r="B429" t="s">
        <v>89</v>
      </c>
      <c r="C429" t="s">
        <v>9</v>
      </c>
      <c r="D429">
        <v>21.67</v>
      </c>
      <c r="E429" s="1">
        <v>151542</v>
      </c>
      <c r="F429" s="1">
        <v>32839</v>
      </c>
      <c r="G429" s="4">
        <f t="shared" si="19"/>
        <v>17506.196682209931</v>
      </c>
      <c r="H429" s="4">
        <f t="shared" si="20"/>
        <v>7130.5058446803168</v>
      </c>
      <c r="I429" s="17">
        <f t="shared" si="18"/>
        <v>0.59268675120470649</v>
      </c>
      <c r="J429">
        <v>40.270000000000003</v>
      </c>
    </row>
    <row r="430" spans="1:10" x14ac:dyDescent="0.25">
      <c r="A430" t="s">
        <v>71</v>
      </c>
      <c r="B430" t="s">
        <v>89</v>
      </c>
      <c r="C430" t="s">
        <v>9</v>
      </c>
      <c r="D430">
        <v>31.82</v>
      </c>
      <c r="E430" s="1">
        <v>140054</v>
      </c>
      <c r="F430" s="1">
        <v>44565</v>
      </c>
      <c r="G430" s="4">
        <f t="shared" si="19"/>
        <v>28239.159004662979</v>
      </c>
      <c r="H430" s="4">
        <f t="shared" si="20"/>
        <v>11361.570486983584</v>
      </c>
      <c r="I430" s="17">
        <f t="shared" si="18"/>
        <v>0.59766611728389263</v>
      </c>
      <c r="J430">
        <v>42.72</v>
      </c>
    </row>
    <row r="431" spans="1:10" x14ac:dyDescent="0.25">
      <c r="A431" t="s">
        <v>72</v>
      </c>
      <c r="B431" t="s">
        <v>89</v>
      </c>
      <c r="C431" t="s">
        <v>9</v>
      </c>
      <c r="D431">
        <v>15</v>
      </c>
      <c r="E431" s="1">
        <v>138670</v>
      </c>
      <c r="F431" s="1">
        <v>20801</v>
      </c>
      <c r="G431" s="4">
        <f t="shared" si="19"/>
        <v>39667.24770139889</v>
      </c>
      <c r="H431" s="4">
        <f t="shared" si="20"/>
        <v>14457.784844411566</v>
      </c>
      <c r="I431" s="17">
        <f t="shared" si="18"/>
        <v>0.63552336796228737</v>
      </c>
      <c r="J431">
        <v>33.9</v>
      </c>
    </row>
    <row r="432" spans="1:10" x14ac:dyDescent="0.25">
      <c r="A432" t="s">
        <v>73</v>
      </c>
      <c r="B432" t="s">
        <v>89</v>
      </c>
      <c r="C432" t="s">
        <v>9</v>
      </c>
      <c r="D432">
        <v>16.07</v>
      </c>
      <c r="E432" s="1">
        <v>159434</v>
      </c>
      <c r="F432" s="1">
        <v>25621</v>
      </c>
      <c r="G432" s="4">
        <f t="shared" si="19"/>
        <v>26460.874310419666</v>
      </c>
      <c r="H432" s="4">
        <f t="shared" si="20"/>
        <v>16907.229657926418</v>
      </c>
      <c r="I432" s="17">
        <f t="shared" si="18"/>
        <v>0.3610479585979231</v>
      </c>
      <c r="J432">
        <v>39.44</v>
      </c>
    </row>
    <row r="433" spans="1:10" x14ac:dyDescent="0.25">
      <c r="A433" t="s">
        <v>74</v>
      </c>
      <c r="B433" t="s">
        <v>89</v>
      </c>
      <c r="C433" t="s">
        <v>9</v>
      </c>
      <c r="D433">
        <v>21.43</v>
      </c>
      <c r="E433" s="1">
        <v>131485</v>
      </c>
      <c r="F433" s="1">
        <v>28177</v>
      </c>
      <c r="G433" s="4">
        <f t="shared" si="19"/>
        <v>25872.962293125896</v>
      </c>
      <c r="H433" s="4">
        <f t="shared" si="20"/>
        <v>14412.653877673707</v>
      </c>
      <c r="I433" s="17">
        <f t="shared" si="18"/>
        <v>0.44294535297556714</v>
      </c>
      <c r="J433">
        <v>34.71</v>
      </c>
    </row>
    <row r="434" spans="1:10" x14ac:dyDescent="0.25">
      <c r="A434" t="s">
        <v>75</v>
      </c>
      <c r="B434" t="s">
        <v>89</v>
      </c>
      <c r="C434" t="s">
        <v>9</v>
      </c>
      <c r="D434">
        <v>25.37</v>
      </c>
      <c r="E434" s="1">
        <v>138661</v>
      </c>
      <c r="F434" s="1">
        <v>35178</v>
      </c>
      <c r="G434" s="4">
        <f t="shared" si="19"/>
        <v>27485.788687937766</v>
      </c>
      <c r="H434" s="4">
        <f t="shared" si="20"/>
        <v>10984.068477307479</v>
      </c>
      <c r="I434" s="17">
        <f t="shared" si="18"/>
        <v>0.60037281076355375</v>
      </c>
      <c r="J434">
        <v>38.51</v>
      </c>
    </row>
    <row r="435" spans="1:10" x14ac:dyDescent="0.25">
      <c r="A435" t="s">
        <v>76</v>
      </c>
      <c r="B435" t="s">
        <v>89</v>
      </c>
      <c r="C435" t="s">
        <v>9</v>
      </c>
      <c r="D435">
        <v>12.5</v>
      </c>
      <c r="E435" s="1">
        <v>164250</v>
      </c>
      <c r="F435" s="1">
        <v>20531</v>
      </c>
      <c r="G435" s="4">
        <f t="shared" si="19"/>
        <v>32870.33660638133</v>
      </c>
      <c r="H435" s="4">
        <f t="shared" si="20"/>
        <v>4661.3336246693316</v>
      </c>
      <c r="I435" s="17">
        <f t="shared" si="18"/>
        <v>0.85819026800703957</v>
      </c>
      <c r="J435">
        <v>38.869999999999997</v>
      </c>
    </row>
    <row r="436" spans="1:10" x14ac:dyDescent="0.25">
      <c r="A436" t="s">
        <v>77</v>
      </c>
      <c r="B436" t="s">
        <v>89</v>
      </c>
      <c r="C436" t="s">
        <v>9</v>
      </c>
      <c r="D436">
        <v>18.309999999999999</v>
      </c>
      <c r="E436" s="1">
        <v>148342</v>
      </c>
      <c r="F436" s="1">
        <v>27161</v>
      </c>
      <c r="G436" s="4">
        <f t="shared" si="19"/>
        <v>24232.800981914399</v>
      </c>
      <c r="H436" s="4">
        <f t="shared" si="20"/>
        <v>8499.763379249609</v>
      </c>
      <c r="I436" s="17">
        <f t="shared" si="18"/>
        <v>0.64924552528644075</v>
      </c>
      <c r="J436">
        <v>37.57</v>
      </c>
    </row>
    <row r="437" spans="1:10" x14ac:dyDescent="0.25">
      <c r="A437" t="s">
        <v>78</v>
      </c>
      <c r="B437" t="s">
        <v>89</v>
      </c>
      <c r="C437" t="s">
        <v>9</v>
      </c>
      <c r="D437">
        <v>11.11</v>
      </c>
      <c r="E437" s="1">
        <v>143355</v>
      </c>
      <c r="F437" s="1">
        <v>15927</v>
      </c>
      <c r="G437" s="4">
        <f t="shared" si="19"/>
        <v>26282.540294574315</v>
      </c>
      <c r="H437" s="4">
        <f t="shared" si="20"/>
        <v>8563.56024568672</v>
      </c>
      <c r="I437" s="17">
        <f t="shared" si="18"/>
        <v>0.67417303846179</v>
      </c>
      <c r="J437">
        <v>33.33</v>
      </c>
    </row>
    <row r="438" spans="1:10" x14ac:dyDescent="0.25">
      <c r="A438" t="s">
        <v>79</v>
      </c>
      <c r="B438" t="s">
        <v>89</v>
      </c>
      <c r="C438" t="s">
        <v>9</v>
      </c>
      <c r="D438">
        <v>14.29</v>
      </c>
      <c r="E438" s="1">
        <v>142598</v>
      </c>
      <c r="F438" s="1">
        <v>20377</v>
      </c>
      <c r="G438" s="4">
        <f t="shared" si="19"/>
        <v>19033.662088372294</v>
      </c>
      <c r="H438" s="4">
        <f t="shared" si="20"/>
        <v>9452.8794937072325</v>
      </c>
      <c r="I438" s="17">
        <f t="shared" si="18"/>
        <v>0.50335991834792437</v>
      </c>
      <c r="J438">
        <v>34.36</v>
      </c>
    </row>
    <row r="439" spans="1:10" x14ac:dyDescent="0.25">
      <c r="A439" t="s">
        <v>81</v>
      </c>
      <c r="B439" t="s">
        <v>89</v>
      </c>
      <c r="C439" t="s">
        <v>9</v>
      </c>
      <c r="D439">
        <v>14.71</v>
      </c>
      <c r="E439" s="1">
        <v>147309</v>
      </c>
      <c r="F439" s="1">
        <v>21669</v>
      </c>
      <c r="G439" s="4">
        <f t="shared" si="19"/>
        <v>19973.99862651169</v>
      </c>
      <c r="H439" s="4">
        <f t="shared" si="20"/>
        <v>6261.4194617218136</v>
      </c>
      <c r="I439" s="17">
        <f t="shared" si="18"/>
        <v>0.68652148331426399</v>
      </c>
      <c r="J439">
        <v>35.6</v>
      </c>
    </row>
    <row r="440" spans="1:10" x14ac:dyDescent="0.25">
      <c r="A440" t="s">
        <v>82</v>
      </c>
      <c r="B440" t="s">
        <v>89</v>
      </c>
      <c r="C440" t="s">
        <v>9</v>
      </c>
      <c r="D440">
        <v>8.6999999999999993</v>
      </c>
      <c r="E440" s="1">
        <v>125869</v>
      </c>
      <c r="F440" s="1">
        <v>10951</v>
      </c>
      <c r="G440" s="4">
        <f t="shared" si="19"/>
        <v>21160.499587953505</v>
      </c>
      <c r="H440" s="4">
        <f t="shared" si="20"/>
        <v>6107.7764964973367</v>
      </c>
      <c r="I440" s="17">
        <f t="shared" si="18"/>
        <v>0.71135953236309968</v>
      </c>
      <c r="J440">
        <v>28.4</v>
      </c>
    </row>
    <row r="441" spans="1:10" x14ac:dyDescent="0.25">
      <c r="A441" t="s">
        <v>84</v>
      </c>
      <c r="B441" t="s">
        <v>89</v>
      </c>
      <c r="C441" t="s">
        <v>9</v>
      </c>
      <c r="D441">
        <v>18.09</v>
      </c>
      <c r="E441" s="1">
        <v>171784</v>
      </c>
      <c r="F441" s="1">
        <v>31076</v>
      </c>
      <c r="G441" s="4">
        <f t="shared" si="19"/>
        <v>14013.849876386052</v>
      </c>
      <c r="H441" s="4">
        <f t="shared" si="20"/>
        <v>6025.2653672505403</v>
      </c>
      <c r="I441" s="17">
        <f t="shared" si="18"/>
        <v>0.57004924268502577</v>
      </c>
      <c r="J441">
        <v>43.12</v>
      </c>
    </row>
    <row r="442" spans="1:10" x14ac:dyDescent="0.25">
      <c r="A442" t="s">
        <v>7</v>
      </c>
      <c r="B442" t="s">
        <v>90</v>
      </c>
      <c r="C442" t="s">
        <v>9</v>
      </c>
      <c r="D442">
        <v>2.31</v>
      </c>
      <c r="E442" s="1">
        <v>12454838</v>
      </c>
      <c r="F442" s="1">
        <v>287707</v>
      </c>
      <c r="G442" s="4">
        <f t="shared" si="19"/>
        <v>25957.354962915811</v>
      </c>
      <c r="H442" s="4">
        <f t="shared" si="20"/>
        <v>11521.340754346396</v>
      </c>
      <c r="I442" s="17">
        <f t="shared" si="18"/>
        <v>0.55614349879614255</v>
      </c>
      <c r="J442">
        <v>48.97</v>
      </c>
    </row>
    <row r="443" spans="1:10" x14ac:dyDescent="0.25">
      <c r="A443" t="s">
        <v>10</v>
      </c>
      <c r="B443" t="s">
        <v>90</v>
      </c>
      <c r="C443" t="s">
        <v>9</v>
      </c>
      <c r="D443">
        <v>4.9000000000000004</v>
      </c>
      <c r="E443" s="1">
        <v>11231726</v>
      </c>
      <c r="F443" s="1">
        <v>550355</v>
      </c>
      <c r="G443" s="4">
        <f t="shared" si="19"/>
        <v>209182.10648887474</v>
      </c>
      <c r="H443" s="4">
        <f t="shared" si="20"/>
        <v>151556.6203609691</v>
      </c>
      <c r="I443" s="17">
        <f t="shared" si="18"/>
        <v>0.27547999728633782</v>
      </c>
      <c r="J443">
        <v>45.3</v>
      </c>
    </row>
    <row r="444" spans="1:10" x14ac:dyDescent="0.25">
      <c r="A444" t="s">
        <v>11</v>
      </c>
      <c r="B444" t="s">
        <v>90</v>
      </c>
      <c r="C444" t="s">
        <v>9</v>
      </c>
      <c r="D444">
        <v>2.4700000000000002</v>
      </c>
      <c r="E444" s="1">
        <v>12152621</v>
      </c>
      <c r="F444" s="1">
        <v>300170</v>
      </c>
      <c r="G444" s="4">
        <f t="shared" si="19"/>
        <v>448003.13194666244</v>
      </c>
      <c r="H444" s="4">
        <f t="shared" si="20"/>
        <v>248463.90543405825</v>
      </c>
      <c r="I444" s="17">
        <f t="shared" si="18"/>
        <v>0.44539694543108815</v>
      </c>
      <c r="J444">
        <v>47.72</v>
      </c>
    </row>
    <row r="445" spans="1:10" x14ac:dyDescent="0.25">
      <c r="A445" t="s">
        <v>12</v>
      </c>
      <c r="B445" t="s">
        <v>90</v>
      </c>
      <c r="C445" t="s">
        <v>9</v>
      </c>
      <c r="D445">
        <v>2.02</v>
      </c>
      <c r="E445" s="1">
        <v>12897823</v>
      </c>
      <c r="F445" s="1">
        <v>260536</v>
      </c>
      <c r="G445" s="4">
        <f t="shared" si="19"/>
        <v>344519.93958399876</v>
      </c>
      <c r="H445" s="4">
        <f t="shared" si="20"/>
        <v>262530.28704319842</v>
      </c>
      <c r="I445" s="17">
        <f t="shared" si="18"/>
        <v>0.2379823142886919</v>
      </c>
      <c r="J445">
        <v>50.35</v>
      </c>
    </row>
    <row r="446" spans="1:10" x14ac:dyDescent="0.25">
      <c r="A446" t="s">
        <v>13</v>
      </c>
      <c r="B446" t="s">
        <v>90</v>
      </c>
      <c r="C446" t="s">
        <v>9</v>
      </c>
      <c r="D446">
        <v>1.48</v>
      </c>
      <c r="E446" s="1">
        <v>13873626</v>
      </c>
      <c r="F446" s="1">
        <v>205330</v>
      </c>
      <c r="G446" s="4">
        <f t="shared" si="19"/>
        <v>285731.1818751996</v>
      </c>
      <c r="H446" s="4">
        <f t="shared" si="20"/>
        <v>220080.95501122737</v>
      </c>
      <c r="I446" s="17">
        <f t="shared" si="18"/>
        <v>0.22976220667664701</v>
      </c>
      <c r="J446">
        <v>53.78</v>
      </c>
    </row>
    <row r="447" spans="1:10" x14ac:dyDescent="0.25">
      <c r="A447" t="s">
        <v>14</v>
      </c>
      <c r="B447" t="s">
        <v>90</v>
      </c>
      <c r="C447" t="s">
        <v>9</v>
      </c>
      <c r="D447">
        <v>2.93</v>
      </c>
      <c r="E447" s="1">
        <v>11496245</v>
      </c>
      <c r="F447" s="1">
        <v>336840</v>
      </c>
      <c r="G447" s="4">
        <f t="shared" si="19"/>
        <v>229450.35456255986</v>
      </c>
      <c r="H447" s="4">
        <f t="shared" si="20"/>
        <v>108585.27686590693</v>
      </c>
      <c r="I447" s="17">
        <f t="shared" si="18"/>
        <v>0.52675916725898519</v>
      </c>
      <c r="J447">
        <v>45.16</v>
      </c>
    </row>
    <row r="448" spans="1:10" x14ac:dyDescent="0.25">
      <c r="A448" t="s">
        <v>15</v>
      </c>
      <c r="B448" t="s">
        <v>90</v>
      </c>
      <c r="C448" t="s">
        <v>9</v>
      </c>
      <c r="D448">
        <v>1.65</v>
      </c>
      <c r="E448" s="1">
        <v>12637358</v>
      </c>
      <c r="F448" s="1">
        <v>208516</v>
      </c>
      <c r="G448" s="4">
        <f t="shared" si="19"/>
        <v>304623.10636876791</v>
      </c>
      <c r="H448" s="4">
        <f t="shared" si="20"/>
        <v>91378.677494910866</v>
      </c>
      <c r="I448" s="17">
        <f t="shared" si="18"/>
        <v>0.70002709714249156</v>
      </c>
      <c r="J448">
        <v>48.92</v>
      </c>
    </row>
    <row r="449" spans="1:10" x14ac:dyDescent="0.25">
      <c r="A449" t="s">
        <v>16</v>
      </c>
      <c r="B449" t="s">
        <v>90</v>
      </c>
      <c r="C449" t="s">
        <v>9</v>
      </c>
      <c r="D449">
        <v>0.8</v>
      </c>
      <c r="E449" s="1">
        <v>12307651</v>
      </c>
      <c r="F449" s="1">
        <v>98461</v>
      </c>
      <c r="G449" s="4">
        <f t="shared" si="19"/>
        <v>237348.13191063036</v>
      </c>
      <c r="H449" s="4">
        <f t="shared" si="20"/>
        <v>95277.597731900751</v>
      </c>
      <c r="I449" s="17">
        <f t="shared" si="18"/>
        <v>0.59857447806761754</v>
      </c>
      <c r="J449">
        <v>47.17</v>
      </c>
    </row>
    <row r="450" spans="1:10" x14ac:dyDescent="0.25">
      <c r="A450" t="s">
        <v>17</v>
      </c>
      <c r="B450" t="s">
        <v>90</v>
      </c>
      <c r="C450" t="s">
        <v>9</v>
      </c>
      <c r="D450">
        <v>1.01</v>
      </c>
      <c r="E450" s="1">
        <v>13150390</v>
      </c>
      <c r="F450" s="1">
        <v>132819</v>
      </c>
      <c r="G450" s="4">
        <f t="shared" si="19"/>
        <v>140127.13957318908</v>
      </c>
      <c r="H450" s="4">
        <f t="shared" si="20"/>
        <v>115554.81708135699</v>
      </c>
      <c r="I450" s="17">
        <f t="shared" si="18"/>
        <v>0.17535734024598318</v>
      </c>
      <c r="J450">
        <v>50.43</v>
      </c>
    </row>
    <row r="451" spans="1:10" x14ac:dyDescent="0.25">
      <c r="A451" t="s">
        <v>18</v>
      </c>
      <c r="B451" t="s">
        <v>90</v>
      </c>
      <c r="C451" t="s">
        <v>9</v>
      </c>
      <c r="D451">
        <v>1.47</v>
      </c>
      <c r="E451" s="1">
        <v>12618305</v>
      </c>
      <c r="F451" s="1">
        <v>185489</v>
      </c>
      <c r="G451" s="4">
        <f t="shared" si="19"/>
        <v>135011.44187195672</v>
      </c>
      <c r="H451" s="4">
        <f t="shared" si="20"/>
        <v>97603.996176658868</v>
      </c>
      <c r="I451" s="17">
        <f t="shared" ref="I451:I514" si="21">(G451-H451)/G451</f>
        <v>0.27706870748610063</v>
      </c>
      <c r="J451">
        <v>48.54</v>
      </c>
    </row>
    <row r="452" spans="1:10" x14ac:dyDescent="0.25">
      <c r="A452" t="s">
        <v>19</v>
      </c>
      <c r="B452" t="s">
        <v>90</v>
      </c>
      <c r="C452" t="s">
        <v>9</v>
      </c>
      <c r="D452">
        <v>1.72</v>
      </c>
      <c r="E452" s="1">
        <v>13034827</v>
      </c>
      <c r="F452" s="1">
        <v>224199</v>
      </c>
      <c r="G452" s="4">
        <f t="shared" ref="G452:G515" si="22">0.7*F451+0.3*G451</f>
        <v>170345.73256158701</v>
      </c>
      <c r="H452" s="4">
        <f t="shared" si="20"/>
        <v>85422.534476081579</v>
      </c>
      <c r="I452" s="17">
        <f t="shared" si="21"/>
        <v>0.4985343442918489</v>
      </c>
      <c r="J452">
        <v>50.2</v>
      </c>
    </row>
    <row r="453" spans="1:10" x14ac:dyDescent="0.25">
      <c r="A453" t="s">
        <v>20</v>
      </c>
      <c r="B453" t="s">
        <v>90</v>
      </c>
      <c r="C453" t="s">
        <v>9</v>
      </c>
      <c r="D453">
        <v>6.25</v>
      </c>
      <c r="E453" s="1">
        <v>11854052</v>
      </c>
      <c r="F453" s="1">
        <v>740878</v>
      </c>
      <c r="G453" s="4">
        <f t="shared" si="22"/>
        <v>208043.01976847608</v>
      </c>
      <c r="H453" s="4">
        <f t="shared" si="20"/>
        <v>42823.541782468332</v>
      </c>
      <c r="I453" s="17">
        <f t="shared" si="21"/>
        <v>0.79416016057580219</v>
      </c>
      <c r="J453">
        <v>47.79</v>
      </c>
    </row>
    <row r="454" spans="1:10" x14ac:dyDescent="0.25">
      <c r="A454" t="s">
        <v>21</v>
      </c>
      <c r="B454" t="s">
        <v>90</v>
      </c>
      <c r="C454" t="s">
        <v>9</v>
      </c>
      <c r="D454">
        <v>1.23</v>
      </c>
      <c r="E454" s="1">
        <v>13221793</v>
      </c>
      <c r="F454" s="1">
        <v>162628</v>
      </c>
      <c r="G454" s="4">
        <f t="shared" si="22"/>
        <v>581027.50593054283</v>
      </c>
      <c r="H454" s="4">
        <f t="shared" ref="H454:H517" si="23">SQRT(SUMXMY2(F451:F453,G451:G453)/3)</f>
        <v>310570.05352882505</v>
      </c>
      <c r="I454" s="17">
        <f t="shared" si="21"/>
        <v>0.46548132341612203</v>
      </c>
      <c r="J454">
        <v>50.52</v>
      </c>
    </row>
    <row r="455" spans="1:10" x14ac:dyDescent="0.25">
      <c r="A455" t="s">
        <v>22</v>
      </c>
      <c r="B455" t="s">
        <v>90</v>
      </c>
      <c r="C455" t="s">
        <v>9</v>
      </c>
      <c r="D455">
        <v>0.91</v>
      </c>
      <c r="E455" s="1">
        <v>11953144</v>
      </c>
      <c r="F455" s="1">
        <v>108774</v>
      </c>
      <c r="G455" s="4">
        <f t="shared" si="22"/>
        <v>288147.85177916283</v>
      </c>
      <c r="H455" s="4">
        <f t="shared" si="23"/>
        <v>392373.73218868941</v>
      </c>
      <c r="I455" s="17">
        <f t="shared" si="21"/>
        <v>-0.36170972563559328</v>
      </c>
      <c r="J455">
        <v>45.46</v>
      </c>
    </row>
    <row r="456" spans="1:10" x14ac:dyDescent="0.25">
      <c r="A456" t="s">
        <v>23</v>
      </c>
      <c r="B456" t="s">
        <v>90</v>
      </c>
      <c r="C456" t="s">
        <v>9</v>
      </c>
      <c r="D456">
        <v>5.32</v>
      </c>
      <c r="E456" s="1">
        <v>11977927</v>
      </c>
      <c r="F456" s="1">
        <v>637226</v>
      </c>
      <c r="G456" s="4">
        <f t="shared" si="22"/>
        <v>162586.15553374885</v>
      </c>
      <c r="H456" s="4">
        <f t="shared" si="23"/>
        <v>404617.61430736218</v>
      </c>
      <c r="I456" s="17">
        <f t="shared" si="21"/>
        <v>-1.4886351053634059</v>
      </c>
      <c r="J456">
        <v>47.6</v>
      </c>
    </row>
    <row r="457" spans="1:10" x14ac:dyDescent="0.25">
      <c r="A457" t="s">
        <v>24</v>
      </c>
      <c r="B457" t="s">
        <v>90</v>
      </c>
      <c r="C457" t="s">
        <v>9</v>
      </c>
      <c r="D457">
        <v>5.14</v>
      </c>
      <c r="E457" s="1">
        <v>11854565</v>
      </c>
      <c r="F457" s="1">
        <v>609325</v>
      </c>
      <c r="G457" s="4">
        <f t="shared" si="22"/>
        <v>494834.04666012462</v>
      </c>
      <c r="H457" s="4">
        <f t="shared" si="23"/>
        <v>379699.9285488312</v>
      </c>
      <c r="I457" s="17">
        <f t="shared" si="21"/>
        <v>0.23267218350958166</v>
      </c>
      <c r="J457">
        <v>46.96</v>
      </c>
    </row>
    <row r="458" spans="1:10" x14ac:dyDescent="0.25">
      <c r="A458" t="s">
        <v>25</v>
      </c>
      <c r="B458" t="s">
        <v>90</v>
      </c>
      <c r="C458" t="s">
        <v>9</v>
      </c>
      <c r="D458">
        <v>2.7</v>
      </c>
      <c r="E458" s="1">
        <v>11716313</v>
      </c>
      <c r="F458" s="1">
        <v>316340</v>
      </c>
      <c r="G458" s="4">
        <f t="shared" si="22"/>
        <v>574977.71399803739</v>
      </c>
      <c r="H458" s="4">
        <f t="shared" si="23"/>
        <v>300314.35699597275</v>
      </c>
      <c r="I458" s="17">
        <f t="shared" si="21"/>
        <v>0.47769391806897438</v>
      </c>
      <c r="J458">
        <v>45.18</v>
      </c>
    </row>
    <row r="459" spans="1:10" x14ac:dyDescent="0.25">
      <c r="A459" t="s">
        <v>26</v>
      </c>
      <c r="B459" t="s">
        <v>90</v>
      </c>
      <c r="C459" t="s">
        <v>9</v>
      </c>
      <c r="D459">
        <v>3.59</v>
      </c>
      <c r="E459" s="1">
        <v>11730423</v>
      </c>
      <c r="F459" s="1">
        <v>421122</v>
      </c>
      <c r="G459" s="4">
        <f t="shared" si="22"/>
        <v>393931.31419941119</v>
      </c>
      <c r="H459" s="4">
        <f t="shared" si="23"/>
        <v>319000.85028818302</v>
      </c>
      <c r="I459" s="17">
        <f t="shared" si="21"/>
        <v>0.19021200196666208</v>
      </c>
      <c r="J459">
        <v>45.58</v>
      </c>
    </row>
    <row r="460" spans="1:10" x14ac:dyDescent="0.25">
      <c r="A460" t="s">
        <v>27</v>
      </c>
      <c r="B460" t="s">
        <v>90</v>
      </c>
      <c r="C460" t="s">
        <v>9</v>
      </c>
      <c r="D460">
        <v>2.92</v>
      </c>
      <c r="E460" s="1">
        <v>12120704</v>
      </c>
      <c r="F460" s="1">
        <v>353925</v>
      </c>
      <c r="G460" s="4">
        <f t="shared" si="22"/>
        <v>412964.79425982333</v>
      </c>
      <c r="H460" s="4">
        <f t="shared" si="23"/>
        <v>164053.83150367692</v>
      </c>
      <c r="I460" s="17">
        <f t="shared" si="21"/>
        <v>0.60274136249866406</v>
      </c>
      <c r="J460">
        <v>46.7</v>
      </c>
    </row>
    <row r="461" spans="1:10" x14ac:dyDescent="0.25">
      <c r="A461" t="s">
        <v>28</v>
      </c>
      <c r="B461" t="s">
        <v>90</v>
      </c>
      <c r="C461" t="s">
        <v>9</v>
      </c>
      <c r="D461">
        <v>2.2400000000000002</v>
      </c>
      <c r="E461" s="1">
        <v>12277389</v>
      </c>
      <c r="F461" s="1">
        <v>275014</v>
      </c>
      <c r="G461" s="4">
        <f t="shared" si="22"/>
        <v>371636.93827794696</v>
      </c>
      <c r="H461" s="4">
        <f t="shared" si="23"/>
        <v>153968.06790444048</v>
      </c>
      <c r="I461" s="17">
        <f t="shared" si="21"/>
        <v>0.58570300191934122</v>
      </c>
      <c r="J461">
        <v>46.91</v>
      </c>
    </row>
    <row r="462" spans="1:10" x14ac:dyDescent="0.25">
      <c r="A462" t="s">
        <v>29</v>
      </c>
      <c r="B462" t="s">
        <v>90</v>
      </c>
      <c r="C462" t="s">
        <v>9</v>
      </c>
      <c r="D462">
        <v>3.36</v>
      </c>
      <c r="E462" s="1">
        <v>11044703</v>
      </c>
      <c r="F462" s="1">
        <v>371102</v>
      </c>
      <c r="G462" s="4">
        <f t="shared" si="22"/>
        <v>304000.88148338406</v>
      </c>
      <c r="H462" s="4">
        <f t="shared" si="23"/>
        <v>67233.480999703708</v>
      </c>
      <c r="I462" s="17">
        <f t="shared" si="21"/>
        <v>0.7788378748389303</v>
      </c>
      <c r="J462">
        <v>42.63</v>
      </c>
    </row>
    <row r="463" spans="1:10" x14ac:dyDescent="0.25">
      <c r="A463" t="s">
        <v>30</v>
      </c>
      <c r="B463" t="s">
        <v>90</v>
      </c>
      <c r="C463" t="s">
        <v>9</v>
      </c>
      <c r="D463">
        <v>4.8600000000000003</v>
      </c>
      <c r="E463" s="1">
        <v>11348119</v>
      </c>
      <c r="F463" s="1">
        <v>551519</v>
      </c>
      <c r="G463" s="4">
        <f t="shared" si="22"/>
        <v>350971.66444501519</v>
      </c>
      <c r="H463" s="4">
        <f t="shared" si="23"/>
        <v>75991.775023983471</v>
      </c>
      <c r="I463" s="17">
        <f t="shared" si="21"/>
        <v>0.78348173735293458</v>
      </c>
      <c r="J463">
        <v>44.42</v>
      </c>
    </row>
    <row r="464" spans="1:10" x14ac:dyDescent="0.25">
      <c r="A464" t="s">
        <v>31</v>
      </c>
      <c r="B464" t="s">
        <v>90</v>
      </c>
      <c r="C464" t="s">
        <v>9</v>
      </c>
      <c r="D464">
        <v>3.23</v>
      </c>
      <c r="E464" s="1">
        <v>12887989</v>
      </c>
      <c r="F464" s="1">
        <v>416282</v>
      </c>
      <c r="G464" s="4">
        <f t="shared" si="22"/>
        <v>491354.79933350452</v>
      </c>
      <c r="H464" s="4">
        <f t="shared" si="23"/>
        <v>134235.84482277025</v>
      </c>
      <c r="I464" s="17">
        <f t="shared" si="21"/>
        <v>0.72680465316538334</v>
      </c>
      <c r="J464">
        <v>49.53</v>
      </c>
    </row>
    <row r="465" spans="1:10" x14ac:dyDescent="0.25">
      <c r="A465" t="s">
        <v>32</v>
      </c>
      <c r="B465" t="s">
        <v>90</v>
      </c>
      <c r="C465" t="s">
        <v>9</v>
      </c>
      <c r="D465">
        <v>1.47</v>
      </c>
      <c r="E465" s="1">
        <v>12655392</v>
      </c>
      <c r="F465" s="1">
        <v>186034</v>
      </c>
      <c r="G465" s="4">
        <f t="shared" si="22"/>
        <v>438803.8398000513</v>
      </c>
      <c r="H465" s="4">
        <f t="shared" si="23"/>
        <v>129560.43519551439</v>
      </c>
      <c r="I465" s="17">
        <f t="shared" si="21"/>
        <v>0.70474179247257518</v>
      </c>
      <c r="J465">
        <v>47.69</v>
      </c>
    </row>
    <row r="466" spans="1:10" x14ac:dyDescent="0.25">
      <c r="A466" t="s">
        <v>33</v>
      </c>
      <c r="B466" t="s">
        <v>90</v>
      </c>
      <c r="C466" t="s">
        <v>9</v>
      </c>
      <c r="D466">
        <v>3</v>
      </c>
      <c r="E466" s="1">
        <v>11544838</v>
      </c>
      <c r="F466" s="1">
        <v>346345</v>
      </c>
      <c r="G466" s="4">
        <f t="shared" si="22"/>
        <v>261864.95194001537</v>
      </c>
      <c r="H466" s="4">
        <f t="shared" si="23"/>
        <v>191265.74088643954</v>
      </c>
      <c r="I466" s="17">
        <f t="shared" si="21"/>
        <v>0.2696016039204352</v>
      </c>
      <c r="J466">
        <v>44.13</v>
      </c>
    </row>
    <row r="467" spans="1:10" x14ac:dyDescent="0.25">
      <c r="A467" t="s">
        <v>34</v>
      </c>
      <c r="B467" t="s">
        <v>90</v>
      </c>
      <c r="C467" t="s">
        <v>9</v>
      </c>
      <c r="D467">
        <v>11.12</v>
      </c>
      <c r="E467" s="1">
        <v>11495243</v>
      </c>
      <c r="F467" s="1">
        <v>1278271</v>
      </c>
      <c r="G467" s="4">
        <f t="shared" si="22"/>
        <v>321000.98558200459</v>
      </c>
      <c r="H467" s="4">
        <f t="shared" si="23"/>
        <v>159859.72562690655</v>
      </c>
      <c r="I467" s="17">
        <f t="shared" si="21"/>
        <v>0.50199615326081937</v>
      </c>
      <c r="J467">
        <v>47.89</v>
      </c>
    </row>
    <row r="468" spans="1:10" x14ac:dyDescent="0.25">
      <c r="A468" t="s">
        <v>35</v>
      </c>
      <c r="B468" t="s">
        <v>90</v>
      </c>
      <c r="C468" t="s">
        <v>9</v>
      </c>
      <c r="D468">
        <v>5.46</v>
      </c>
      <c r="E468" s="1">
        <v>12701625</v>
      </c>
      <c r="F468" s="1">
        <v>693509</v>
      </c>
      <c r="G468" s="4">
        <f t="shared" si="22"/>
        <v>991089.99567460129</v>
      </c>
      <c r="H468" s="4">
        <f t="shared" si="23"/>
        <v>573700.08161541168</v>
      </c>
      <c r="I468" s="17">
        <f t="shared" si="21"/>
        <v>0.42114229371782375</v>
      </c>
      <c r="J468">
        <v>49.67</v>
      </c>
    </row>
    <row r="469" spans="1:10" x14ac:dyDescent="0.25">
      <c r="A469" t="s">
        <v>36</v>
      </c>
      <c r="B469" t="s">
        <v>90</v>
      </c>
      <c r="C469" t="s">
        <v>9</v>
      </c>
      <c r="D469">
        <v>4.63</v>
      </c>
      <c r="E469" s="1">
        <v>13121908</v>
      </c>
      <c r="F469" s="1">
        <v>607544</v>
      </c>
      <c r="G469" s="4">
        <f t="shared" si="22"/>
        <v>782783.29870238039</v>
      </c>
      <c r="H469" s="4">
        <f t="shared" si="23"/>
        <v>580820.4564839676</v>
      </c>
      <c r="I469" s="17">
        <f t="shared" si="21"/>
        <v>0.25800606956383271</v>
      </c>
      <c r="J469">
        <v>50.79</v>
      </c>
    </row>
    <row r="470" spans="1:10" x14ac:dyDescent="0.25">
      <c r="A470" t="s">
        <v>37</v>
      </c>
      <c r="B470" t="s">
        <v>90</v>
      </c>
      <c r="C470" t="s">
        <v>9</v>
      </c>
      <c r="D470">
        <v>5.71</v>
      </c>
      <c r="E470" s="1">
        <v>11179972</v>
      </c>
      <c r="F470" s="1">
        <v>638376</v>
      </c>
      <c r="G470" s="4">
        <f t="shared" si="22"/>
        <v>660115.78961071407</v>
      </c>
      <c r="H470" s="4">
        <f t="shared" si="23"/>
        <v>587545.49931621423</v>
      </c>
      <c r="I470" s="17">
        <f t="shared" si="21"/>
        <v>0.10993569830725645</v>
      </c>
      <c r="J470">
        <v>43.7</v>
      </c>
    </row>
    <row r="471" spans="1:10" x14ac:dyDescent="0.25">
      <c r="A471" t="s">
        <v>38</v>
      </c>
      <c r="B471" t="s">
        <v>90</v>
      </c>
      <c r="C471" t="s">
        <v>9</v>
      </c>
      <c r="D471">
        <v>6.09</v>
      </c>
      <c r="E471" s="1">
        <v>11556778</v>
      </c>
      <c r="F471" s="1">
        <v>703808</v>
      </c>
      <c r="G471" s="4">
        <f t="shared" si="22"/>
        <v>644897.93688321416</v>
      </c>
      <c r="H471" s="4">
        <f t="shared" si="23"/>
        <v>199779.77812974239</v>
      </c>
      <c r="I471" s="17">
        <f t="shared" si="21"/>
        <v>0.6902148902890336</v>
      </c>
      <c r="J471">
        <v>45.3</v>
      </c>
    </row>
    <row r="472" spans="1:10" x14ac:dyDescent="0.25">
      <c r="A472" t="s">
        <v>39</v>
      </c>
      <c r="B472" t="s">
        <v>90</v>
      </c>
      <c r="C472" t="s">
        <v>9</v>
      </c>
      <c r="D472">
        <v>5.22</v>
      </c>
      <c r="E472" s="1">
        <v>12867557</v>
      </c>
      <c r="F472" s="1">
        <v>671686</v>
      </c>
      <c r="G472" s="4">
        <f t="shared" si="22"/>
        <v>686134.9810649642</v>
      </c>
      <c r="H472" s="4">
        <f t="shared" si="23"/>
        <v>107473.75772476415</v>
      </c>
      <c r="I472" s="17">
        <f t="shared" si="21"/>
        <v>0.84336353532368813</v>
      </c>
      <c r="J472">
        <v>49.89</v>
      </c>
    </row>
    <row r="473" spans="1:10" x14ac:dyDescent="0.25">
      <c r="A473" t="s">
        <v>40</v>
      </c>
      <c r="B473" t="s">
        <v>90</v>
      </c>
      <c r="C473" t="s">
        <v>9</v>
      </c>
      <c r="D473">
        <v>2.5099999999999998</v>
      </c>
      <c r="E473" s="1">
        <v>13373766</v>
      </c>
      <c r="F473" s="1">
        <v>335682</v>
      </c>
      <c r="G473" s="4">
        <f t="shared" si="22"/>
        <v>676020.69431948918</v>
      </c>
      <c r="H473" s="4">
        <f t="shared" si="23"/>
        <v>37201.196407989788</v>
      </c>
      <c r="I473" s="17">
        <f t="shared" si="21"/>
        <v>0.94497032898462063</v>
      </c>
      <c r="J473">
        <v>50.34</v>
      </c>
    </row>
    <row r="474" spans="1:10" x14ac:dyDescent="0.25">
      <c r="A474" t="s">
        <v>41</v>
      </c>
      <c r="B474" t="s">
        <v>90</v>
      </c>
      <c r="C474" t="s">
        <v>9</v>
      </c>
      <c r="D474">
        <v>4.51</v>
      </c>
      <c r="E474" s="1">
        <v>12607752</v>
      </c>
      <c r="F474" s="1">
        <v>568610</v>
      </c>
      <c r="G474" s="4">
        <f t="shared" si="22"/>
        <v>437783.60829584673</v>
      </c>
      <c r="H474" s="4">
        <f t="shared" si="23"/>
        <v>199590.91115022753</v>
      </c>
      <c r="I474" s="17">
        <f t="shared" si="21"/>
        <v>0.54408774707858087</v>
      </c>
      <c r="J474">
        <v>48.38</v>
      </c>
    </row>
    <row r="475" spans="1:10" x14ac:dyDescent="0.25">
      <c r="A475" t="s">
        <v>42</v>
      </c>
      <c r="B475" t="s">
        <v>90</v>
      </c>
      <c r="C475" t="s">
        <v>9</v>
      </c>
      <c r="D475">
        <v>7.94</v>
      </c>
      <c r="E475" s="1">
        <v>12253250</v>
      </c>
      <c r="F475" s="1">
        <v>972908</v>
      </c>
      <c r="G475" s="4">
        <f t="shared" si="22"/>
        <v>529362.08248875407</v>
      </c>
      <c r="H475" s="4">
        <f t="shared" si="23"/>
        <v>210677.27663517243</v>
      </c>
      <c r="I475" s="17">
        <f t="shared" si="21"/>
        <v>0.60201668460141722</v>
      </c>
      <c r="J475">
        <v>48.7</v>
      </c>
    </row>
    <row r="476" spans="1:10" x14ac:dyDescent="0.25">
      <c r="A476" t="s">
        <v>43</v>
      </c>
      <c r="B476" t="s">
        <v>90</v>
      </c>
      <c r="C476" t="s">
        <v>9</v>
      </c>
      <c r="D476">
        <v>5.31</v>
      </c>
      <c r="E476" s="1">
        <v>13840682</v>
      </c>
      <c r="F476" s="1">
        <v>734940</v>
      </c>
      <c r="G476" s="4">
        <f t="shared" si="22"/>
        <v>839844.22474662622</v>
      </c>
      <c r="H476" s="4">
        <f t="shared" si="23"/>
        <v>331501.10736784182</v>
      </c>
      <c r="I476" s="17">
        <f t="shared" si="21"/>
        <v>0.60528262551563905</v>
      </c>
      <c r="J476">
        <v>53.4</v>
      </c>
    </row>
    <row r="477" spans="1:10" x14ac:dyDescent="0.25">
      <c r="A477" t="s">
        <v>44</v>
      </c>
      <c r="B477" t="s">
        <v>90</v>
      </c>
      <c r="C477" t="s">
        <v>9</v>
      </c>
      <c r="D477">
        <v>3.67</v>
      </c>
      <c r="E477" s="1">
        <v>13487829</v>
      </c>
      <c r="F477" s="1">
        <v>495003</v>
      </c>
      <c r="G477" s="4">
        <f t="shared" si="22"/>
        <v>766411.26742398785</v>
      </c>
      <c r="H477" s="4">
        <f t="shared" si="23"/>
        <v>273772.0597363874</v>
      </c>
      <c r="I477" s="17">
        <f t="shared" si="21"/>
        <v>0.64278701087397583</v>
      </c>
      <c r="J477">
        <v>51.08</v>
      </c>
    </row>
    <row r="478" spans="1:10" x14ac:dyDescent="0.25">
      <c r="A478" t="s">
        <v>45</v>
      </c>
      <c r="B478" t="s">
        <v>90</v>
      </c>
      <c r="C478" t="s">
        <v>9</v>
      </c>
      <c r="D478">
        <v>5.91</v>
      </c>
      <c r="E478" s="1">
        <v>13698898</v>
      </c>
      <c r="F478" s="1">
        <v>809605</v>
      </c>
      <c r="G478" s="4">
        <f t="shared" si="22"/>
        <v>576425.48022719636</v>
      </c>
      <c r="H478" s="4">
        <f t="shared" si="23"/>
        <v>306268.03344819526</v>
      </c>
      <c r="I478" s="17">
        <f t="shared" si="21"/>
        <v>0.46867714222577278</v>
      </c>
      <c r="J478">
        <v>53.03</v>
      </c>
    </row>
    <row r="479" spans="1:10" x14ac:dyDescent="0.25">
      <c r="A479" t="s">
        <v>46</v>
      </c>
      <c r="B479" t="s">
        <v>90</v>
      </c>
      <c r="C479" t="s">
        <v>9</v>
      </c>
      <c r="D479">
        <v>5.42</v>
      </c>
      <c r="E479" s="1">
        <v>13307765</v>
      </c>
      <c r="F479" s="1">
        <v>721281</v>
      </c>
      <c r="G479" s="4">
        <f t="shared" si="22"/>
        <v>739651.14406815893</v>
      </c>
      <c r="H479" s="4">
        <f t="shared" si="23"/>
        <v>215282.78491111554</v>
      </c>
      <c r="I479" s="17">
        <f t="shared" si="21"/>
        <v>0.70894010421313269</v>
      </c>
      <c r="J479">
        <v>51.18</v>
      </c>
    </row>
    <row r="480" spans="1:10" x14ac:dyDescent="0.25">
      <c r="A480" t="s">
        <v>47</v>
      </c>
      <c r="B480" t="s">
        <v>90</v>
      </c>
      <c r="C480" t="s">
        <v>9</v>
      </c>
      <c r="D480">
        <v>4.05</v>
      </c>
      <c r="E480" s="1">
        <v>14489544</v>
      </c>
      <c r="F480" s="1">
        <v>586827</v>
      </c>
      <c r="G480" s="4">
        <f t="shared" si="22"/>
        <v>726792.04322044761</v>
      </c>
      <c r="H480" s="4">
        <f t="shared" si="23"/>
        <v>206859.53226013956</v>
      </c>
      <c r="I480" s="17">
        <f t="shared" si="21"/>
        <v>0.7153800262540907</v>
      </c>
      <c r="J480">
        <v>54.84</v>
      </c>
    </row>
    <row r="481" spans="1:10" x14ac:dyDescent="0.25">
      <c r="A481" t="s">
        <v>48</v>
      </c>
      <c r="B481" t="s">
        <v>90</v>
      </c>
      <c r="C481" t="s">
        <v>9</v>
      </c>
      <c r="D481">
        <v>2.73</v>
      </c>
      <c r="E481" s="1">
        <v>14011137</v>
      </c>
      <c r="F481" s="1">
        <v>382504</v>
      </c>
      <c r="G481" s="4">
        <f t="shared" si="22"/>
        <v>628816.51296613424</v>
      </c>
      <c r="H481" s="4">
        <f t="shared" si="23"/>
        <v>157374.67390303733</v>
      </c>
      <c r="I481" s="17">
        <f t="shared" si="21"/>
        <v>0.74972878310606172</v>
      </c>
      <c r="J481">
        <v>52.24</v>
      </c>
    </row>
    <row r="482" spans="1:10" x14ac:dyDescent="0.25">
      <c r="A482" t="s">
        <v>49</v>
      </c>
      <c r="B482" t="s">
        <v>90</v>
      </c>
      <c r="C482" t="s">
        <v>9</v>
      </c>
      <c r="D482">
        <v>2.88</v>
      </c>
      <c r="E482" s="1">
        <v>13954726</v>
      </c>
      <c r="F482" s="1">
        <v>401896</v>
      </c>
      <c r="G482" s="4">
        <f t="shared" si="22"/>
        <v>456397.75388984021</v>
      </c>
      <c r="H482" s="4">
        <f t="shared" si="23"/>
        <v>163908.03270988961</v>
      </c>
      <c r="I482" s="17">
        <f t="shared" si="21"/>
        <v>0.64086582084833899</v>
      </c>
      <c r="J482">
        <v>52.03</v>
      </c>
    </row>
    <row r="483" spans="1:10" x14ac:dyDescent="0.25">
      <c r="A483" t="s">
        <v>50</v>
      </c>
      <c r="B483" t="s">
        <v>90</v>
      </c>
      <c r="C483" t="s">
        <v>9</v>
      </c>
      <c r="D483">
        <v>4.7699999999999996</v>
      </c>
      <c r="E483" s="1">
        <v>13199275</v>
      </c>
      <c r="F483" s="1">
        <v>629605</v>
      </c>
      <c r="G483" s="4">
        <f t="shared" si="22"/>
        <v>418246.52616695198</v>
      </c>
      <c r="H483" s="4">
        <f t="shared" si="23"/>
        <v>166563.81013940024</v>
      </c>
      <c r="I483" s="17">
        <f t="shared" si="21"/>
        <v>0.60175685936740386</v>
      </c>
      <c r="J483">
        <v>50.12</v>
      </c>
    </row>
    <row r="484" spans="1:10" x14ac:dyDescent="0.25">
      <c r="A484" t="s">
        <v>51</v>
      </c>
      <c r="B484" t="s">
        <v>90</v>
      </c>
      <c r="C484" t="s">
        <v>9</v>
      </c>
      <c r="D484">
        <v>4.58</v>
      </c>
      <c r="E484" s="1">
        <v>14327088</v>
      </c>
      <c r="F484" s="1">
        <v>656181</v>
      </c>
      <c r="G484" s="4">
        <f t="shared" si="22"/>
        <v>566197.45785008557</v>
      </c>
      <c r="H484" s="4">
        <f t="shared" si="23"/>
        <v>190011.13974518792</v>
      </c>
      <c r="I484" s="17">
        <f t="shared" si="21"/>
        <v>0.66440834887058431</v>
      </c>
      <c r="J484">
        <v>54.21</v>
      </c>
    </row>
    <row r="485" spans="1:10" x14ac:dyDescent="0.25">
      <c r="A485" t="s">
        <v>52</v>
      </c>
      <c r="B485" t="s">
        <v>90</v>
      </c>
      <c r="C485" t="s">
        <v>9</v>
      </c>
      <c r="D485">
        <v>3.7</v>
      </c>
      <c r="E485" s="1">
        <v>13507339</v>
      </c>
      <c r="F485" s="1">
        <v>499772</v>
      </c>
      <c r="G485" s="4">
        <f t="shared" si="22"/>
        <v>629185.93735502567</v>
      </c>
      <c r="H485" s="4">
        <f t="shared" si="23"/>
        <v>136308.33123957046</v>
      </c>
      <c r="I485" s="17">
        <f t="shared" si="21"/>
        <v>0.78335763222461086</v>
      </c>
      <c r="J485">
        <v>50.57</v>
      </c>
    </row>
    <row r="486" spans="1:10" x14ac:dyDescent="0.25">
      <c r="A486" t="s">
        <v>53</v>
      </c>
      <c r="B486" t="s">
        <v>90</v>
      </c>
      <c r="C486" t="s">
        <v>9</v>
      </c>
      <c r="D486">
        <v>6.29</v>
      </c>
      <c r="E486" s="1">
        <v>13280777</v>
      </c>
      <c r="F486" s="1">
        <v>835361</v>
      </c>
      <c r="G486" s="4">
        <f t="shared" si="22"/>
        <v>538596.18120650761</v>
      </c>
      <c r="H486" s="4">
        <f t="shared" si="23"/>
        <v>152225.06309257046</v>
      </c>
      <c r="I486" s="17">
        <f t="shared" si="21"/>
        <v>0.71736698401468135</v>
      </c>
      <c r="J486">
        <v>51.01</v>
      </c>
    </row>
    <row r="487" spans="1:10" x14ac:dyDescent="0.25">
      <c r="A487" t="s">
        <v>54</v>
      </c>
      <c r="B487" t="s">
        <v>90</v>
      </c>
      <c r="C487" t="s">
        <v>9</v>
      </c>
      <c r="D487">
        <v>4.91</v>
      </c>
      <c r="E487" s="1">
        <v>13828523</v>
      </c>
      <c r="F487" s="1">
        <v>678980</v>
      </c>
      <c r="G487" s="4">
        <f t="shared" si="22"/>
        <v>746331.55436195224</v>
      </c>
      <c r="H487" s="4">
        <f t="shared" si="23"/>
        <v>194005.46617136875</v>
      </c>
      <c r="I487" s="17">
        <f t="shared" si="21"/>
        <v>0.74005458426955251</v>
      </c>
      <c r="J487">
        <v>52.27</v>
      </c>
    </row>
    <row r="488" spans="1:10" x14ac:dyDescent="0.25">
      <c r="A488" t="s">
        <v>55</v>
      </c>
      <c r="B488" t="s">
        <v>90</v>
      </c>
      <c r="C488" t="s">
        <v>9</v>
      </c>
      <c r="D488">
        <v>4.68</v>
      </c>
      <c r="E488" s="1">
        <v>14487815</v>
      </c>
      <c r="F488" s="1">
        <v>678030</v>
      </c>
      <c r="G488" s="4">
        <f t="shared" si="22"/>
        <v>699185.4663085856</v>
      </c>
      <c r="H488" s="4">
        <f t="shared" si="23"/>
        <v>190921.93581866202</v>
      </c>
      <c r="I488" s="17">
        <f t="shared" si="21"/>
        <v>0.72693663553012322</v>
      </c>
      <c r="J488">
        <v>54.55</v>
      </c>
    </row>
    <row r="489" spans="1:10" x14ac:dyDescent="0.25">
      <c r="A489" t="s">
        <v>56</v>
      </c>
      <c r="B489" t="s">
        <v>90</v>
      </c>
      <c r="C489" t="s">
        <v>9</v>
      </c>
      <c r="D489">
        <v>3.46</v>
      </c>
      <c r="E489" s="1">
        <v>13877824</v>
      </c>
      <c r="F489" s="1">
        <v>480173</v>
      </c>
      <c r="G489" s="4">
        <f t="shared" si="22"/>
        <v>684376.63989257556</v>
      </c>
      <c r="H489" s="4">
        <f t="shared" si="23"/>
        <v>176118.46704537552</v>
      </c>
      <c r="I489" s="17">
        <f t="shared" si="21"/>
        <v>0.74265856433524635</v>
      </c>
      <c r="J489">
        <v>51.51</v>
      </c>
    </row>
    <row r="490" spans="1:10" x14ac:dyDescent="0.25">
      <c r="A490" t="s">
        <v>57</v>
      </c>
      <c r="B490" t="s">
        <v>90</v>
      </c>
      <c r="C490" t="s">
        <v>9</v>
      </c>
      <c r="D490">
        <v>5.35</v>
      </c>
      <c r="E490" s="1">
        <v>14301844</v>
      </c>
      <c r="F490" s="1">
        <v>765149</v>
      </c>
      <c r="G490" s="4">
        <f t="shared" si="22"/>
        <v>541434.09196777269</v>
      </c>
      <c r="H490" s="4">
        <f t="shared" si="23"/>
        <v>124743.61997724425</v>
      </c>
      <c r="I490" s="17">
        <f t="shared" si="21"/>
        <v>0.76960516186950922</v>
      </c>
      <c r="J490">
        <v>54.07</v>
      </c>
    </row>
    <row r="491" spans="1:10" x14ac:dyDescent="0.25">
      <c r="A491" t="s">
        <v>58</v>
      </c>
      <c r="B491" t="s">
        <v>90</v>
      </c>
      <c r="C491" t="s">
        <v>9</v>
      </c>
      <c r="D491">
        <v>6.64</v>
      </c>
      <c r="E491" s="1">
        <v>13973042</v>
      </c>
      <c r="F491" s="1">
        <v>927810</v>
      </c>
      <c r="G491" s="4">
        <f t="shared" si="22"/>
        <v>698034.52759033174</v>
      </c>
      <c r="H491" s="4">
        <f t="shared" si="23"/>
        <v>175304.53538150716</v>
      </c>
      <c r="I491" s="17">
        <f t="shared" si="21"/>
        <v>0.74885979353102816</v>
      </c>
      <c r="J491">
        <v>53.48</v>
      </c>
    </row>
    <row r="492" spans="1:10" x14ac:dyDescent="0.25">
      <c r="A492" t="s">
        <v>59</v>
      </c>
      <c r="B492" t="s">
        <v>90</v>
      </c>
      <c r="C492" t="s">
        <v>9</v>
      </c>
      <c r="D492">
        <v>7.59</v>
      </c>
      <c r="E492" s="1">
        <v>13483615</v>
      </c>
      <c r="F492" s="1">
        <v>1023406</v>
      </c>
      <c r="G492" s="4">
        <f t="shared" si="22"/>
        <v>858877.35827709956</v>
      </c>
      <c r="H492" s="4">
        <f t="shared" si="23"/>
        <v>219502.66083605972</v>
      </c>
      <c r="I492" s="17">
        <f t="shared" si="21"/>
        <v>0.74443072841461311</v>
      </c>
      <c r="J492">
        <v>52.06</v>
      </c>
    </row>
    <row r="493" spans="1:10" x14ac:dyDescent="0.25">
      <c r="A493" t="s">
        <v>60</v>
      </c>
      <c r="B493" t="s">
        <v>90</v>
      </c>
      <c r="C493" t="s">
        <v>9</v>
      </c>
      <c r="D493">
        <v>12</v>
      </c>
      <c r="E493" s="1">
        <v>8587594</v>
      </c>
      <c r="F493" s="1">
        <v>1030511</v>
      </c>
      <c r="G493" s="4">
        <f t="shared" si="22"/>
        <v>974047.40748312976</v>
      </c>
      <c r="H493" s="4">
        <f t="shared" si="23"/>
        <v>208098.37556961426</v>
      </c>
      <c r="I493" s="17">
        <f t="shared" si="21"/>
        <v>0.78635703563204806</v>
      </c>
      <c r="J493">
        <v>34.770000000000003</v>
      </c>
    </row>
    <row r="494" spans="1:10" x14ac:dyDescent="0.25">
      <c r="A494" t="s">
        <v>61</v>
      </c>
      <c r="B494" t="s">
        <v>90</v>
      </c>
      <c r="C494" t="s">
        <v>9</v>
      </c>
      <c r="D494">
        <v>12.56</v>
      </c>
      <c r="E494" s="1">
        <v>11740781</v>
      </c>
      <c r="F494" s="1">
        <v>1474642</v>
      </c>
      <c r="G494" s="4">
        <f t="shared" si="22"/>
        <v>1013571.9222449388</v>
      </c>
      <c r="H494" s="4">
        <f t="shared" si="23"/>
        <v>166387.67877878851</v>
      </c>
      <c r="I494" s="17">
        <f t="shared" si="21"/>
        <v>0.83584028412087419</v>
      </c>
      <c r="J494">
        <v>47.76</v>
      </c>
    </row>
    <row r="495" spans="1:10" x14ac:dyDescent="0.25">
      <c r="A495" t="s">
        <v>62</v>
      </c>
      <c r="B495" t="s">
        <v>90</v>
      </c>
      <c r="C495" t="s">
        <v>9</v>
      </c>
      <c r="D495">
        <v>1.39</v>
      </c>
      <c r="E495" s="1">
        <v>13270426</v>
      </c>
      <c r="F495" s="1">
        <v>184459</v>
      </c>
      <c r="G495" s="4">
        <f t="shared" si="22"/>
        <v>1336320.9766734815</v>
      </c>
      <c r="H495" s="4">
        <f t="shared" si="23"/>
        <v>284513.28488499555</v>
      </c>
      <c r="I495" s="17">
        <f t="shared" si="21"/>
        <v>0.78709210597498991</v>
      </c>
      <c r="J495">
        <v>47.8</v>
      </c>
    </row>
    <row r="496" spans="1:10" x14ac:dyDescent="0.25">
      <c r="A496" t="s">
        <v>63</v>
      </c>
      <c r="B496" t="s">
        <v>90</v>
      </c>
      <c r="C496" t="s">
        <v>9</v>
      </c>
      <c r="D496">
        <v>0.57999999999999996</v>
      </c>
      <c r="E496" s="1">
        <v>13895092</v>
      </c>
      <c r="F496" s="1">
        <v>80592</v>
      </c>
      <c r="G496" s="4">
        <f t="shared" si="22"/>
        <v>530017.59300204436</v>
      </c>
      <c r="H496" s="4">
        <f t="shared" si="23"/>
        <v>717068.0505101101</v>
      </c>
      <c r="I496" s="17">
        <f t="shared" si="21"/>
        <v>-0.35291367678684632</v>
      </c>
      <c r="J496">
        <v>49.57</v>
      </c>
    </row>
    <row r="497" spans="1:10" x14ac:dyDescent="0.25">
      <c r="A497" t="s">
        <v>64</v>
      </c>
      <c r="B497" t="s">
        <v>90</v>
      </c>
      <c r="C497" t="s">
        <v>9</v>
      </c>
      <c r="D497">
        <v>0.95</v>
      </c>
      <c r="E497" s="1">
        <v>12611779</v>
      </c>
      <c r="F497" s="1">
        <v>119812</v>
      </c>
      <c r="G497" s="4">
        <f t="shared" si="22"/>
        <v>215419.67790061329</v>
      </c>
      <c r="H497" s="4">
        <f t="shared" si="23"/>
        <v>761873.78516226634</v>
      </c>
      <c r="I497" s="17">
        <f t="shared" si="21"/>
        <v>-2.5366954058568729</v>
      </c>
      <c r="J497">
        <v>45.09</v>
      </c>
    </row>
    <row r="498" spans="1:10" x14ac:dyDescent="0.25">
      <c r="A498" t="s">
        <v>65</v>
      </c>
      <c r="B498" t="s">
        <v>90</v>
      </c>
      <c r="C498" t="s">
        <v>9</v>
      </c>
      <c r="D498">
        <v>3.24</v>
      </c>
      <c r="E498" s="1">
        <v>15008970</v>
      </c>
      <c r="F498" s="1">
        <v>486291</v>
      </c>
      <c r="G498" s="4">
        <f t="shared" si="22"/>
        <v>148494.30337018397</v>
      </c>
      <c r="H498" s="4">
        <f t="shared" si="23"/>
        <v>715986.54666712065</v>
      </c>
      <c r="I498" s="17">
        <f t="shared" si="21"/>
        <v>-3.8216431904611556</v>
      </c>
      <c r="J498">
        <v>54.85</v>
      </c>
    </row>
    <row r="499" spans="1:10" x14ac:dyDescent="0.25">
      <c r="A499" t="s">
        <v>66</v>
      </c>
      <c r="B499" t="s">
        <v>90</v>
      </c>
      <c r="C499" t="s">
        <v>9</v>
      </c>
      <c r="D499">
        <v>2.7</v>
      </c>
      <c r="E499" s="1">
        <v>14534338</v>
      </c>
      <c r="F499" s="1">
        <v>392427</v>
      </c>
      <c r="G499" s="4">
        <f t="shared" si="22"/>
        <v>384951.99101105513</v>
      </c>
      <c r="H499" s="4">
        <f t="shared" si="23"/>
        <v>329257.14366980846</v>
      </c>
      <c r="I499" s="17">
        <f t="shared" si="21"/>
        <v>0.14467998254786846</v>
      </c>
      <c r="J499">
        <v>52.74</v>
      </c>
    </row>
    <row r="500" spans="1:10" x14ac:dyDescent="0.25">
      <c r="A500" t="s">
        <v>67</v>
      </c>
      <c r="B500" t="s">
        <v>90</v>
      </c>
      <c r="C500" t="s">
        <v>9</v>
      </c>
      <c r="D500">
        <v>4.58</v>
      </c>
      <c r="E500" s="1">
        <v>14315192</v>
      </c>
      <c r="F500" s="1">
        <v>655636</v>
      </c>
      <c r="G500" s="4">
        <f t="shared" si="22"/>
        <v>390184.49730331649</v>
      </c>
      <c r="H500" s="4">
        <f t="shared" si="23"/>
        <v>202734.0721955309</v>
      </c>
      <c r="I500" s="17">
        <f t="shared" si="21"/>
        <v>0.48041484580579796</v>
      </c>
      <c r="J500">
        <v>52.89</v>
      </c>
    </row>
    <row r="501" spans="1:10" x14ac:dyDescent="0.25">
      <c r="A501" t="s">
        <v>68</v>
      </c>
      <c r="B501" t="s">
        <v>90</v>
      </c>
      <c r="C501" t="s">
        <v>9</v>
      </c>
      <c r="D501">
        <v>1.3</v>
      </c>
      <c r="E501" s="1">
        <v>11784046</v>
      </c>
      <c r="F501" s="1">
        <v>153193</v>
      </c>
      <c r="G501" s="4">
        <f t="shared" si="22"/>
        <v>576000.54919099493</v>
      </c>
      <c r="H501" s="4">
        <f t="shared" si="23"/>
        <v>248077.26235813991</v>
      </c>
      <c r="I501" s="17">
        <f t="shared" si="21"/>
        <v>0.56931071904953956</v>
      </c>
      <c r="J501">
        <v>42.03</v>
      </c>
    </row>
    <row r="502" spans="1:10" x14ac:dyDescent="0.25">
      <c r="A502" t="s">
        <v>69</v>
      </c>
      <c r="B502" t="s">
        <v>90</v>
      </c>
      <c r="C502" t="s">
        <v>9</v>
      </c>
      <c r="D502">
        <v>3.11</v>
      </c>
      <c r="E502" s="1">
        <v>13893075</v>
      </c>
      <c r="F502" s="1">
        <v>432075</v>
      </c>
      <c r="G502" s="4">
        <f t="shared" si="22"/>
        <v>280035.26475729846</v>
      </c>
      <c r="H502" s="4">
        <f t="shared" si="23"/>
        <v>288262.95848074072</v>
      </c>
      <c r="I502" s="17">
        <f t="shared" si="21"/>
        <v>-2.9380920044384626E-2</v>
      </c>
      <c r="J502">
        <v>50.4</v>
      </c>
    </row>
    <row r="503" spans="1:10" x14ac:dyDescent="0.25">
      <c r="A503" t="s">
        <v>70</v>
      </c>
      <c r="B503" t="s">
        <v>90</v>
      </c>
      <c r="C503" t="s">
        <v>9</v>
      </c>
      <c r="D503">
        <v>3.03</v>
      </c>
      <c r="E503" s="1">
        <v>13470268</v>
      </c>
      <c r="F503" s="1">
        <v>408149</v>
      </c>
      <c r="G503" s="4">
        <f t="shared" si="22"/>
        <v>386463.07942718954</v>
      </c>
      <c r="H503" s="4">
        <f t="shared" si="23"/>
        <v>301300.95974484482</v>
      </c>
      <c r="I503" s="17">
        <f t="shared" si="21"/>
        <v>0.22036288643295729</v>
      </c>
      <c r="J503">
        <v>48.76</v>
      </c>
    </row>
    <row r="504" spans="1:10" x14ac:dyDescent="0.25">
      <c r="A504" t="s">
        <v>71</v>
      </c>
      <c r="B504" t="s">
        <v>90</v>
      </c>
      <c r="C504" t="s">
        <v>9</v>
      </c>
      <c r="D504">
        <v>2.15</v>
      </c>
      <c r="E504" s="1">
        <v>14357667</v>
      </c>
      <c r="F504" s="1">
        <v>308690</v>
      </c>
      <c r="G504" s="4">
        <f t="shared" si="22"/>
        <v>401643.22382815683</v>
      </c>
      <c r="H504" s="4">
        <f t="shared" si="23"/>
        <v>259713.03644385189</v>
      </c>
      <c r="I504" s="17">
        <f t="shared" si="21"/>
        <v>0.35337378788949719</v>
      </c>
      <c r="J504">
        <v>51.43</v>
      </c>
    </row>
    <row r="505" spans="1:10" x14ac:dyDescent="0.25">
      <c r="A505" t="s">
        <v>72</v>
      </c>
      <c r="B505" t="s">
        <v>90</v>
      </c>
      <c r="C505" t="s">
        <v>9</v>
      </c>
      <c r="D505">
        <v>1.61</v>
      </c>
      <c r="E505" s="1">
        <v>13739426</v>
      </c>
      <c r="F505" s="1">
        <v>221205</v>
      </c>
      <c r="G505" s="4">
        <f t="shared" si="22"/>
        <v>336575.96714844706</v>
      </c>
      <c r="H505" s="4">
        <f t="shared" si="23"/>
        <v>103644.68480311062</v>
      </c>
      <c r="I505" s="17">
        <f t="shared" si="21"/>
        <v>0.69206154057518299</v>
      </c>
      <c r="J505">
        <v>48.87</v>
      </c>
    </row>
    <row r="506" spans="1:10" x14ac:dyDescent="0.25">
      <c r="A506" t="s">
        <v>73</v>
      </c>
      <c r="B506" t="s">
        <v>90</v>
      </c>
      <c r="C506" t="s">
        <v>9</v>
      </c>
      <c r="D506">
        <v>2.34</v>
      </c>
      <c r="E506" s="1">
        <v>13711252</v>
      </c>
      <c r="F506" s="1">
        <v>320843</v>
      </c>
      <c r="G506" s="4">
        <f t="shared" si="22"/>
        <v>255816.29014453411</v>
      </c>
      <c r="H506" s="4">
        <f t="shared" si="23"/>
        <v>86450.450224209781</v>
      </c>
      <c r="I506" s="17">
        <f t="shared" si="21"/>
        <v>0.66206041774991742</v>
      </c>
      <c r="J506">
        <v>49.06</v>
      </c>
    </row>
    <row r="507" spans="1:10" x14ac:dyDescent="0.25">
      <c r="A507" t="s">
        <v>74</v>
      </c>
      <c r="B507" t="s">
        <v>90</v>
      </c>
      <c r="C507" t="s">
        <v>9</v>
      </c>
      <c r="D507">
        <v>1.54</v>
      </c>
      <c r="E507" s="1">
        <v>14206021</v>
      </c>
      <c r="F507" s="1">
        <v>218773</v>
      </c>
      <c r="G507" s="4">
        <f t="shared" si="22"/>
        <v>301334.98704336019</v>
      </c>
      <c r="H507" s="4">
        <f t="shared" si="23"/>
        <v>93415.264411912227</v>
      </c>
      <c r="I507" s="17">
        <f t="shared" si="21"/>
        <v>0.68999529285170469</v>
      </c>
      <c r="J507">
        <v>50.35</v>
      </c>
    </row>
    <row r="508" spans="1:10" x14ac:dyDescent="0.25">
      <c r="A508" t="s">
        <v>75</v>
      </c>
      <c r="B508" t="s">
        <v>90</v>
      </c>
      <c r="C508" t="s">
        <v>9</v>
      </c>
      <c r="D508">
        <v>0.97</v>
      </c>
      <c r="E508" s="1">
        <v>14920938</v>
      </c>
      <c r="F508" s="1">
        <v>144733</v>
      </c>
      <c r="G508" s="4">
        <f t="shared" si="22"/>
        <v>243541.59611300804</v>
      </c>
      <c r="H508" s="4">
        <f t="shared" si="23"/>
        <v>90102.561487716084</v>
      </c>
      <c r="I508" s="17">
        <f t="shared" si="21"/>
        <v>0.63003214676351738</v>
      </c>
      <c r="J508">
        <v>52.5</v>
      </c>
    </row>
    <row r="509" spans="1:10" x14ac:dyDescent="0.25">
      <c r="A509" t="s">
        <v>76</v>
      </c>
      <c r="B509" t="s">
        <v>90</v>
      </c>
      <c r="C509" t="s">
        <v>9</v>
      </c>
      <c r="D509">
        <v>1.19</v>
      </c>
      <c r="E509" s="1">
        <v>13146704</v>
      </c>
      <c r="F509" s="1">
        <v>156446</v>
      </c>
      <c r="G509" s="4">
        <f t="shared" si="22"/>
        <v>174375.5788339024</v>
      </c>
      <c r="H509" s="4">
        <f t="shared" si="23"/>
        <v>83282.838098050881</v>
      </c>
      <c r="I509" s="17">
        <f t="shared" si="21"/>
        <v>0.52239391172212191</v>
      </c>
      <c r="J509">
        <v>46.29</v>
      </c>
    </row>
    <row r="510" spans="1:10" x14ac:dyDescent="0.25">
      <c r="A510" t="s">
        <v>77</v>
      </c>
      <c r="B510" t="s">
        <v>90</v>
      </c>
      <c r="C510" t="s">
        <v>9</v>
      </c>
      <c r="D510">
        <v>0.68</v>
      </c>
      <c r="E510" s="1">
        <v>14492546</v>
      </c>
      <c r="F510" s="1">
        <v>98549</v>
      </c>
      <c r="G510" s="4">
        <f t="shared" si="22"/>
        <v>161824.87365017072</v>
      </c>
      <c r="H510" s="4">
        <f t="shared" si="23"/>
        <v>75057.955757606949</v>
      </c>
      <c r="I510" s="17">
        <f t="shared" si="21"/>
        <v>0.53617788128254307</v>
      </c>
      <c r="J510">
        <v>50.69</v>
      </c>
    </row>
    <row r="511" spans="1:10" x14ac:dyDescent="0.25">
      <c r="A511" t="s">
        <v>78</v>
      </c>
      <c r="B511" t="s">
        <v>90</v>
      </c>
      <c r="C511" t="s">
        <v>9</v>
      </c>
      <c r="D511">
        <v>2.81</v>
      </c>
      <c r="E511" s="1">
        <v>14685331</v>
      </c>
      <c r="F511" s="1">
        <v>412658</v>
      </c>
      <c r="G511" s="4">
        <f t="shared" si="22"/>
        <v>117531.76209505121</v>
      </c>
      <c r="H511" s="4">
        <f t="shared" si="23"/>
        <v>68528.448226939639</v>
      </c>
      <c r="I511" s="17">
        <f t="shared" si="21"/>
        <v>0.41693677517130412</v>
      </c>
      <c r="J511">
        <v>52.41</v>
      </c>
    </row>
    <row r="512" spans="1:10" x14ac:dyDescent="0.25">
      <c r="A512" t="s">
        <v>79</v>
      </c>
      <c r="B512" t="s">
        <v>90</v>
      </c>
      <c r="C512" t="s">
        <v>9</v>
      </c>
      <c r="D512">
        <v>0.77</v>
      </c>
      <c r="E512" s="1">
        <v>14769944</v>
      </c>
      <c r="F512" s="1">
        <v>113729</v>
      </c>
      <c r="G512" s="4">
        <f t="shared" si="22"/>
        <v>324120.12862851535</v>
      </c>
      <c r="H512" s="4">
        <f t="shared" si="23"/>
        <v>174570.71373637475</v>
      </c>
      <c r="I512" s="17">
        <f t="shared" si="21"/>
        <v>0.46140119567687837</v>
      </c>
      <c r="J512">
        <v>51.56</v>
      </c>
    </row>
    <row r="513" spans="1:10" x14ac:dyDescent="0.25">
      <c r="A513" t="s">
        <v>80</v>
      </c>
      <c r="B513" t="s">
        <v>90</v>
      </c>
      <c r="C513" t="s">
        <v>9</v>
      </c>
      <c r="D513">
        <v>1.23</v>
      </c>
      <c r="E513" s="1">
        <v>13874150</v>
      </c>
      <c r="F513" s="1">
        <v>170652</v>
      </c>
      <c r="G513" s="4">
        <f t="shared" si="22"/>
        <v>176846.33858855459</v>
      </c>
      <c r="H513" s="4">
        <f t="shared" si="23"/>
        <v>212420.7769904671</v>
      </c>
      <c r="I513" s="17">
        <f t="shared" si="21"/>
        <v>-0.20116016359648214</v>
      </c>
      <c r="J513">
        <v>48.58</v>
      </c>
    </row>
    <row r="514" spans="1:10" x14ac:dyDescent="0.25">
      <c r="A514" t="s">
        <v>81</v>
      </c>
      <c r="B514" t="s">
        <v>90</v>
      </c>
      <c r="C514" t="s">
        <v>9</v>
      </c>
      <c r="D514">
        <v>1.1000000000000001</v>
      </c>
      <c r="E514" s="1">
        <v>14594671</v>
      </c>
      <c r="F514" s="1">
        <v>160541</v>
      </c>
      <c r="G514" s="4">
        <f t="shared" si="22"/>
        <v>172510.30157656636</v>
      </c>
      <c r="H514" s="4">
        <f t="shared" si="23"/>
        <v>209286.32152791589</v>
      </c>
      <c r="I514" s="17">
        <f t="shared" si="21"/>
        <v>-0.21318158750668575</v>
      </c>
      <c r="J514">
        <v>50.96</v>
      </c>
    </row>
    <row r="515" spans="1:10" x14ac:dyDescent="0.25">
      <c r="A515" t="s">
        <v>82</v>
      </c>
      <c r="B515" t="s">
        <v>90</v>
      </c>
      <c r="C515" t="s">
        <v>9</v>
      </c>
      <c r="D515">
        <v>2.2000000000000002</v>
      </c>
      <c r="E515" s="1">
        <v>15063202</v>
      </c>
      <c r="F515" s="1">
        <v>331390</v>
      </c>
      <c r="G515" s="4">
        <f t="shared" si="22"/>
        <v>164131.79047296991</v>
      </c>
      <c r="H515" s="4">
        <f t="shared" si="23"/>
        <v>121718.33745216994</v>
      </c>
      <c r="I515" s="17">
        <f t="shared" ref="I515:I578" si="24">(G515-H515)/G515</f>
        <v>0.25841095682060955</v>
      </c>
      <c r="J515">
        <v>53.12</v>
      </c>
    </row>
    <row r="516" spans="1:10" x14ac:dyDescent="0.25">
      <c r="A516" t="s">
        <v>83</v>
      </c>
      <c r="B516" t="s">
        <v>90</v>
      </c>
      <c r="C516" t="s">
        <v>9</v>
      </c>
      <c r="D516">
        <v>1.53</v>
      </c>
      <c r="E516" s="1">
        <v>14744388</v>
      </c>
      <c r="F516" s="1">
        <v>225589</v>
      </c>
      <c r="G516" s="4">
        <f t="shared" ref="G516:G579" si="25">0.7*F515+0.3*G515</f>
        <v>281212.53714189096</v>
      </c>
      <c r="H516" s="4">
        <f t="shared" si="23"/>
        <v>96879.551789784047</v>
      </c>
      <c r="I516" s="17">
        <f t="shared" si="24"/>
        <v>0.65549348270734575</v>
      </c>
      <c r="J516">
        <v>51.56</v>
      </c>
    </row>
    <row r="517" spans="1:10" x14ac:dyDescent="0.25">
      <c r="A517" t="s">
        <v>84</v>
      </c>
      <c r="B517" t="s">
        <v>90</v>
      </c>
      <c r="C517" t="s">
        <v>9</v>
      </c>
      <c r="D517">
        <v>1.22</v>
      </c>
      <c r="E517" s="1">
        <v>14416320</v>
      </c>
      <c r="F517" s="1">
        <v>175879</v>
      </c>
      <c r="G517" s="4">
        <f t="shared" si="25"/>
        <v>242276.06114256725</v>
      </c>
      <c r="H517" s="4">
        <f t="shared" si="23"/>
        <v>102000.8998630143</v>
      </c>
      <c r="I517" s="17">
        <f t="shared" si="24"/>
        <v>0.57898894599003781</v>
      </c>
      <c r="J517">
        <v>50.18</v>
      </c>
    </row>
    <row r="518" spans="1:10" x14ac:dyDescent="0.25">
      <c r="A518" t="s">
        <v>7</v>
      </c>
      <c r="B518" t="s">
        <v>91</v>
      </c>
      <c r="C518" t="s">
        <v>9</v>
      </c>
      <c r="D518">
        <v>12.75</v>
      </c>
      <c r="E518" s="1">
        <v>5166429</v>
      </c>
      <c r="F518" s="1">
        <v>658720</v>
      </c>
      <c r="G518" s="4">
        <f t="shared" si="25"/>
        <v>195798.11834277015</v>
      </c>
      <c r="H518" s="4">
        <f t="shared" ref="H518:H581" si="26">SQRT(SUMXMY2(F515:F517,G515:G517)/3)</f>
        <v>108747.19347602039</v>
      </c>
      <c r="I518" s="17">
        <f t="shared" si="24"/>
        <v>0.44459530869625496</v>
      </c>
      <c r="J518">
        <v>46.74</v>
      </c>
    </row>
    <row r="519" spans="1:10" x14ac:dyDescent="0.25">
      <c r="A519" t="s">
        <v>10</v>
      </c>
      <c r="B519" t="s">
        <v>91</v>
      </c>
      <c r="C519" t="s">
        <v>9</v>
      </c>
      <c r="D519">
        <v>9.5500000000000007</v>
      </c>
      <c r="E519" s="1">
        <v>5107763</v>
      </c>
      <c r="F519" s="1">
        <v>487791</v>
      </c>
      <c r="G519" s="4">
        <f t="shared" si="25"/>
        <v>519843.43550283101</v>
      </c>
      <c r="H519" s="4">
        <f t="shared" si="26"/>
        <v>271906.36631606321</v>
      </c>
      <c r="I519" s="17">
        <f t="shared" si="24"/>
        <v>0.4769456575842777</v>
      </c>
      <c r="J519">
        <v>44.5</v>
      </c>
    </row>
    <row r="520" spans="1:10" x14ac:dyDescent="0.25">
      <c r="A520" t="s">
        <v>11</v>
      </c>
      <c r="B520" t="s">
        <v>91</v>
      </c>
      <c r="C520" t="s">
        <v>9</v>
      </c>
      <c r="D520">
        <v>7.36</v>
      </c>
      <c r="E520" s="1">
        <v>5354862</v>
      </c>
      <c r="F520" s="1">
        <v>394118</v>
      </c>
      <c r="G520" s="4">
        <f t="shared" si="25"/>
        <v>497406.73065084929</v>
      </c>
      <c r="H520" s="4">
        <f t="shared" si="26"/>
        <v>270636.65486349241</v>
      </c>
      <c r="I520" s="17">
        <f t="shared" si="24"/>
        <v>0.4559047190427673</v>
      </c>
      <c r="J520">
        <v>45.47</v>
      </c>
    </row>
    <row r="521" spans="1:10" x14ac:dyDescent="0.25">
      <c r="A521" t="s">
        <v>12</v>
      </c>
      <c r="B521" t="s">
        <v>91</v>
      </c>
      <c r="C521" t="s">
        <v>9</v>
      </c>
      <c r="D521">
        <v>12.03</v>
      </c>
      <c r="E521" s="1">
        <v>5028469</v>
      </c>
      <c r="F521" s="1">
        <v>604925</v>
      </c>
      <c r="G521" s="4">
        <f t="shared" si="25"/>
        <v>425104.61919525475</v>
      </c>
      <c r="H521" s="4">
        <f t="shared" si="26"/>
        <v>274464.68444239913</v>
      </c>
      <c r="I521" s="17">
        <f t="shared" si="24"/>
        <v>0.35435967512661914</v>
      </c>
      <c r="J521">
        <v>44.88</v>
      </c>
    </row>
    <row r="522" spans="1:10" x14ac:dyDescent="0.25">
      <c r="A522" t="s">
        <v>13</v>
      </c>
      <c r="B522" t="s">
        <v>91</v>
      </c>
      <c r="C522" t="s">
        <v>9</v>
      </c>
      <c r="D522">
        <v>7.1</v>
      </c>
      <c r="E522" s="1">
        <v>5356324</v>
      </c>
      <c r="F522" s="1">
        <v>380299</v>
      </c>
      <c r="G522" s="4">
        <f t="shared" si="25"/>
        <v>550978.88575857645</v>
      </c>
      <c r="H522" s="4">
        <f t="shared" si="26"/>
        <v>121149.06775523894</v>
      </c>
      <c r="I522" s="17">
        <f t="shared" si="24"/>
        <v>0.7801203078981086</v>
      </c>
      <c r="J522">
        <v>45.19</v>
      </c>
    </row>
    <row r="523" spans="1:10" x14ac:dyDescent="0.25">
      <c r="A523" t="s">
        <v>14</v>
      </c>
      <c r="B523" t="s">
        <v>91</v>
      </c>
      <c r="C523" t="s">
        <v>9</v>
      </c>
      <c r="D523">
        <v>10.31</v>
      </c>
      <c r="E523" s="1">
        <v>4823368</v>
      </c>
      <c r="F523" s="1">
        <v>497289</v>
      </c>
      <c r="G523" s="4">
        <f t="shared" si="25"/>
        <v>431502.96572757291</v>
      </c>
      <c r="H523" s="4">
        <f t="shared" si="26"/>
        <v>155065.09884001192</v>
      </c>
      <c r="I523" s="17">
        <f t="shared" si="24"/>
        <v>0.64063955254965399</v>
      </c>
      <c r="J523">
        <v>42.08</v>
      </c>
    </row>
    <row r="524" spans="1:10" x14ac:dyDescent="0.25">
      <c r="A524" t="s">
        <v>15</v>
      </c>
      <c r="B524" t="s">
        <v>91</v>
      </c>
      <c r="C524" t="s">
        <v>9</v>
      </c>
      <c r="D524">
        <v>8.6300000000000008</v>
      </c>
      <c r="E524" s="1">
        <v>4976264</v>
      </c>
      <c r="F524" s="1">
        <v>429452</v>
      </c>
      <c r="G524" s="4">
        <f t="shared" si="25"/>
        <v>477553.18971827184</v>
      </c>
      <c r="H524" s="4">
        <f t="shared" si="26"/>
        <v>148093.20833022386</v>
      </c>
      <c r="I524" s="17">
        <f t="shared" si="24"/>
        <v>0.68989169893810132</v>
      </c>
      <c r="J524">
        <v>42.53</v>
      </c>
    </row>
    <row r="525" spans="1:10" x14ac:dyDescent="0.25">
      <c r="A525" t="s">
        <v>16</v>
      </c>
      <c r="B525" t="s">
        <v>91</v>
      </c>
      <c r="C525" t="s">
        <v>9</v>
      </c>
      <c r="D525">
        <v>17.059999999999999</v>
      </c>
      <c r="E525" s="1">
        <v>4969421</v>
      </c>
      <c r="F525" s="1">
        <v>847783</v>
      </c>
      <c r="G525" s="4">
        <f t="shared" si="25"/>
        <v>443882.3569154815</v>
      </c>
      <c r="H525" s="4">
        <f t="shared" si="26"/>
        <v>109198.82502445839</v>
      </c>
      <c r="I525" s="17">
        <f t="shared" si="24"/>
        <v>0.753991517519921</v>
      </c>
      <c r="J525">
        <v>46.7</v>
      </c>
    </row>
    <row r="526" spans="1:10" x14ac:dyDescent="0.25">
      <c r="A526" t="s">
        <v>17</v>
      </c>
      <c r="B526" t="s">
        <v>91</v>
      </c>
      <c r="C526" t="s">
        <v>9</v>
      </c>
      <c r="D526">
        <v>3.41</v>
      </c>
      <c r="E526" s="1">
        <v>5267062</v>
      </c>
      <c r="F526" s="1">
        <v>179607</v>
      </c>
      <c r="G526" s="4">
        <f t="shared" si="25"/>
        <v>726612.80707464437</v>
      </c>
      <c r="H526" s="4">
        <f t="shared" si="26"/>
        <v>237891.61134271053</v>
      </c>
      <c r="I526" s="17">
        <f t="shared" si="24"/>
        <v>0.67260195660400446</v>
      </c>
      <c r="J526">
        <v>42.43</v>
      </c>
    </row>
    <row r="527" spans="1:10" x14ac:dyDescent="0.25">
      <c r="A527" t="s">
        <v>18</v>
      </c>
      <c r="B527" t="s">
        <v>91</v>
      </c>
      <c r="C527" t="s">
        <v>9</v>
      </c>
      <c r="D527">
        <v>8.5299999999999994</v>
      </c>
      <c r="E527" s="1">
        <v>4966838</v>
      </c>
      <c r="F527" s="1">
        <v>423671</v>
      </c>
      <c r="G527" s="4">
        <f t="shared" si="25"/>
        <v>343708.74212239333</v>
      </c>
      <c r="H527" s="4">
        <f t="shared" si="26"/>
        <v>393558.46956955193</v>
      </c>
      <c r="I527" s="17">
        <f t="shared" si="24"/>
        <v>-0.14503479643647615</v>
      </c>
      <c r="J527">
        <v>42.17</v>
      </c>
    </row>
    <row r="528" spans="1:10" x14ac:dyDescent="0.25">
      <c r="A528" t="s">
        <v>19</v>
      </c>
      <c r="B528" t="s">
        <v>91</v>
      </c>
      <c r="C528" t="s">
        <v>9</v>
      </c>
      <c r="D528">
        <v>4.91</v>
      </c>
      <c r="E528" s="1">
        <v>5110195</v>
      </c>
      <c r="F528" s="1">
        <v>250911</v>
      </c>
      <c r="G528" s="4">
        <f t="shared" si="25"/>
        <v>399682.32263671793</v>
      </c>
      <c r="H528" s="4">
        <f t="shared" si="26"/>
        <v>395282.61836410814</v>
      </c>
      <c r="I528" s="17">
        <f t="shared" si="24"/>
        <v>1.1008003165075671E-2</v>
      </c>
      <c r="J528">
        <v>41.67</v>
      </c>
    </row>
    <row r="529" spans="1:10" x14ac:dyDescent="0.25">
      <c r="A529" t="s">
        <v>20</v>
      </c>
      <c r="B529" t="s">
        <v>91</v>
      </c>
      <c r="C529" t="s">
        <v>9</v>
      </c>
      <c r="D529">
        <v>18.79</v>
      </c>
      <c r="E529" s="1">
        <v>4538689</v>
      </c>
      <c r="F529" s="1">
        <v>852820</v>
      </c>
      <c r="G529" s="4">
        <f t="shared" si="25"/>
        <v>295542.39679101534</v>
      </c>
      <c r="H529" s="4">
        <f t="shared" si="26"/>
        <v>330525.95566124929</v>
      </c>
      <c r="I529" s="17">
        <f t="shared" si="24"/>
        <v>-0.11837069486504707</v>
      </c>
      <c r="J529">
        <v>43.25</v>
      </c>
    </row>
    <row r="530" spans="1:10" x14ac:dyDescent="0.25">
      <c r="A530" t="s">
        <v>21</v>
      </c>
      <c r="B530" t="s">
        <v>91</v>
      </c>
      <c r="C530" t="s">
        <v>9</v>
      </c>
      <c r="D530">
        <v>5.32</v>
      </c>
      <c r="E530" s="1">
        <v>5085276</v>
      </c>
      <c r="F530" s="1">
        <v>270537</v>
      </c>
      <c r="G530" s="4">
        <f t="shared" si="25"/>
        <v>685636.71903730463</v>
      </c>
      <c r="H530" s="4">
        <f t="shared" si="26"/>
        <v>336196.96417542396</v>
      </c>
      <c r="I530" s="17">
        <f t="shared" si="24"/>
        <v>0.50965729395666759</v>
      </c>
      <c r="J530">
        <v>41.49</v>
      </c>
    </row>
    <row r="531" spans="1:10" x14ac:dyDescent="0.25">
      <c r="A531" t="s">
        <v>22</v>
      </c>
      <c r="B531" t="s">
        <v>91</v>
      </c>
      <c r="C531" t="s">
        <v>9</v>
      </c>
      <c r="D531">
        <v>8.32</v>
      </c>
      <c r="E531" s="1">
        <v>4920716</v>
      </c>
      <c r="F531" s="1">
        <v>409404</v>
      </c>
      <c r="G531" s="4">
        <f t="shared" si="25"/>
        <v>395066.91571119137</v>
      </c>
      <c r="H531" s="4">
        <f t="shared" si="26"/>
        <v>410284.05209979351</v>
      </c>
      <c r="I531" s="17">
        <f t="shared" si="24"/>
        <v>-3.8517870728832268E-2</v>
      </c>
      <c r="J531">
        <v>41.39</v>
      </c>
    </row>
    <row r="532" spans="1:10" x14ac:dyDescent="0.25">
      <c r="A532" t="s">
        <v>23</v>
      </c>
      <c r="B532" t="s">
        <v>91</v>
      </c>
      <c r="C532" t="s">
        <v>9</v>
      </c>
      <c r="D532">
        <v>4.49</v>
      </c>
      <c r="E532" s="1">
        <v>4619780</v>
      </c>
      <c r="F532" s="1">
        <v>207428</v>
      </c>
      <c r="G532" s="4">
        <f t="shared" si="25"/>
        <v>405102.87471335742</v>
      </c>
      <c r="H532" s="4">
        <f t="shared" si="26"/>
        <v>401277.81555472023</v>
      </c>
      <c r="I532" s="17">
        <f t="shared" si="24"/>
        <v>9.4421920884756073E-3</v>
      </c>
      <c r="J532">
        <v>37.229999999999997</v>
      </c>
    </row>
    <row r="533" spans="1:10" x14ac:dyDescent="0.25">
      <c r="A533" t="s">
        <v>24</v>
      </c>
      <c r="B533" t="s">
        <v>91</v>
      </c>
      <c r="C533" t="s">
        <v>9</v>
      </c>
      <c r="D533">
        <v>1.92</v>
      </c>
      <c r="E533" s="1">
        <v>4293016</v>
      </c>
      <c r="F533" s="1">
        <v>82426</v>
      </c>
      <c r="G533" s="4">
        <f t="shared" si="25"/>
        <v>266730.46241400717</v>
      </c>
      <c r="H533" s="4">
        <f t="shared" si="26"/>
        <v>265574.02284089907</v>
      </c>
      <c r="I533" s="17">
        <f t="shared" si="24"/>
        <v>4.3356111733242079E-3</v>
      </c>
      <c r="J533">
        <v>33.64</v>
      </c>
    </row>
    <row r="534" spans="1:10" x14ac:dyDescent="0.25">
      <c r="A534" t="s">
        <v>25</v>
      </c>
      <c r="B534" t="s">
        <v>91</v>
      </c>
      <c r="C534" t="s">
        <v>9</v>
      </c>
      <c r="D534">
        <v>0.92</v>
      </c>
      <c r="E534" s="1">
        <v>4802740</v>
      </c>
      <c r="F534" s="1">
        <v>44185</v>
      </c>
      <c r="G534" s="4">
        <f t="shared" si="25"/>
        <v>137717.33872420213</v>
      </c>
      <c r="H534" s="4">
        <f t="shared" si="26"/>
        <v>156257.31230309632</v>
      </c>
      <c r="I534" s="17">
        <f t="shared" si="24"/>
        <v>-0.13462337967496621</v>
      </c>
      <c r="J534">
        <v>37.18</v>
      </c>
    </row>
    <row r="535" spans="1:10" x14ac:dyDescent="0.25">
      <c r="A535" t="s">
        <v>26</v>
      </c>
      <c r="B535" t="s">
        <v>91</v>
      </c>
      <c r="C535" t="s">
        <v>9</v>
      </c>
      <c r="D535">
        <v>4.01</v>
      </c>
      <c r="E535" s="1">
        <v>4949445</v>
      </c>
      <c r="F535" s="1">
        <v>198473</v>
      </c>
      <c r="G535" s="4">
        <f t="shared" si="25"/>
        <v>72244.701617260638</v>
      </c>
      <c r="H535" s="4">
        <f t="shared" si="26"/>
        <v>165117.92689456488</v>
      </c>
      <c r="I535" s="17">
        <f t="shared" si="24"/>
        <v>-1.285536837972282</v>
      </c>
      <c r="J535">
        <v>39.479999999999997</v>
      </c>
    </row>
    <row r="536" spans="1:10" x14ac:dyDescent="0.25">
      <c r="A536" t="s">
        <v>27</v>
      </c>
      <c r="B536" t="s">
        <v>91</v>
      </c>
      <c r="C536" t="s">
        <v>9</v>
      </c>
      <c r="D536">
        <v>6.83</v>
      </c>
      <c r="E536" s="1">
        <v>4750170</v>
      </c>
      <c r="F536" s="1">
        <v>324437</v>
      </c>
      <c r="G536" s="4">
        <f t="shared" si="25"/>
        <v>160604.51048517818</v>
      </c>
      <c r="H536" s="4">
        <f t="shared" si="26"/>
        <v>139821.33428717396</v>
      </c>
      <c r="I536" s="17">
        <f t="shared" si="24"/>
        <v>0.12940593097428763</v>
      </c>
      <c r="J536">
        <v>38.96</v>
      </c>
    </row>
    <row r="537" spans="1:10" x14ac:dyDescent="0.25">
      <c r="A537" t="s">
        <v>28</v>
      </c>
      <c r="B537" t="s">
        <v>91</v>
      </c>
      <c r="C537" t="s">
        <v>9</v>
      </c>
      <c r="D537">
        <v>0.41</v>
      </c>
      <c r="E537" s="1">
        <v>4506125</v>
      </c>
      <c r="F537" s="1">
        <v>18475</v>
      </c>
      <c r="G537" s="4">
        <f t="shared" si="25"/>
        <v>275287.25314555346</v>
      </c>
      <c r="H537" s="4">
        <f t="shared" si="26"/>
        <v>131050.83787147257</v>
      </c>
      <c r="I537" s="17">
        <f t="shared" si="24"/>
        <v>0.52394876125200873</v>
      </c>
      <c r="J537">
        <v>34.520000000000003</v>
      </c>
    </row>
    <row r="538" spans="1:10" x14ac:dyDescent="0.25">
      <c r="A538" t="s">
        <v>29</v>
      </c>
      <c r="B538" t="s">
        <v>91</v>
      </c>
      <c r="C538" t="s">
        <v>9</v>
      </c>
      <c r="D538">
        <v>10.220000000000001</v>
      </c>
      <c r="E538" s="1">
        <v>5170890</v>
      </c>
      <c r="F538" s="1">
        <v>528465</v>
      </c>
      <c r="G538" s="4">
        <f t="shared" si="25"/>
        <v>95518.675943666036</v>
      </c>
      <c r="H538" s="4">
        <f t="shared" si="26"/>
        <v>190374.36915975314</v>
      </c>
      <c r="I538" s="17">
        <f t="shared" si="24"/>
        <v>-0.99305912984001232</v>
      </c>
      <c r="J538">
        <v>43.86</v>
      </c>
    </row>
    <row r="539" spans="1:10" x14ac:dyDescent="0.25">
      <c r="A539" t="s">
        <v>30</v>
      </c>
      <c r="B539" t="s">
        <v>91</v>
      </c>
      <c r="C539" t="s">
        <v>9</v>
      </c>
      <c r="D539">
        <v>14.89</v>
      </c>
      <c r="E539" s="1">
        <v>4996948</v>
      </c>
      <c r="F539" s="1">
        <v>744046</v>
      </c>
      <c r="G539" s="4">
        <f t="shared" si="25"/>
        <v>398581.10278309981</v>
      </c>
      <c r="H539" s="4">
        <f t="shared" si="26"/>
        <v>305633.84274880955</v>
      </c>
      <c r="I539" s="17">
        <f t="shared" si="24"/>
        <v>0.23319535067087807</v>
      </c>
      <c r="J539">
        <v>44.63</v>
      </c>
    </row>
    <row r="540" spans="1:10" x14ac:dyDescent="0.25">
      <c r="A540" t="s">
        <v>31</v>
      </c>
      <c r="B540" t="s">
        <v>91</v>
      </c>
      <c r="C540" t="s">
        <v>9</v>
      </c>
      <c r="D540">
        <v>15.67</v>
      </c>
      <c r="E540" s="1">
        <v>4808009</v>
      </c>
      <c r="F540" s="1">
        <v>753415</v>
      </c>
      <c r="G540" s="4">
        <f t="shared" si="25"/>
        <v>640406.5308349299</v>
      </c>
      <c r="H540" s="4">
        <f t="shared" si="26"/>
        <v>352486.90192623774</v>
      </c>
      <c r="I540" s="17">
        <f t="shared" si="24"/>
        <v>0.44958883934758909</v>
      </c>
      <c r="J540">
        <v>43.26</v>
      </c>
    </row>
    <row r="541" spans="1:10" x14ac:dyDescent="0.25">
      <c r="A541" t="s">
        <v>32</v>
      </c>
      <c r="B541" t="s">
        <v>91</v>
      </c>
      <c r="C541" t="s">
        <v>9</v>
      </c>
      <c r="D541">
        <v>22.05</v>
      </c>
      <c r="E541" s="1">
        <v>4676789</v>
      </c>
      <c r="F541" s="1">
        <v>1031232</v>
      </c>
      <c r="G541" s="4">
        <f t="shared" si="25"/>
        <v>719512.45925047901</v>
      </c>
      <c r="H541" s="4">
        <f t="shared" si="26"/>
        <v>326373.72689704876</v>
      </c>
      <c r="I541" s="17">
        <f t="shared" si="24"/>
        <v>0.54639600370918595</v>
      </c>
      <c r="J541">
        <v>45.44</v>
      </c>
    </row>
    <row r="542" spans="1:10" x14ac:dyDescent="0.25">
      <c r="A542" t="s">
        <v>33</v>
      </c>
      <c r="B542" t="s">
        <v>91</v>
      </c>
      <c r="C542" t="s">
        <v>9</v>
      </c>
      <c r="D542">
        <v>10.59</v>
      </c>
      <c r="E542" s="1">
        <v>5001436</v>
      </c>
      <c r="F542" s="1">
        <v>529652</v>
      </c>
      <c r="G542" s="4">
        <f t="shared" si="25"/>
        <v>937716.13777514361</v>
      </c>
      <c r="H542" s="4">
        <f t="shared" si="26"/>
        <v>276457.3393233323</v>
      </c>
      <c r="I542" s="17">
        <f t="shared" si="24"/>
        <v>0.70518014121068218</v>
      </c>
      <c r="J542">
        <v>42.29</v>
      </c>
    </row>
    <row r="543" spans="1:10" x14ac:dyDescent="0.25">
      <c r="A543" t="s">
        <v>34</v>
      </c>
      <c r="B543" t="s">
        <v>91</v>
      </c>
      <c r="C543" t="s">
        <v>9</v>
      </c>
      <c r="D543">
        <v>17.43</v>
      </c>
      <c r="E543" s="1">
        <v>4840912</v>
      </c>
      <c r="F543" s="1">
        <v>843771</v>
      </c>
      <c r="G543" s="4">
        <f t="shared" si="25"/>
        <v>652071.24133254308</v>
      </c>
      <c r="H543" s="4">
        <f t="shared" si="26"/>
        <v>303565.65831589949</v>
      </c>
      <c r="I543" s="17">
        <f t="shared" si="24"/>
        <v>0.53445936720726017</v>
      </c>
      <c r="J543">
        <v>44.25</v>
      </c>
    </row>
    <row r="544" spans="1:10" x14ac:dyDescent="0.25">
      <c r="A544" t="s">
        <v>35</v>
      </c>
      <c r="B544" t="s">
        <v>91</v>
      </c>
      <c r="C544" t="s">
        <v>9</v>
      </c>
      <c r="D544">
        <v>12.5</v>
      </c>
      <c r="E544" s="1">
        <v>4786117</v>
      </c>
      <c r="F544" s="1">
        <v>598265</v>
      </c>
      <c r="G544" s="4">
        <f t="shared" si="25"/>
        <v>786261.07239976292</v>
      </c>
      <c r="H544" s="4">
        <f t="shared" si="26"/>
        <v>316456.532084279</v>
      </c>
      <c r="I544" s="17">
        <f t="shared" si="24"/>
        <v>0.59751723289769931</v>
      </c>
      <c r="J544">
        <v>41.21</v>
      </c>
    </row>
    <row r="545" spans="1:10" x14ac:dyDescent="0.25">
      <c r="A545" t="s">
        <v>36</v>
      </c>
      <c r="B545" t="s">
        <v>91</v>
      </c>
      <c r="C545" t="s">
        <v>9</v>
      </c>
      <c r="D545">
        <v>23.72</v>
      </c>
      <c r="E545" s="1">
        <v>4614001</v>
      </c>
      <c r="F545" s="1">
        <v>1094441</v>
      </c>
      <c r="G545" s="4">
        <f t="shared" si="25"/>
        <v>654663.82171992888</v>
      </c>
      <c r="H545" s="4">
        <f t="shared" si="26"/>
        <v>282021.0756007841</v>
      </c>
      <c r="I545" s="17">
        <f t="shared" si="24"/>
        <v>0.56921237092365973</v>
      </c>
      <c r="J545">
        <v>45.49</v>
      </c>
    </row>
    <row r="546" spans="1:10" x14ac:dyDescent="0.25">
      <c r="A546" t="s">
        <v>37</v>
      </c>
      <c r="B546" t="s">
        <v>91</v>
      </c>
      <c r="C546" t="s">
        <v>9</v>
      </c>
      <c r="D546">
        <v>11.25</v>
      </c>
      <c r="E546" s="1">
        <v>5007325</v>
      </c>
      <c r="F546" s="1">
        <v>563324</v>
      </c>
      <c r="G546" s="4">
        <f t="shared" si="25"/>
        <v>962507.84651597857</v>
      </c>
      <c r="H546" s="4">
        <f t="shared" si="26"/>
        <v>297486.85531010141</v>
      </c>
      <c r="I546" s="17">
        <f t="shared" si="24"/>
        <v>0.69092526737633941</v>
      </c>
      <c r="J546">
        <v>42.35</v>
      </c>
    </row>
    <row r="547" spans="1:10" x14ac:dyDescent="0.25">
      <c r="A547" t="s">
        <v>38</v>
      </c>
      <c r="B547" t="s">
        <v>91</v>
      </c>
      <c r="C547" t="s">
        <v>9</v>
      </c>
      <c r="D547">
        <v>15.44</v>
      </c>
      <c r="E547" s="1">
        <v>4860036</v>
      </c>
      <c r="F547" s="1">
        <v>750390</v>
      </c>
      <c r="G547" s="4">
        <f t="shared" si="25"/>
        <v>683079.15395479347</v>
      </c>
      <c r="H547" s="4">
        <f t="shared" si="26"/>
        <v>359673.10764684214</v>
      </c>
      <c r="I547" s="17">
        <f t="shared" si="24"/>
        <v>0.47345325126018195</v>
      </c>
      <c r="J547">
        <v>43.06</v>
      </c>
    </row>
    <row r="548" spans="1:10" x14ac:dyDescent="0.25">
      <c r="A548" t="s">
        <v>39</v>
      </c>
      <c r="B548" t="s">
        <v>91</v>
      </c>
      <c r="C548" t="s">
        <v>9</v>
      </c>
      <c r="D548">
        <v>12.57</v>
      </c>
      <c r="E548" s="1">
        <v>4867627</v>
      </c>
      <c r="F548" s="1">
        <v>611861</v>
      </c>
      <c r="G548" s="4">
        <f t="shared" si="25"/>
        <v>730196.74618643802</v>
      </c>
      <c r="H548" s="4">
        <f t="shared" si="26"/>
        <v>345100.20759705687</v>
      </c>
      <c r="I548" s="17">
        <f t="shared" si="24"/>
        <v>0.52738736594021485</v>
      </c>
      <c r="J548">
        <v>41.64</v>
      </c>
    </row>
    <row r="549" spans="1:10" x14ac:dyDescent="0.25">
      <c r="A549" t="s">
        <v>40</v>
      </c>
      <c r="B549" t="s">
        <v>91</v>
      </c>
      <c r="C549" t="s">
        <v>9</v>
      </c>
      <c r="D549">
        <v>25.09</v>
      </c>
      <c r="E549" s="1">
        <v>4691544</v>
      </c>
      <c r="F549" s="1">
        <v>1177108</v>
      </c>
      <c r="G549" s="4">
        <f t="shared" si="25"/>
        <v>647361.72385593131</v>
      </c>
      <c r="H549" s="4">
        <f t="shared" si="26"/>
        <v>243503.48535501151</v>
      </c>
      <c r="I549" s="17">
        <f t="shared" si="24"/>
        <v>0.62385251339141179</v>
      </c>
      <c r="J549">
        <v>46.76</v>
      </c>
    </row>
    <row r="550" spans="1:10" x14ac:dyDescent="0.25">
      <c r="A550" t="s">
        <v>41</v>
      </c>
      <c r="B550" t="s">
        <v>91</v>
      </c>
      <c r="C550" t="s">
        <v>9</v>
      </c>
      <c r="D550">
        <v>14.01</v>
      </c>
      <c r="E550" s="1">
        <v>5060749</v>
      </c>
      <c r="F550" s="1">
        <v>709011</v>
      </c>
      <c r="G550" s="4">
        <f t="shared" si="25"/>
        <v>1018184.1171567794</v>
      </c>
      <c r="H550" s="4">
        <f t="shared" si="26"/>
        <v>315787.4896769083</v>
      </c>
      <c r="I550" s="17">
        <f t="shared" si="24"/>
        <v>0.68985227292807638</v>
      </c>
      <c r="J550">
        <v>43.86</v>
      </c>
    </row>
    <row r="551" spans="1:10" x14ac:dyDescent="0.25">
      <c r="A551" t="s">
        <v>42</v>
      </c>
      <c r="B551" t="s">
        <v>91</v>
      </c>
      <c r="C551" t="s">
        <v>9</v>
      </c>
      <c r="D551">
        <v>18.670000000000002</v>
      </c>
      <c r="E551" s="1">
        <v>4842527</v>
      </c>
      <c r="F551" s="1">
        <v>904100</v>
      </c>
      <c r="G551" s="4">
        <f t="shared" si="25"/>
        <v>801762.93514703377</v>
      </c>
      <c r="H551" s="4">
        <f t="shared" si="26"/>
        <v>360657.95535680279</v>
      </c>
      <c r="I551" s="17">
        <f t="shared" si="24"/>
        <v>0.55016883476826928</v>
      </c>
      <c r="J551">
        <v>44.29</v>
      </c>
    </row>
    <row r="552" spans="1:10" x14ac:dyDescent="0.25">
      <c r="A552" t="s">
        <v>43</v>
      </c>
      <c r="B552" t="s">
        <v>91</v>
      </c>
      <c r="C552" t="s">
        <v>9</v>
      </c>
      <c r="D552">
        <v>17.34</v>
      </c>
      <c r="E552" s="1">
        <v>4765000</v>
      </c>
      <c r="F552" s="1">
        <v>826251</v>
      </c>
      <c r="G552" s="4">
        <f t="shared" si="25"/>
        <v>873398.88054411008</v>
      </c>
      <c r="H552" s="4">
        <f t="shared" si="26"/>
        <v>359022.75150918023</v>
      </c>
      <c r="I552" s="17">
        <f t="shared" si="24"/>
        <v>0.58893609837750627</v>
      </c>
      <c r="J552">
        <v>42.8</v>
      </c>
    </row>
    <row r="553" spans="1:10" x14ac:dyDescent="0.25">
      <c r="A553" t="s">
        <v>44</v>
      </c>
      <c r="B553" t="s">
        <v>91</v>
      </c>
      <c r="C553" t="s">
        <v>9</v>
      </c>
      <c r="D553">
        <v>25.59</v>
      </c>
      <c r="E553" s="1">
        <v>4636216</v>
      </c>
      <c r="F553" s="1">
        <v>1186408</v>
      </c>
      <c r="G553" s="4">
        <f t="shared" si="25"/>
        <v>840395.36416323297</v>
      </c>
      <c r="H553" s="4">
        <f t="shared" si="26"/>
        <v>189985.80109660962</v>
      </c>
      <c r="I553" s="17">
        <f t="shared" si="24"/>
        <v>0.77393283066741436</v>
      </c>
      <c r="J553">
        <v>46.18</v>
      </c>
    </row>
    <row r="554" spans="1:10" x14ac:dyDescent="0.25">
      <c r="A554" t="s">
        <v>45</v>
      </c>
      <c r="B554" t="s">
        <v>91</v>
      </c>
      <c r="C554" t="s">
        <v>9</v>
      </c>
      <c r="D554">
        <v>14</v>
      </c>
      <c r="E554" s="1">
        <v>5057731</v>
      </c>
      <c r="F554" s="1">
        <v>708082</v>
      </c>
      <c r="G554" s="4">
        <f t="shared" si="25"/>
        <v>1082604.2092489698</v>
      </c>
      <c r="H554" s="4">
        <f t="shared" si="26"/>
        <v>210095.64618781692</v>
      </c>
      <c r="I554" s="17">
        <f t="shared" si="24"/>
        <v>0.80593494428257795</v>
      </c>
      <c r="J554">
        <v>43.51</v>
      </c>
    </row>
    <row r="555" spans="1:10" x14ac:dyDescent="0.25">
      <c r="A555" t="s">
        <v>46</v>
      </c>
      <c r="B555" t="s">
        <v>91</v>
      </c>
      <c r="C555" t="s">
        <v>9</v>
      </c>
      <c r="D555">
        <v>21.05</v>
      </c>
      <c r="E555" s="1">
        <v>4759841</v>
      </c>
      <c r="F555" s="1">
        <v>1001947</v>
      </c>
      <c r="G555" s="4">
        <f t="shared" si="25"/>
        <v>820438.66277469089</v>
      </c>
      <c r="H555" s="4">
        <f t="shared" si="26"/>
        <v>295643.11369128712</v>
      </c>
      <c r="I555" s="17">
        <f t="shared" si="24"/>
        <v>0.63965238706397154</v>
      </c>
      <c r="J555">
        <v>44.53</v>
      </c>
    </row>
    <row r="556" spans="1:10" x14ac:dyDescent="0.25">
      <c r="A556" t="s">
        <v>47</v>
      </c>
      <c r="B556" t="s">
        <v>91</v>
      </c>
      <c r="C556" t="s">
        <v>9</v>
      </c>
      <c r="D556">
        <v>16.010000000000002</v>
      </c>
      <c r="E556" s="1">
        <v>4719152</v>
      </c>
      <c r="F556" s="1">
        <v>755536</v>
      </c>
      <c r="G556" s="4">
        <f t="shared" si="25"/>
        <v>947494.49883240717</v>
      </c>
      <c r="H556" s="4">
        <f t="shared" si="26"/>
        <v>312483.0159980607</v>
      </c>
      <c r="I556" s="17">
        <f t="shared" si="24"/>
        <v>0.67020070682929345</v>
      </c>
      <c r="J556">
        <v>41.43</v>
      </c>
    </row>
    <row r="557" spans="1:10" x14ac:dyDescent="0.25">
      <c r="A557" t="s">
        <v>48</v>
      </c>
      <c r="B557" t="s">
        <v>91</v>
      </c>
      <c r="C557" t="s">
        <v>9</v>
      </c>
      <c r="D557">
        <v>27.78</v>
      </c>
      <c r="E557" s="1">
        <v>4521365</v>
      </c>
      <c r="F557" s="1">
        <v>1256035</v>
      </c>
      <c r="G557" s="4">
        <f t="shared" si="25"/>
        <v>813123.54964972218</v>
      </c>
      <c r="H557" s="4">
        <f t="shared" si="26"/>
        <v>264613.06781602011</v>
      </c>
      <c r="I557" s="17">
        <f t="shared" si="24"/>
        <v>0.67457212630231866</v>
      </c>
      <c r="J557">
        <v>46.07</v>
      </c>
    </row>
    <row r="558" spans="1:10" x14ac:dyDescent="0.25">
      <c r="A558" t="s">
        <v>49</v>
      </c>
      <c r="B558" t="s">
        <v>91</v>
      </c>
      <c r="C558" t="s">
        <v>9</v>
      </c>
      <c r="D558">
        <v>14.54</v>
      </c>
      <c r="E558" s="1">
        <v>5249186</v>
      </c>
      <c r="F558" s="1">
        <v>763232</v>
      </c>
      <c r="G558" s="4">
        <f t="shared" si="25"/>
        <v>1123161.5648949167</v>
      </c>
      <c r="H558" s="4">
        <f t="shared" si="26"/>
        <v>297749.27629784675</v>
      </c>
      <c r="I558" s="17">
        <f t="shared" si="24"/>
        <v>0.73490076084850331</v>
      </c>
      <c r="J558">
        <v>45.12</v>
      </c>
    </row>
    <row r="559" spans="1:10" x14ac:dyDescent="0.25">
      <c r="A559" t="s">
        <v>50</v>
      </c>
      <c r="B559" t="s">
        <v>91</v>
      </c>
      <c r="C559" t="s">
        <v>9</v>
      </c>
      <c r="D559">
        <v>23.08</v>
      </c>
      <c r="E559" s="1">
        <v>4745178</v>
      </c>
      <c r="F559" s="1">
        <v>1095187</v>
      </c>
      <c r="G559" s="4">
        <f t="shared" si="25"/>
        <v>871210.86946847499</v>
      </c>
      <c r="H559" s="4">
        <f t="shared" si="26"/>
        <v>347643.4523142075</v>
      </c>
      <c r="I559" s="17">
        <f t="shared" si="24"/>
        <v>0.60096520314731094</v>
      </c>
      <c r="J559">
        <v>45.23</v>
      </c>
    </row>
    <row r="560" spans="1:10" x14ac:dyDescent="0.25">
      <c r="A560" t="s">
        <v>51</v>
      </c>
      <c r="B560" t="s">
        <v>91</v>
      </c>
      <c r="C560" t="s">
        <v>9</v>
      </c>
      <c r="D560">
        <v>16.22</v>
      </c>
      <c r="E560" s="1">
        <v>4826560</v>
      </c>
      <c r="F560" s="1">
        <v>782868</v>
      </c>
      <c r="G560" s="4">
        <f t="shared" si="25"/>
        <v>1027994.1608405424</v>
      </c>
      <c r="H560" s="4">
        <f t="shared" si="26"/>
        <v>353970.40911386244</v>
      </c>
      <c r="I560" s="17">
        <f t="shared" si="24"/>
        <v>0.65566885241406669</v>
      </c>
      <c r="J560">
        <v>42.17</v>
      </c>
    </row>
    <row r="561" spans="1:10" x14ac:dyDescent="0.25">
      <c r="A561" t="s">
        <v>52</v>
      </c>
      <c r="B561" t="s">
        <v>91</v>
      </c>
      <c r="C561" t="s">
        <v>9</v>
      </c>
      <c r="D561">
        <v>30.94</v>
      </c>
      <c r="E561" s="1">
        <v>4558306</v>
      </c>
      <c r="F561" s="1">
        <v>1410340</v>
      </c>
      <c r="G561" s="4">
        <f t="shared" si="25"/>
        <v>856405.84825216269</v>
      </c>
      <c r="H561" s="4">
        <f t="shared" si="26"/>
        <v>282725.68180820445</v>
      </c>
      <c r="I561" s="17">
        <f t="shared" si="24"/>
        <v>0.66986951060035504</v>
      </c>
      <c r="J561">
        <v>48.23</v>
      </c>
    </row>
    <row r="562" spans="1:10" x14ac:dyDescent="0.25">
      <c r="A562" t="s">
        <v>53</v>
      </c>
      <c r="B562" t="s">
        <v>91</v>
      </c>
      <c r="C562" t="s">
        <v>9</v>
      </c>
      <c r="D562">
        <v>16.29</v>
      </c>
      <c r="E562" s="1">
        <v>5137903</v>
      </c>
      <c r="F562" s="1">
        <v>836964</v>
      </c>
      <c r="G562" s="4">
        <f t="shared" si="25"/>
        <v>1244159.7544756487</v>
      </c>
      <c r="H562" s="4">
        <f t="shared" si="26"/>
        <v>372869.58678555622</v>
      </c>
      <c r="I562" s="17">
        <f t="shared" si="24"/>
        <v>0.70030409242525116</v>
      </c>
      <c r="J562">
        <v>44.76</v>
      </c>
    </row>
    <row r="563" spans="1:10" x14ac:dyDescent="0.25">
      <c r="A563" t="s">
        <v>54</v>
      </c>
      <c r="B563" t="s">
        <v>91</v>
      </c>
      <c r="C563" t="s">
        <v>9</v>
      </c>
      <c r="D563">
        <v>24.17</v>
      </c>
      <c r="E563" s="1">
        <v>4798831</v>
      </c>
      <c r="F563" s="1">
        <v>1159877</v>
      </c>
      <c r="G563" s="4">
        <f t="shared" si="25"/>
        <v>959122.7263426946</v>
      </c>
      <c r="H563" s="4">
        <f t="shared" si="26"/>
        <v>421401.73297540052</v>
      </c>
      <c r="I563" s="17">
        <f t="shared" si="24"/>
        <v>0.56063836107577159</v>
      </c>
      <c r="J563">
        <v>46.07</v>
      </c>
    </row>
    <row r="564" spans="1:10" x14ac:dyDescent="0.25">
      <c r="A564" t="s">
        <v>55</v>
      </c>
      <c r="B564" t="s">
        <v>91</v>
      </c>
      <c r="C564" t="s">
        <v>9</v>
      </c>
      <c r="D564">
        <v>16.59</v>
      </c>
      <c r="E564" s="1">
        <v>4875762</v>
      </c>
      <c r="F564" s="1">
        <v>808889</v>
      </c>
      <c r="G564" s="4">
        <f t="shared" si="25"/>
        <v>1099650.7179028082</v>
      </c>
      <c r="H564" s="4">
        <f t="shared" si="26"/>
        <v>413502.80342752259</v>
      </c>
      <c r="I564" s="17">
        <f t="shared" si="24"/>
        <v>0.62396895969282706</v>
      </c>
      <c r="J564">
        <v>42.48</v>
      </c>
    </row>
    <row r="565" spans="1:10" x14ac:dyDescent="0.25">
      <c r="A565" t="s">
        <v>56</v>
      </c>
      <c r="B565" t="s">
        <v>91</v>
      </c>
      <c r="C565" t="s">
        <v>9</v>
      </c>
      <c r="D565">
        <v>29.56</v>
      </c>
      <c r="E565" s="1">
        <v>4603482</v>
      </c>
      <c r="F565" s="1">
        <v>1360789</v>
      </c>
      <c r="G565" s="4">
        <f t="shared" si="25"/>
        <v>896117.5153708423</v>
      </c>
      <c r="H565" s="4">
        <f t="shared" si="26"/>
        <v>311262.50307013496</v>
      </c>
      <c r="I565" s="17">
        <f t="shared" si="24"/>
        <v>0.65265436984420011</v>
      </c>
      <c r="J565">
        <v>47.4</v>
      </c>
    </row>
    <row r="566" spans="1:10" x14ac:dyDescent="0.25">
      <c r="A566" t="s">
        <v>57</v>
      </c>
      <c r="B566" t="s">
        <v>91</v>
      </c>
      <c r="C566" t="s">
        <v>9</v>
      </c>
      <c r="D566">
        <v>16.21</v>
      </c>
      <c r="E566" s="1">
        <v>5062293</v>
      </c>
      <c r="F566" s="1">
        <v>820598</v>
      </c>
      <c r="G566" s="4">
        <f t="shared" si="25"/>
        <v>1221387.5546112526</v>
      </c>
      <c r="H566" s="4">
        <f t="shared" si="26"/>
        <v>337028.30920509237</v>
      </c>
      <c r="I566" s="17">
        <f t="shared" si="24"/>
        <v>0.72406112381555843</v>
      </c>
      <c r="J566">
        <v>43.74</v>
      </c>
    </row>
    <row r="567" spans="1:10" x14ac:dyDescent="0.25">
      <c r="A567" t="s">
        <v>58</v>
      </c>
      <c r="B567" t="s">
        <v>91</v>
      </c>
      <c r="C567" t="s">
        <v>9</v>
      </c>
      <c r="D567">
        <v>27.19</v>
      </c>
      <c r="E567" s="1">
        <v>4570108</v>
      </c>
      <c r="F567" s="1">
        <v>1242612</v>
      </c>
      <c r="G567" s="4">
        <f t="shared" si="25"/>
        <v>940834.86638337583</v>
      </c>
      <c r="H567" s="4">
        <f t="shared" si="26"/>
        <v>392043.46370895492</v>
      </c>
      <c r="I567" s="17">
        <f t="shared" si="24"/>
        <v>0.58330257761811821</v>
      </c>
      <c r="J567">
        <v>45.37</v>
      </c>
    </row>
    <row r="568" spans="1:10" x14ac:dyDescent="0.25">
      <c r="A568" t="s">
        <v>59</v>
      </c>
      <c r="B568" t="s">
        <v>91</v>
      </c>
      <c r="C568" t="s">
        <v>9</v>
      </c>
      <c r="D568">
        <v>23.92</v>
      </c>
      <c r="E568" s="1">
        <v>4366148</v>
      </c>
      <c r="F568" s="1">
        <v>1044383</v>
      </c>
      <c r="G568" s="4">
        <f t="shared" si="25"/>
        <v>1152078.8599150127</v>
      </c>
      <c r="H568" s="4">
        <f t="shared" si="26"/>
        <v>394808.51649325632</v>
      </c>
      <c r="I568" s="17">
        <f t="shared" si="24"/>
        <v>0.65730773280365473</v>
      </c>
      <c r="J568">
        <v>41.4</v>
      </c>
    </row>
    <row r="569" spans="1:10" x14ac:dyDescent="0.25">
      <c r="A569" t="s">
        <v>60</v>
      </c>
      <c r="B569" t="s">
        <v>91</v>
      </c>
      <c r="C569" t="s">
        <v>9</v>
      </c>
      <c r="D569">
        <v>41.61</v>
      </c>
      <c r="E569" s="1">
        <v>4041050</v>
      </c>
      <c r="F569" s="1">
        <v>1681481</v>
      </c>
      <c r="G569" s="4">
        <f t="shared" si="25"/>
        <v>1076691.7579745038</v>
      </c>
      <c r="H569" s="4">
        <f t="shared" si="26"/>
        <v>296254.45352612343</v>
      </c>
      <c r="I569" s="17">
        <f t="shared" si="24"/>
        <v>0.72484747716148235</v>
      </c>
      <c r="J569">
        <v>49.85</v>
      </c>
    </row>
    <row r="570" spans="1:10" x14ac:dyDescent="0.25">
      <c r="A570" t="s">
        <v>61</v>
      </c>
      <c r="B570" t="s">
        <v>91</v>
      </c>
      <c r="C570" t="s">
        <v>9</v>
      </c>
      <c r="D570">
        <v>23.7</v>
      </c>
      <c r="E570" s="1">
        <v>4424785</v>
      </c>
      <c r="F570" s="1">
        <v>1048674</v>
      </c>
      <c r="G570" s="4">
        <f t="shared" si="25"/>
        <v>1500044.227392351</v>
      </c>
      <c r="H570" s="4">
        <f t="shared" si="26"/>
        <v>395153.07746343658</v>
      </c>
      <c r="I570" s="17">
        <f t="shared" si="24"/>
        <v>0.73657238216878218</v>
      </c>
      <c r="J570">
        <v>41.69</v>
      </c>
    </row>
    <row r="571" spans="1:10" x14ac:dyDescent="0.25">
      <c r="A571" t="s">
        <v>62</v>
      </c>
      <c r="B571" t="s">
        <v>91</v>
      </c>
      <c r="C571" t="s">
        <v>9</v>
      </c>
      <c r="D571">
        <v>25.8</v>
      </c>
      <c r="E571" s="1">
        <v>4594282</v>
      </c>
      <c r="F571" s="1">
        <v>1185325</v>
      </c>
      <c r="G571" s="4">
        <f t="shared" si="25"/>
        <v>1184085.0682177052</v>
      </c>
      <c r="H571" s="4">
        <f t="shared" si="26"/>
        <v>440114.95001829957</v>
      </c>
      <c r="I571" s="17">
        <f t="shared" si="24"/>
        <v>0.6283079975995608</v>
      </c>
      <c r="J571">
        <v>44.43</v>
      </c>
    </row>
    <row r="572" spans="1:10" x14ac:dyDescent="0.25">
      <c r="A572" t="s">
        <v>63</v>
      </c>
      <c r="B572" t="s">
        <v>91</v>
      </c>
      <c r="C572" t="s">
        <v>9</v>
      </c>
      <c r="D572">
        <v>17.62</v>
      </c>
      <c r="E572" s="1">
        <v>4440170</v>
      </c>
      <c r="F572" s="1">
        <v>782358</v>
      </c>
      <c r="G572" s="4">
        <f t="shared" si="25"/>
        <v>1184953.0204653116</v>
      </c>
      <c r="H572" s="4">
        <f t="shared" si="26"/>
        <v>435701.21523693338</v>
      </c>
      <c r="I572" s="17">
        <f t="shared" si="24"/>
        <v>0.63230507225861099</v>
      </c>
      <c r="J572">
        <v>38.61</v>
      </c>
    </row>
    <row r="573" spans="1:10" x14ac:dyDescent="0.25">
      <c r="A573" t="s">
        <v>64</v>
      </c>
      <c r="B573" t="s">
        <v>91</v>
      </c>
      <c r="C573" t="s">
        <v>9</v>
      </c>
      <c r="D573">
        <v>32.01</v>
      </c>
      <c r="E573" s="1">
        <v>4594011</v>
      </c>
      <c r="F573" s="1">
        <v>1470543</v>
      </c>
      <c r="G573" s="4">
        <f t="shared" si="25"/>
        <v>903136.50613959343</v>
      </c>
      <c r="H573" s="4">
        <f t="shared" si="26"/>
        <v>349198.78298304154</v>
      </c>
      <c r="I573" s="17">
        <f t="shared" si="24"/>
        <v>0.61334883419155284</v>
      </c>
      <c r="J573">
        <v>48.31</v>
      </c>
    </row>
    <row r="574" spans="1:10" x14ac:dyDescent="0.25">
      <c r="A574" t="s">
        <v>65</v>
      </c>
      <c r="B574" t="s">
        <v>91</v>
      </c>
      <c r="C574" t="s">
        <v>9</v>
      </c>
      <c r="D574">
        <v>13.32</v>
      </c>
      <c r="E574" s="1">
        <v>4728711</v>
      </c>
      <c r="F574" s="1">
        <v>629864</v>
      </c>
      <c r="G574" s="4">
        <f t="shared" si="25"/>
        <v>1300321.0518418779</v>
      </c>
      <c r="H574" s="4">
        <f t="shared" si="26"/>
        <v>401677.48970587878</v>
      </c>
      <c r="I574" s="17">
        <f t="shared" si="24"/>
        <v>0.69109360404731512</v>
      </c>
      <c r="J574">
        <v>38.93</v>
      </c>
    </row>
    <row r="575" spans="1:10" x14ac:dyDescent="0.25">
      <c r="A575" t="s">
        <v>66</v>
      </c>
      <c r="B575" t="s">
        <v>91</v>
      </c>
      <c r="C575" t="s">
        <v>9</v>
      </c>
      <c r="D575">
        <v>30.51</v>
      </c>
      <c r="E575" s="1">
        <v>4222454</v>
      </c>
      <c r="F575" s="1">
        <v>1288271</v>
      </c>
      <c r="G575" s="4">
        <f t="shared" si="25"/>
        <v>831001.11555256334</v>
      </c>
      <c r="H575" s="4">
        <f t="shared" si="26"/>
        <v>557836.75573382783</v>
      </c>
      <c r="I575" s="17">
        <f t="shared" si="24"/>
        <v>0.32871719990062642</v>
      </c>
      <c r="J575">
        <v>43.29</v>
      </c>
    </row>
    <row r="576" spans="1:10" x14ac:dyDescent="0.25">
      <c r="A576" t="s">
        <v>67</v>
      </c>
      <c r="B576" t="s">
        <v>91</v>
      </c>
      <c r="C576" t="s">
        <v>9</v>
      </c>
      <c r="D576">
        <v>17.170000000000002</v>
      </c>
      <c r="E576" s="1">
        <v>4691436</v>
      </c>
      <c r="F576" s="1">
        <v>805520</v>
      </c>
      <c r="G576" s="4">
        <f t="shared" si="25"/>
        <v>1151090.034665769</v>
      </c>
      <c r="H576" s="4">
        <f t="shared" si="26"/>
        <v>571710.45552273351</v>
      </c>
      <c r="I576" s="17">
        <f t="shared" si="24"/>
        <v>0.50333124403362972</v>
      </c>
      <c r="J576">
        <v>40.28</v>
      </c>
    </row>
    <row r="577" spans="1:10" x14ac:dyDescent="0.25">
      <c r="A577" t="s">
        <v>68</v>
      </c>
      <c r="B577" t="s">
        <v>91</v>
      </c>
      <c r="C577" t="s">
        <v>9</v>
      </c>
      <c r="D577">
        <v>29.01</v>
      </c>
      <c r="E577" s="1">
        <v>4274940</v>
      </c>
      <c r="F577" s="1">
        <v>1240160</v>
      </c>
      <c r="G577" s="4">
        <f t="shared" si="25"/>
        <v>909191.01039973064</v>
      </c>
      <c r="H577" s="4">
        <f t="shared" si="26"/>
        <v>509256.66562352603</v>
      </c>
      <c r="I577" s="17">
        <f t="shared" si="24"/>
        <v>0.43987934350601571</v>
      </c>
      <c r="J577">
        <v>42.74</v>
      </c>
    </row>
    <row r="578" spans="1:10" x14ac:dyDescent="0.25">
      <c r="A578" t="s">
        <v>69</v>
      </c>
      <c r="B578" t="s">
        <v>91</v>
      </c>
      <c r="C578" t="s">
        <v>9</v>
      </c>
      <c r="D578">
        <v>11.07</v>
      </c>
      <c r="E578" s="1">
        <v>4949138</v>
      </c>
      <c r="F578" s="1">
        <v>547870</v>
      </c>
      <c r="G578" s="4">
        <f t="shared" si="25"/>
        <v>1140869.3031199193</v>
      </c>
      <c r="H578" s="4">
        <f t="shared" si="26"/>
        <v>382123.39549701131</v>
      </c>
      <c r="I578" s="17">
        <f t="shared" si="24"/>
        <v>0.66505944681654261</v>
      </c>
      <c r="J578">
        <v>39.43</v>
      </c>
    </row>
    <row r="579" spans="1:10" x14ac:dyDescent="0.25">
      <c r="A579" t="s">
        <v>70</v>
      </c>
      <c r="B579" t="s">
        <v>91</v>
      </c>
      <c r="C579" t="s">
        <v>9</v>
      </c>
      <c r="D579">
        <v>29.8</v>
      </c>
      <c r="E579" s="1">
        <v>4273138</v>
      </c>
      <c r="F579" s="1">
        <v>1273395</v>
      </c>
      <c r="G579" s="4">
        <f t="shared" si="25"/>
        <v>725769.79093597573</v>
      </c>
      <c r="H579" s="4">
        <f t="shared" si="26"/>
        <v>439926.99941264268</v>
      </c>
      <c r="I579" s="17">
        <f t="shared" ref="I579:I642" si="27">(G579-H579)/G579</f>
        <v>0.39384773945289336</v>
      </c>
      <c r="J579">
        <v>43.06</v>
      </c>
    </row>
    <row r="580" spans="1:10" x14ac:dyDescent="0.25">
      <c r="A580" t="s">
        <v>71</v>
      </c>
      <c r="B580" t="s">
        <v>91</v>
      </c>
      <c r="C580" t="s">
        <v>9</v>
      </c>
      <c r="D580">
        <v>21.52</v>
      </c>
      <c r="E580" s="1">
        <v>4834960</v>
      </c>
      <c r="F580" s="1">
        <v>1040483</v>
      </c>
      <c r="G580" s="4">
        <f t="shared" ref="G580:G643" si="28">0.7*F579+0.3*G579</f>
        <v>1109107.4372807927</v>
      </c>
      <c r="H580" s="4">
        <f t="shared" si="26"/>
        <v>503680.45927954145</v>
      </c>
      <c r="I580" s="17">
        <f t="shared" si="27"/>
        <v>0.54586864865461671</v>
      </c>
      <c r="J580">
        <v>43.49</v>
      </c>
    </row>
    <row r="581" spans="1:10" x14ac:dyDescent="0.25">
      <c r="A581" t="s">
        <v>72</v>
      </c>
      <c r="B581" t="s">
        <v>91</v>
      </c>
      <c r="C581" t="s">
        <v>9</v>
      </c>
      <c r="D581">
        <v>31</v>
      </c>
      <c r="E581" s="1">
        <v>4435071</v>
      </c>
      <c r="F581" s="1">
        <v>1374872</v>
      </c>
      <c r="G581" s="4">
        <f t="shared" si="28"/>
        <v>1061070.3311842377</v>
      </c>
      <c r="H581" s="4">
        <f t="shared" si="26"/>
        <v>467707.47855728219</v>
      </c>
      <c r="I581" s="17">
        <f t="shared" si="27"/>
        <v>0.55921161414881526</v>
      </c>
      <c r="J581">
        <v>45.3</v>
      </c>
    </row>
    <row r="582" spans="1:10" x14ac:dyDescent="0.25">
      <c r="A582" t="s">
        <v>73</v>
      </c>
      <c r="B582" t="s">
        <v>91</v>
      </c>
      <c r="C582" t="s">
        <v>9</v>
      </c>
      <c r="D582">
        <v>20.420000000000002</v>
      </c>
      <c r="E582" s="1">
        <v>4330493</v>
      </c>
      <c r="F582" s="1">
        <v>884287</v>
      </c>
      <c r="G582" s="4">
        <f t="shared" si="28"/>
        <v>1280731.4993552712</v>
      </c>
      <c r="H582" s="4">
        <f t="shared" ref="H582:H645" si="29">SQRT(SUMXMY2(F579:F581,G579:G581)/3)</f>
        <v>366548.84637934185</v>
      </c>
      <c r="I582" s="17">
        <f t="shared" si="27"/>
        <v>0.71379727400796733</v>
      </c>
      <c r="J582">
        <v>38.28</v>
      </c>
    </row>
    <row r="583" spans="1:10" x14ac:dyDescent="0.25">
      <c r="A583" t="s">
        <v>74</v>
      </c>
      <c r="B583" t="s">
        <v>91</v>
      </c>
      <c r="C583" t="s">
        <v>9</v>
      </c>
      <c r="D583">
        <v>29.7</v>
      </c>
      <c r="E583" s="1">
        <v>4305061</v>
      </c>
      <c r="F583" s="1">
        <v>1278603</v>
      </c>
      <c r="G583" s="4">
        <f t="shared" si="28"/>
        <v>1003220.3498065813</v>
      </c>
      <c r="H583" s="4">
        <f t="shared" si="29"/>
        <v>294589.56861635728</v>
      </c>
      <c r="I583" s="17">
        <f t="shared" si="27"/>
        <v>0.70635606756466462</v>
      </c>
      <c r="J583">
        <v>43</v>
      </c>
    </row>
    <row r="584" spans="1:10" x14ac:dyDescent="0.25">
      <c r="A584" t="s">
        <v>75</v>
      </c>
      <c r="B584" t="s">
        <v>91</v>
      </c>
      <c r="C584" t="s">
        <v>9</v>
      </c>
      <c r="D584">
        <v>21</v>
      </c>
      <c r="E584" s="1">
        <v>4559615</v>
      </c>
      <c r="F584" s="1">
        <v>957519</v>
      </c>
      <c r="G584" s="4">
        <f t="shared" si="28"/>
        <v>1195988.2049419745</v>
      </c>
      <c r="H584" s="4">
        <f t="shared" si="29"/>
        <v>332403.03470744658</v>
      </c>
      <c r="I584" s="17">
        <f t="shared" si="27"/>
        <v>0.72206830022744772</v>
      </c>
      <c r="J584">
        <v>40.450000000000003</v>
      </c>
    </row>
    <row r="585" spans="1:10" x14ac:dyDescent="0.25">
      <c r="A585" t="s">
        <v>76</v>
      </c>
      <c r="B585" t="s">
        <v>91</v>
      </c>
      <c r="C585" t="s">
        <v>9</v>
      </c>
      <c r="D585">
        <v>33.57</v>
      </c>
      <c r="E585" s="1">
        <v>4454763</v>
      </c>
      <c r="F585" s="1">
        <v>1495464</v>
      </c>
      <c r="G585" s="4">
        <f t="shared" si="28"/>
        <v>1029059.7614825922</v>
      </c>
      <c r="H585" s="4">
        <f t="shared" si="29"/>
        <v>310843.69426999794</v>
      </c>
      <c r="I585" s="17">
        <f t="shared" si="27"/>
        <v>0.6979342639710665</v>
      </c>
      <c r="J585">
        <v>46.92</v>
      </c>
    </row>
    <row r="586" spans="1:10" x14ac:dyDescent="0.25">
      <c r="A586" t="s">
        <v>77</v>
      </c>
      <c r="B586" t="s">
        <v>91</v>
      </c>
      <c r="C586" t="s">
        <v>9</v>
      </c>
      <c r="D586">
        <v>15.42</v>
      </c>
      <c r="E586" s="1">
        <v>4717705</v>
      </c>
      <c r="F586" s="1">
        <v>727470</v>
      </c>
      <c r="G586" s="4">
        <f t="shared" si="28"/>
        <v>1355542.7284447777</v>
      </c>
      <c r="H586" s="4">
        <f t="shared" si="29"/>
        <v>341680.20108487963</v>
      </c>
      <c r="I586" s="17">
        <f t="shared" si="27"/>
        <v>0.74793845010190751</v>
      </c>
      <c r="J586">
        <v>38.950000000000003</v>
      </c>
    </row>
    <row r="587" spans="1:10" x14ac:dyDescent="0.25">
      <c r="A587" t="s">
        <v>78</v>
      </c>
      <c r="B587" t="s">
        <v>91</v>
      </c>
      <c r="C587" t="s">
        <v>9</v>
      </c>
      <c r="D587">
        <v>35.770000000000003</v>
      </c>
      <c r="E587" s="1">
        <v>4189421</v>
      </c>
      <c r="F587" s="1">
        <v>1498556</v>
      </c>
      <c r="G587" s="4">
        <f t="shared" si="28"/>
        <v>915891.81853343325</v>
      </c>
      <c r="H587" s="4">
        <f t="shared" si="29"/>
        <v>472184.93115470762</v>
      </c>
      <c r="I587" s="17">
        <f t="shared" si="27"/>
        <v>0.48445338019200657</v>
      </c>
      <c r="J587">
        <v>45.47</v>
      </c>
    </row>
    <row r="588" spans="1:10" x14ac:dyDescent="0.25">
      <c r="A588" t="s">
        <v>79</v>
      </c>
      <c r="B588" t="s">
        <v>91</v>
      </c>
      <c r="C588" t="s">
        <v>9</v>
      </c>
      <c r="D588">
        <v>23.1</v>
      </c>
      <c r="E588" s="1">
        <v>4527422</v>
      </c>
      <c r="F588" s="1">
        <v>1045834</v>
      </c>
      <c r="G588" s="4">
        <f t="shared" si="28"/>
        <v>1323756.74556003</v>
      </c>
      <c r="H588" s="4">
        <f t="shared" si="29"/>
        <v>563177.24098403647</v>
      </c>
      <c r="I588" s="17">
        <f t="shared" si="27"/>
        <v>0.57456138155822722</v>
      </c>
      <c r="J588">
        <v>40.97</v>
      </c>
    </row>
    <row r="589" spans="1:10" x14ac:dyDescent="0.25">
      <c r="A589" t="s">
        <v>80</v>
      </c>
      <c r="B589" t="s">
        <v>91</v>
      </c>
      <c r="C589" t="s">
        <v>9</v>
      </c>
      <c r="D589">
        <v>30.56</v>
      </c>
      <c r="E589" s="1">
        <v>4667989</v>
      </c>
      <c r="F589" s="1">
        <v>1426537</v>
      </c>
      <c r="G589" s="4">
        <f t="shared" si="28"/>
        <v>1129210.8236680089</v>
      </c>
      <c r="H589" s="4">
        <f t="shared" si="29"/>
        <v>520004.47212172986</v>
      </c>
      <c r="I589" s="17">
        <f t="shared" si="27"/>
        <v>0.53949744261872878</v>
      </c>
      <c r="J589">
        <v>46.69</v>
      </c>
    </row>
    <row r="590" spans="1:10" x14ac:dyDescent="0.25">
      <c r="A590" t="s">
        <v>81</v>
      </c>
      <c r="B590" t="s">
        <v>91</v>
      </c>
      <c r="C590" t="s">
        <v>9</v>
      </c>
      <c r="D590">
        <v>18.46</v>
      </c>
      <c r="E590" s="1">
        <v>4802705</v>
      </c>
      <c r="F590" s="1">
        <v>886579</v>
      </c>
      <c r="G590" s="4">
        <f t="shared" si="28"/>
        <v>1337339.1471004025</v>
      </c>
      <c r="H590" s="4">
        <f t="shared" si="29"/>
        <v>410341.91271667246</v>
      </c>
      <c r="I590" s="17">
        <f t="shared" si="27"/>
        <v>0.6931654071397152</v>
      </c>
      <c r="J590">
        <v>40.840000000000003</v>
      </c>
    </row>
    <row r="591" spans="1:10" x14ac:dyDescent="0.25">
      <c r="A591" t="s">
        <v>82</v>
      </c>
      <c r="B591" t="s">
        <v>91</v>
      </c>
      <c r="C591" t="s">
        <v>9</v>
      </c>
      <c r="D591">
        <v>35.76</v>
      </c>
      <c r="E591" s="1">
        <v>4191860</v>
      </c>
      <c r="F591" s="1">
        <v>1499009</v>
      </c>
      <c r="G591" s="4">
        <f t="shared" si="28"/>
        <v>1021807.0441301207</v>
      </c>
      <c r="H591" s="4">
        <f t="shared" si="29"/>
        <v>350632.10437047546</v>
      </c>
      <c r="I591" s="17">
        <f t="shared" si="27"/>
        <v>0.65685096184771974</v>
      </c>
      <c r="J591">
        <v>45.16</v>
      </c>
    </row>
    <row r="592" spans="1:10" x14ac:dyDescent="0.25">
      <c r="A592" t="s">
        <v>83</v>
      </c>
      <c r="B592" t="s">
        <v>91</v>
      </c>
      <c r="C592" t="s">
        <v>9</v>
      </c>
      <c r="D592">
        <v>18.059999999999999</v>
      </c>
      <c r="E592" s="1">
        <v>4479089</v>
      </c>
      <c r="F592" s="1">
        <v>808923</v>
      </c>
      <c r="G592" s="4">
        <f t="shared" si="28"/>
        <v>1355848.4132390362</v>
      </c>
      <c r="H592" s="4">
        <f t="shared" si="29"/>
        <v>416056.59552205837</v>
      </c>
      <c r="I592" s="17">
        <f t="shared" si="27"/>
        <v>0.69313929827293486</v>
      </c>
      <c r="J592">
        <v>37.770000000000003</v>
      </c>
    </row>
    <row r="593" spans="1:10" x14ac:dyDescent="0.25">
      <c r="A593" t="s">
        <v>84</v>
      </c>
      <c r="B593" t="s">
        <v>91</v>
      </c>
      <c r="C593" t="s">
        <v>9</v>
      </c>
      <c r="D593">
        <v>31.51</v>
      </c>
      <c r="E593" s="1">
        <v>4496478</v>
      </c>
      <c r="F593" s="1">
        <v>1416840</v>
      </c>
      <c r="G593" s="4">
        <f t="shared" si="28"/>
        <v>973000.62397171091</v>
      </c>
      <c r="H593" s="4">
        <f t="shared" si="29"/>
        <v>493299.71435450384</v>
      </c>
      <c r="I593" s="17">
        <f t="shared" si="27"/>
        <v>0.4930119239380405</v>
      </c>
      <c r="J593">
        <v>45.28</v>
      </c>
    </row>
    <row r="594" spans="1:10" x14ac:dyDescent="0.25">
      <c r="A594" t="s">
        <v>7</v>
      </c>
      <c r="B594" t="s">
        <v>92</v>
      </c>
      <c r="C594" t="s">
        <v>9</v>
      </c>
      <c r="D594">
        <v>3.27</v>
      </c>
      <c r="E594" s="1">
        <v>2000786</v>
      </c>
      <c r="F594" s="1">
        <v>65426</v>
      </c>
      <c r="G594" s="4">
        <f t="shared" si="28"/>
        <v>1283688.1871915131</v>
      </c>
      <c r="H594" s="4">
        <f t="shared" si="29"/>
        <v>491203.45616519899</v>
      </c>
      <c r="I594" s="17">
        <f t="shared" si="27"/>
        <v>0.61734986652804935</v>
      </c>
      <c r="J594">
        <v>41.24</v>
      </c>
    </row>
    <row r="595" spans="1:10" x14ac:dyDescent="0.25">
      <c r="A595" t="s">
        <v>10</v>
      </c>
      <c r="B595" t="s">
        <v>92</v>
      </c>
      <c r="C595" t="s">
        <v>9</v>
      </c>
      <c r="D595">
        <v>3.57</v>
      </c>
      <c r="E595" s="1">
        <v>1970430</v>
      </c>
      <c r="F595" s="1">
        <v>70344</v>
      </c>
      <c r="G595" s="4">
        <f t="shared" si="28"/>
        <v>430904.65615745395</v>
      </c>
      <c r="H595" s="4">
        <f t="shared" si="29"/>
        <v>812462.0106196804</v>
      </c>
      <c r="I595" s="17">
        <f t="shared" si="27"/>
        <v>-0.88547976683455509</v>
      </c>
      <c r="J595">
        <v>40.68</v>
      </c>
    </row>
    <row r="596" spans="1:10" x14ac:dyDescent="0.25">
      <c r="A596" t="s">
        <v>11</v>
      </c>
      <c r="B596" t="s">
        <v>92</v>
      </c>
      <c r="C596" t="s">
        <v>9</v>
      </c>
      <c r="D596">
        <v>5.85</v>
      </c>
      <c r="E596" s="1">
        <v>2100552</v>
      </c>
      <c r="F596" s="1">
        <v>122882</v>
      </c>
      <c r="G596" s="4">
        <f t="shared" si="28"/>
        <v>178512.19684723616</v>
      </c>
      <c r="H596" s="4">
        <f t="shared" si="29"/>
        <v>776994.23747810035</v>
      </c>
      <c r="I596" s="17">
        <f t="shared" si="27"/>
        <v>-3.3526114809007814</v>
      </c>
      <c r="J596">
        <v>44.34</v>
      </c>
    </row>
    <row r="597" spans="1:10" x14ac:dyDescent="0.25">
      <c r="A597" t="s">
        <v>12</v>
      </c>
      <c r="B597" t="s">
        <v>92</v>
      </c>
      <c r="C597" t="s">
        <v>9</v>
      </c>
      <c r="D597">
        <v>3.18</v>
      </c>
      <c r="E597" s="1">
        <v>1765170</v>
      </c>
      <c r="F597" s="1">
        <v>56132</v>
      </c>
      <c r="G597" s="4">
        <f t="shared" si="28"/>
        <v>139571.05905417085</v>
      </c>
      <c r="H597" s="4">
        <f t="shared" si="29"/>
        <v>734225.54716077214</v>
      </c>
      <c r="I597" s="17">
        <f t="shared" si="27"/>
        <v>-4.2605859132716173</v>
      </c>
      <c r="J597">
        <v>36.18</v>
      </c>
    </row>
    <row r="598" spans="1:10" x14ac:dyDescent="0.25">
      <c r="A598" t="s">
        <v>13</v>
      </c>
      <c r="B598" t="s">
        <v>92</v>
      </c>
      <c r="C598" t="s">
        <v>9</v>
      </c>
      <c r="D598">
        <v>4.38</v>
      </c>
      <c r="E598" s="1">
        <v>2032688</v>
      </c>
      <c r="F598" s="1">
        <v>89032</v>
      </c>
      <c r="G598" s="4">
        <f t="shared" si="28"/>
        <v>81163.717716251238</v>
      </c>
      <c r="H598" s="4">
        <f t="shared" si="29"/>
        <v>216071.57930170686</v>
      </c>
      <c r="I598" s="17">
        <f t="shared" si="27"/>
        <v>-1.6621695676520658</v>
      </c>
      <c r="J598">
        <v>42.11</v>
      </c>
    </row>
    <row r="599" spans="1:10" x14ac:dyDescent="0.25">
      <c r="A599" t="s">
        <v>14</v>
      </c>
      <c r="B599" t="s">
        <v>92</v>
      </c>
      <c r="C599" t="s">
        <v>9</v>
      </c>
      <c r="D599">
        <v>1.1200000000000001</v>
      </c>
      <c r="E599" s="1">
        <v>2027298</v>
      </c>
      <c r="F599" s="1">
        <v>22706</v>
      </c>
      <c r="G599" s="4">
        <f t="shared" si="28"/>
        <v>86671.51531487536</v>
      </c>
      <c r="H599" s="4">
        <f t="shared" si="29"/>
        <v>58076.688505241094</v>
      </c>
      <c r="I599" s="17">
        <f t="shared" si="27"/>
        <v>0.32992185155353526</v>
      </c>
      <c r="J599">
        <v>40.549999999999997</v>
      </c>
    </row>
    <row r="600" spans="1:10" x14ac:dyDescent="0.25">
      <c r="A600" t="s">
        <v>15</v>
      </c>
      <c r="B600" t="s">
        <v>92</v>
      </c>
      <c r="C600" t="s">
        <v>9</v>
      </c>
      <c r="D600">
        <v>9.24</v>
      </c>
      <c r="E600" s="1">
        <v>2018840</v>
      </c>
      <c r="F600" s="1">
        <v>186541</v>
      </c>
      <c r="G600" s="4">
        <f t="shared" si="28"/>
        <v>41895.654594462605</v>
      </c>
      <c r="H600" s="4">
        <f t="shared" si="29"/>
        <v>60870.281723896871</v>
      </c>
      <c r="I600" s="17">
        <f t="shared" si="27"/>
        <v>-0.452902032755019</v>
      </c>
      <c r="J600">
        <v>43.91</v>
      </c>
    </row>
    <row r="601" spans="1:10" x14ac:dyDescent="0.25">
      <c r="A601" t="s">
        <v>16</v>
      </c>
      <c r="B601" t="s">
        <v>92</v>
      </c>
      <c r="C601" t="s">
        <v>9</v>
      </c>
      <c r="D601">
        <v>3.85</v>
      </c>
      <c r="E601" s="1">
        <v>1865352</v>
      </c>
      <c r="F601" s="1">
        <v>71816</v>
      </c>
      <c r="G601" s="4">
        <f t="shared" si="28"/>
        <v>143147.39637833877</v>
      </c>
      <c r="H601" s="4">
        <f t="shared" si="29"/>
        <v>91425.33012078132</v>
      </c>
      <c r="I601" s="17">
        <f t="shared" si="27"/>
        <v>0.36132034229149346</v>
      </c>
      <c r="J601">
        <v>38.24</v>
      </c>
    </row>
    <row r="602" spans="1:10" x14ac:dyDescent="0.25">
      <c r="A602" t="s">
        <v>17</v>
      </c>
      <c r="B602" t="s">
        <v>92</v>
      </c>
      <c r="C602" t="s">
        <v>9</v>
      </c>
      <c r="D602">
        <v>1.9</v>
      </c>
      <c r="E602" s="1">
        <v>2044719</v>
      </c>
      <c r="F602" s="1">
        <v>38850</v>
      </c>
      <c r="G602" s="4">
        <f t="shared" si="28"/>
        <v>93215.418913501635</v>
      </c>
      <c r="H602" s="4">
        <f t="shared" si="29"/>
        <v>100169.90766737027</v>
      </c>
      <c r="I602" s="17">
        <f t="shared" si="27"/>
        <v>-7.4606635199719301E-2</v>
      </c>
      <c r="J602">
        <v>41.02</v>
      </c>
    </row>
    <row r="603" spans="1:10" x14ac:dyDescent="0.25">
      <c r="A603" t="s">
        <v>18</v>
      </c>
      <c r="B603" t="s">
        <v>92</v>
      </c>
      <c r="C603" t="s">
        <v>9</v>
      </c>
      <c r="D603">
        <v>0.57999999999999996</v>
      </c>
      <c r="E603" s="1">
        <v>2012823</v>
      </c>
      <c r="F603" s="1">
        <v>11674</v>
      </c>
      <c r="G603" s="4">
        <f t="shared" si="28"/>
        <v>55159.62567405049</v>
      </c>
      <c r="H603" s="4">
        <f t="shared" si="29"/>
        <v>98261.628371084618</v>
      </c>
      <c r="I603" s="17">
        <f t="shared" si="27"/>
        <v>-0.7814049165549577</v>
      </c>
      <c r="J603">
        <v>39.770000000000003</v>
      </c>
    </row>
    <row r="604" spans="1:10" x14ac:dyDescent="0.25">
      <c r="A604" t="s">
        <v>19</v>
      </c>
      <c r="B604" t="s">
        <v>92</v>
      </c>
      <c r="C604" t="s">
        <v>9</v>
      </c>
      <c r="D604">
        <v>4.24</v>
      </c>
      <c r="E604" s="1">
        <v>2092519</v>
      </c>
      <c r="F604" s="1">
        <v>88723</v>
      </c>
      <c r="G604" s="4">
        <f t="shared" si="28"/>
        <v>24719.687702215146</v>
      </c>
      <c r="H604" s="4">
        <f t="shared" si="29"/>
        <v>57546.40597867615</v>
      </c>
      <c r="I604" s="17">
        <f t="shared" si="27"/>
        <v>-1.3279584544880549</v>
      </c>
      <c r="J604">
        <v>42.86</v>
      </c>
    </row>
    <row r="605" spans="1:10" x14ac:dyDescent="0.25">
      <c r="A605" t="s">
        <v>20</v>
      </c>
      <c r="B605" t="s">
        <v>92</v>
      </c>
      <c r="C605" t="s">
        <v>9</v>
      </c>
      <c r="D605">
        <v>1.37</v>
      </c>
      <c r="E605" s="1">
        <v>2054390</v>
      </c>
      <c r="F605" s="1">
        <v>28145</v>
      </c>
      <c r="G605" s="4">
        <f t="shared" si="28"/>
        <v>69522.006310664539</v>
      </c>
      <c r="H605" s="4">
        <f t="shared" si="29"/>
        <v>54598.603153658121</v>
      </c>
      <c r="I605" s="17">
        <f t="shared" si="27"/>
        <v>0.21465725672990535</v>
      </c>
      <c r="J605">
        <v>40.78</v>
      </c>
    </row>
    <row r="606" spans="1:10" x14ac:dyDescent="0.25">
      <c r="A606" t="s">
        <v>21</v>
      </c>
      <c r="B606" t="s">
        <v>92</v>
      </c>
      <c r="C606" t="s">
        <v>9</v>
      </c>
      <c r="D606">
        <v>1.69</v>
      </c>
      <c r="E606" s="1">
        <v>2104469</v>
      </c>
      <c r="F606" s="1">
        <v>35566</v>
      </c>
      <c r="G606" s="4">
        <f t="shared" si="28"/>
        <v>40558.10189319936</v>
      </c>
      <c r="H606" s="4">
        <f t="shared" si="29"/>
        <v>50660.570718538722</v>
      </c>
      <c r="I606" s="17">
        <f t="shared" si="27"/>
        <v>-0.24908633179979528</v>
      </c>
      <c r="J606">
        <v>41.84</v>
      </c>
    </row>
    <row r="607" spans="1:10" x14ac:dyDescent="0.25">
      <c r="A607" t="s">
        <v>22</v>
      </c>
      <c r="B607" t="s">
        <v>92</v>
      </c>
      <c r="C607" t="s">
        <v>9</v>
      </c>
      <c r="D607">
        <v>2.33</v>
      </c>
      <c r="E607" s="1">
        <v>2084263</v>
      </c>
      <c r="F607" s="1">
        <v>48563</v>
      </c>
      <c r="G607" s="4">
        <f t="shared" si="28"/>
        <v>37063.630567959801</v>
      </c>
      <c r="H607" s="4">
        <f t="shared" si="29"/>
        <v>44096.113652008818</v>
      </c>
      <c r="I607" s="17">
        <f t="shared" si="27"/>
        <v>-0.18974080456457904</v>
      </c>
      <c r="J607">
        <v>41.65</v>
      </c>
    </row>
    <row r="608" spans="1:10" x14ac:dyDescent="0.25">
      <c r="A608" t="s">
        <v>23</v>
      </c>
      <c r="B608" t="s">
        <v>92</v>
      </c>
      <c r="C608" t="s">
        <v>9</v>
      </c>
      <c r="D608">
        <v>2.67</v>
      </c>
      <c r="E608" s="1">
        <v>2223547</v>
      </c>
      <c r="F608" s="1">
        <v>59369</v>
      </c>
      <c r="G608" s="4">
        <f t="shared" si="28"/>
        <v>45113.189170387937</v>
      </c>
      <c r="H608" s="4">
        <f t="shared" si="29"/>
        <v>24961.391720544474</v>
      </c>
      <c r="I608" s="17">
        <f t="shared" si="27"/>
        <v>0.4466941446709114</v>
      </c>
      <c r="J608">
        <v>44.51</v>
      </c>
    </row>
    <row r="609" spans="1:10" x14ac:dyDescent="0.25">
      <c r="A609" t="s">
        <v>24</v>
      </c>
      <c r="B609" t="s">
        <v>92</v>
      </c>
      <c r="C609" t="s">
        <v>9</v>
      </c>
      <c r="D609">
        <v>0</v>
      </c>
      <c r="E609" s="1">
        <v>2064632</v>
      </c>
      <c r="F609">
        <v>0</v>
      </c>
      <c r="G609" s="4">
        <f t="shared" si="28"/>
        <v>55092.25675111638</v>
      </c>
      <c r="H609" s="4">
        <f t="shared" si="29"/>
        <v>10960.302931584658</v>
      </c>
      <c r="I609" s="17">
        <f t="shared" si="27"/>
        <v>0.80105547352872675</v>
      </c>
      <c r="J609">
        <v>40.159999999999997</v>
      </c>
    </row>
    <row r="610" spans="1:10" x14ac:dyDescent="0.25">
      <c r="A610" t="s">
        <v>25</v>
      </c>
      <c r="B610" t="s">
        <v>92</v>
      </c>
      <c r="C610" t="s">
        <v>9</v>
      </c>
      <c r="D610">
        <v>1.95</v>
      </c>
      <c r="E610" s="1">
        <v>2095865</v>
      </c>
      <c r="F610" s="1">
        <v>40869</v>
      </c>
      <c r="G610" s="4">
        <f t="shared" si="28"/>
        <v>16527.677025334913</v>
      </c>
      <c r="H610" s="4">
        <f t="shared" si="29"/>
        <v>33519.25015905116</v>
      </c>
      <c r="I610" s="17">
        <f t="shared" si="27"/>
        <v>-1.028067834800392</v>
      </c>
      <c r="J610">
        <v>41.51</v>
      </c>
    </row>
    <row r="611" spans="1:10" x14ac:dyDescent="0.25">
      <c r="A611" t="s">
        <v>26</v>
      </c>
      <c r="B611" t="s">
        <v>92</v>
      </c>
      <c r="C611" t="s">
        <v>9</v>
      </c>
      <c r="D611">
        <v>1.23</v>
      </c>
      <c r="E611" s="1">
        <v>2073500</v>
      </c>
      <c r="F611" s="1">
        <v>25504</v>
      </c>
      <c r="G611" s="4">
        <f t="shared" si="28"/>
        <v>33566.603107600473</v>
      </c>
      <c r="H611" s="4">
        <f t="shared" si="29"/>
        <v>35734.599948777803</v>
      </c>
      <c r="I611" s="17">
        <f t="shared" si="27"/>
        <v>-6.4587912998751759E-2</v>
      </c>
      <c r="J611">
        <v>40.700000000000003</v>
      </c>
    </row>
    <row r="612" spans="1:10" x14ac:dyDescent="0.25">
      <c r="A612" t="s">
        <v>27</v>
      </c>
      <c r="B612" t="s">
        <v>92</v>
      </c>
      <c r="C612" t="s">
        <v>9</v>
      </c>
      <c r="D612">
        <v>2.58</v>
      </c>
      <c r="E612" s="1">
        <v>2015874</v>
      </c>
      <c r="F612" s="1">
        <v>52010</v>
      </c>
      <c r="G612" s="4">
        <f t="shared" si="28"/>
        <v>27922.78093228014</v>
      </c>
      <c r="H612" s="4">
        <f t="shared" si="29"/>
        <v>35084.0055056364</v>
      </c>
      <c r="I612" s="17">
        <f t="shared" si="27"/>
        <v>-0.25646530661555716</v>
      </c>
      <c r="J612">
        <v>40.049999999999997</v>
      </c>
    </row>
    <row r="613" spans="1:10" x14ac:dyDescent="0.25">
      <c r="A613" t="s">
        <v>28</v>
      </c>
      <c r="B613" t="s">
        <v>92</v>
      </c>
      <c r="C613" t="s">
        <v>9</v>
      </c>
      <c r="D613">
        <v>0.69</v>
      </c>
      <c r="E613" s="1">
        <v>2093342</v>
      </c>
      <c r="F613" s="1">
        <v>14444</v>
      </c>
      <c r="G613" s="4">
        <f t="shared" si="28"/>
        <v>44783.834279684044</v>
      </c>
      <c r="H613" s="4">
        <f t="shared" si="29"/>
        <v>20311.73466614783</v>
      </c>
      <c r="I613" s="17">
        <f t="shared" si="27"/>
        <v>0.54644940539711351</v>
      </c>
      <c r="J613">
        <v>40.729999999999997</v>
      </c>
    </row>
    <row r="614" spans="1:10" x14ac:dyDescent="0.25">
      <c r="A614" t="s">
        <v>29</v>
      </c>
      <c r="B614" t="s">
        <v>92</v>
      </c>
      <c r="C614" t="s">
        <v>9</v>
      </c>
      <c r="D614">
        <v>4.9000000000000004</v>
      </c>
      <c r="E614" s="1">
        <v>2112658</v>
      </c>
      <c r="F614" s="1">
        <v>103520</v>
      </c>
      <c r="G614" s="4">
        <f t="shared" si="28"/>
        <v>23545.950283905215</v>
      </c>
      <c r="H614" s="4">
        <f t="shared" si="29"/>
        <v>22845.168967097525</v>
      </c>
      <c r="I614" s="17">
        <f t="shared" si="27"/>
        <v>2.9762286438135718E-2</v>
      </c>
      <c r="J614">
        <v>42.86</v>
      </c>
    </row>
    <row r="615" spans="1:10" x14ac:dyDescent="0.25">
      <c r="A615" t="s">
        <v>30</v>
      </c>
      <c r="B615" t="s">
        <v>92</v>
      </c>
      <c r="C615" t="s">
        <v>9</v>
      </c>
      <c r="D615">
        <v>4.6399999999999997</v>
      </c>
      <c r="E615" s="1">
        <v>2022287</v>
      </c>
      <c r="F615" s="1">
        <v>93834</v>
      </c>
      <c r="G615" s="4">
        <f t="shared" si="28"/>
        <v>79527.785085171563</v>
      </c>
      <c r="H615" s="4">
        <f t="shared" si="29"/>
        <v>51304.802551442226</v>
      </c>
      <c r="I615" s="17">
        <f t="shared" si="27"/>
        <v>0.35488203906978522</v>
      </c>
      <c r="J615">
        <v>40.840000000000003</v>
      </c>
    </row>
    <row r="616" spans="1:10" x14ac:dyDescent="0.25">
      <c r="A616" t="s">
        <v>31</v>
      </c>
      <c r="B616" t="s">
        <v>92</v>
      </c>
      <c r="C616" t="s">
        <v>9</v>
      </c>
      <c r="D616">
        <v>14.4</v>
      </c>
      <c r="E616" s="1">
        <v>2129469</v>
      </c>
      <c r="F616" s="1">
        <v>306644</v>
      </c>
      <c r="G616" s="4">
        <f t="shared" si="28"/>
        <v>89542.135525551479</v>
      </c>
      <c r="H616" s="4">
        <f t="shared" si="29"/>
        <v>50070.024157175292</v>
      </c>
      <c r="I616" s="17">
        <f t="shared" si="27"/>
        <v>0.44082164376247807</v>
      </c>
      <c r="J616">
        <v>47.83</v>
      </c>
    </row>
    <row r="617" spans="1:10" x14ac:dyDescent="0.25">
      <c r="A617" t="s">
        <v>32</v>
      </c>
      <c r="B617" t="s">
        <v>92</v>
      </c>
      <c r="C617" t="s">
        <v>9</v>
      </c>
      <c r="D617">
        <v>11.11</v>
      </c>
      <c r="E617" s="1">
        <v>2111612</v>
      </c>
      <c r="F617" s="1">
        <v>234600</v>
      </c>
      <c r="G617" s="4">
        <f t="shared" si="28"/>
        <v>241513.44065766543</v>
      </c>
      <c r="H617" s="4">
        <f t="shared" si="29"/>
        <v>133832.90075247252</v>
      </c>
      <c r="I617" s="17">
        <f t="shared" si="27"/>
        <v>0.44585733867219957</v>
      </c>
      <c r="J617">
        <v>45.6</v>
      </c>
    </row>
    <row r="618" spans="1:10" x14ac:dyDescent="0.25">
      <c r="A618" t="s">
        <v>33</v>
      </c>
      <c r="B618" t="s">
        <v>92</v>
      </c>
      <c r="C618" t="s">
        <v>9</v>
      </c>
      <c r="D618">
        <v>12.77</v>
      </c>
      <c r="E618" s="1">
        <v>2033763</v>
      </c>
      <c r="F618" s="1">
        <v>259712</v>
      </c>
      <c r="G618" s="4">
        <f t="shared" si="28"/>
        <v>236674.03219729965</v>
      </c>
      <c r="H618" s="4">
        <f t="shared" si="29"/>
        <v>125679.06615025183</v>
      </c>
      <c r="I618" s="17">
        <f t="shared" si="27"/>
        <v>0.46897821876173801</v>
      </c>
      <c r="J618">
        <v>44.68</v>
      </c>
    </row>
    <row r="619" spans="1:10" x14ac:dyDescent="0.25">
      <c r="A619" t="s">
        <v>34</v>
      </c>
      <c r="B619" t="s">
        <v>92</v>
      </c>
      <c r="C619" t="s">
        <v>9</v>
      </c>
      <c r="D619">
        <v>8.81</v>
      </c>
      <c r="E619" s="1">
        <v>1938777</v>
      </c>
      <c r="F619" s="1">
        <v>170806</v>
      </c>
      <c r="G619" s="4">
        <f t="shared" si="28"/>
        <v>252800.60965918988</v>
      </c>
      <c r="H619" s="4">
        <f t="shared" si="29"/>
        <v>126110.74918563594</v>
      </c>
      <c r="I619" s="17">
        <f t="shared" si="27"/>
        <v>0.50114539139897396</v>
      </c>
      <c r="J619">
        <v>40.68</v>
      </c>
    </row>
    <row r="620" spans="1:10" x14ac:dyDescent="0.25">
      <c r="A620" t="s">
        <v>35</v>
      </c>
      <c r="B620" t="s">
        <v>92</v>
      </c>
      <c r="C620" t="s">
        <v>9</v>
      </c>
      <c r="D620">
        <v>15.1</v>
      </c>
      <c r="E620" s="1">
        <v>2001643</v>
      </c>
      <c r="F620" s="1">
        <v>302248</v>
      </c>
      <c r="G620" s="4">
        <f t="shared" si="28"/>
        <v>195404.38289775696</v>
      </c>
      <c r="H620" s="4">
        <f t="shared" si="29"/>
        <v>49334.435692756684</v>
      </c>
      <c r="I620" s="17">
        <f t="shared" si="27"/>
        <v>0.74752646301403403</v>
      </c>
      <c r="J620">
        <v>45.04</v>
      </c>
    </row>
    <row r="621" spans="1:10" x14ac:dyDescent="0.25">
      <c r="A621" t="s">
        <v>36</v>
      </c>
      <c r="B621" t="s">
        <v>92</v>
      </c>
      <c r="C621" t="s">
        <v>9</v>
      </c>
      <c r="D621">
        <v>16.96</v>
      </c>
      <c r="E621" s="1">
        <v>2040394</v>
      </c>
      <c r="F621" s="1">
        <v>346051</v>
      </c>
      <c r="G621" s="4">
        <f t="shared" si="28"/>
        <v>270194.91486932704</v>
      </c>
      <c r="H621" s="4">
        <f t="shared" si="29"/>
        <v>78886.886297474251</v>
      </c>
      <c r="I621" s="17">
        <f t="shared" si="27"/>
        <v>0.70803711707296224</v>
      </c>
      <c r="J621">
        <v>46.86</v>
      </c>
    </row>
    <row r="622" spans="1:10" x14ac:dyDescent="0.25">
      <c r="A622" t="s">
        <v>37</v>
      </c>
      <c r="B622" t="s">
        <v>92</v>
      </c>
      <c r="C622" t="s">
        <v>9</v>
      </c>
      <c r="D622">
        <v>13.81</v>
      </c>
      <c r="E622" s="1">
        <v>2030015</v>
      </c>
      <c r="F622" s="1">
        <v>280345</v>
      </c>
      <c r="G622" s="4">
        <f t="shared" si="28"/>
        <v>323294.17446079809</v>
      </c>
      <c r="H622" s="4">
        <f t="shared" si="29"/>
        <v>89242.777821710464</v>
      </c>
      <c r="I622" s="17">
        <f t="shared" si="27"/>
        <v>0.723957977372921</v>
      </c>
      <c r="J622">
        <v>44.84</v>
      </c>
    </row>
    <row r="623" spans="1:10" x14ac:dyDescent="0.25">
      <c r="A623" t="s">
        <v>38</v>
      </c>
      <c r="B623" t="s">
        <v>92</v>
      </c>
      <c r="C623" t="s">
        <v>9</v>
      </c>
      <c r="D623">
        <v>11.11</v>
      </c>
      <c r="E623" s="1">
        <v>1941319</v>
      </c>
      <c r="F623" s="1">
        <v>215681</v>
      </c>
      <c r="G623" s="4">
        <f t="shared" si="28"/>
        <v>293229.75233823946</v>
      </c>
      <c r="H623" s="4">
        <f t="shared" si="29"/>
        <v>79612.259846723551</v>
      </c>
      <c r="I623" s="17">
        <f t="shared" si="27"/>
        <v>0.72849869697092984</v>
      </c>
      <c r="J623">
        <v>41.51</v>
      </c>
    </row>
    <row r="624" spans="1:10" x14ac:dyDescent="0.25">
      <c r="A624" t="s">
        <v>39</v>
      </c>
      <c r="B624" t="s">
        <v>92</v>
      </c>
      <c r="C624" t="s">
        <v>9</v>
      </c>
      <c r="D624">
        <v>17.7</v>
      </c>
      <c r="E624" s="1">
        <v>1956462</v>
      </c>
      <c r="F624" s="1">
        <v>346294</v>
      </c>
      <c r="G624" s="4">
        <f t="shared" si="28"/>
        <v>238945.62570147181</v>
      </c>
      <c r="H624" s="4">
        <f t="shared" si="29"/>
        <v>67361.181272880436</v>
      </c>
      <c r="I624" s="17">
        <f t="shared" si="27"/>
        <v>0.71808991658613353</v>
      </c>
      <c r="J624">
        <v>45.11</v>
      </c>
    </row>
    <row r="625" spans="1:10" x14ac:dyDescent="0.25">
      <c r="A625" t="s">
        <v>40</v>
      </c>
      <c r="B625" t="s">
        <v>92</v>
      </c>
      <c r="C625" t="s">
        <v>9</v>
      </c>
      <c r="D625">
        <v>17.09</v>
      </c>
      <c r="E625" s="1">
        <v>2006877</v>
      </c>
      <c r="F625" s="1">
        <v>342975</v>
      </c>
      <c r="G625" s="4">
        <f t="shared" si="28"/>
        <v>314089.48771044152</v>
      </c>
      <c r="H625" s="4">
        <f t="shared" si="29"/>
        <v>80378.508820493749</v>
      </c>
      <c r="I625" s="17">
        <f t="shared" si="27"/>
        <v>0.74409042019707916</v>
      </c>
      <c r="J625">
        <v>45.85</v>
      </c>
    </row>
    <row r="626" spans="1:10" x14ac:dyDescent="0.25">
      <c r="A626" t="s">
        <v>41</v>
      </c>
      <c r="B626" t="s">
        <v>92</v>
      </c>
      <c r="C626" t="s">
        <v>9</v>
      </c>
      <c r="D626">
        <v>14.53</v>
      </c>
      <c r="E626" s="1">
        <v>2085719</v>
      </c>
      <c r="F626" s="1">
        <v>303055</v>
      </c>
      <c r="G626" s="4">
        <f t="shared" si="28"/>
        <v>334309.34631313244</v>
      </c>
      <c r="H626" s="4">
        <f t="shared" si="29"/>
        <v>78255.681953420572</v>
      </c>
      <c r="I626" s="17">
        <f t="shared" si="27"/>
        <v>0.76591835431330713</v>
      </c>
      <c r="J626">
        <v>46.15</v>
      </c>
    </row>
    <row r="627" spans="1:10" x14ac:dyDescent="0.25">
      <c r="A627" t="s">
        <v>42</v>
      </c>
      <c r="B627" t="s">
        <v>92</v>
      </c>
      <c r="C627" t="s">
        <v>9</v>
      </c>
      <c r="D627">
        <v>12.44</v>
      </c>
      <c r="E627" s="1">
        <v>1982012</v>
      </c>
      <c r="F627" s="1">
        <v>246562</v>
      </c>
      <c r="G627" s="4">
        <f t="shared" si="28"/>
        <v>312431.30389393971</v>
      </c>
      <c r="H627" s="4">
        <f t="shared" si="29"/>
        <v>66670.534341712395</v>
      </c>
      <c r="I627" s="17">
        <f t="shared" si="27"/>
        <v>0.78660738053205803</v>
      </c>
      <c r="J627">
        <v>42.74</v>
      </c>
    </row>
    <row r="628" spans="1:10" x14ac:dyDescent="0.25">
      <c r="A628" t="s">
        <v>43</v>
      </c>
      <c r="B628" t="s">
        <v>92</v>
      </c>
      <c r="C628" t="s">
        <v>9</v>
      </c>
      <c r="D628">
        <v>19.32</v>
      </c>
      <c r="E628" s="1">
        <v>2094338</v>
      </c>
      <c r="F628" s="1">
        <v>404626</v>
      </c>
      <c r="G628" s="4">
        <f t="shared" si="28"/>
        <v>266322.79116818192</v>
      </c>
      <c r="H628" s="4">
        <f t="shared" si="29"/>
        <v>45276.823280657365</v>
      </c>
      <c r="I628" s="17">
        <f t="shared" si="27"/>
        <v>0.82999268263126158</v>
      </c>
      <c r="J628">
        <v>48.94</v>
      </c>
    </row>
    <row r="629" spans="1:10" x14ac:dyDescent="0.25">
      <c r="A629" t="s">
        <v>44</v>
      </c>
      <c r="B629" t="s">
        <v>92</v>
      </c>
      <c r="C629" t="s">
        <v>9</v>
      </c>
      <c r="D629">
        <v>18.670000000000002</v>
      </c>
      <c r="E629" s="1">
        <v>2013285</v>
      </c>
      <c r="F629" s="1">
        <v>375880</v>
      </c>
      <c r="G629" s="4">
        <f t="shared" si="28"/>
        <v>363135.03735045454</v>
      </c>
      <c r="H629" s="4">
        <f t="shared" si="29"/>
        <v>90265.122338052723</v>
      </c>
      <c r="I629" s="17">
        <f t="shared" si="27"/>
        <v>0.75142822076146942</v>
      </c>
      <c r="J629">
        <v>46.58</v>
      </c>
    </row>
    <row r="630" spans="1:10" x14ac:dyDescent="0.25">
      <c r="A630" t="s">
        <v>45</v>
      </c>
      <c r="B630" t="s">
        <v>92</v>
      </c>
      <c r="C630" t="s">
        <v>9</v>
      </c>
      <c r="D630">
        <v>14.29</v>
      </c>
      <c r="E630" s="1">
        <v>2052608</v>
      </c>
      <c r="F630" s="1">
        <v>293318</v>
      </c>
      <c r="G630" s="4">
        <f t="shared" si="28"/>
        <v>372056.51120513637</v>
      </c>
      <c r="H630" s="4">
        <f t="shared" si="29"/>
        <v>88748.665420177771</v>
      </c>
      <c r="I630" s="17">
        <f t="shared" si="27"/>
        <v>0.76146455512172051</v>
      </c>
      <c r="J630">
        <v>44.99</v>
      </c>
    </row>
    <row r="631" spans="1:10" x14ac:dyDescent="0.25">
      <c r="A631" t="s">
        <v>46</v>
      </c>
      <c r="B631" t="s">
        <v>92</v>
      </c>
      <c r="C631" t="s">
        <v>9</v>
      </c>
      <c r="D631">
        <v>13.33</v>
      </c>
      <c r="E631" s="1">
        <v>1988122</v>
      </c>
      <c r="F631" s="1">
        <v>265017</v>
      </c>
      <c r="G631" s="4">
        <f t="shared" si="28"/>
        <v>316939.55336154089</v>
      </c>
      <c r="H631" s="4">
        <f t="shared" si="29"/>
        <v>92177.301603878557</v>
      </c>
      <c r="I631" s="17">
        <f t="shared" si="27"/>
        <v>0.70916441123797003</v>
      </c>
      <c r="J631">
        <v>43.03</v>
      </c>
    </row>
    <row r="632" spans="1:10" x14ac:dyDescent="0.25">
      <c r="A632" t="s">
        <v>47</v>
      </c>
      <c r="B632" t="s">
        <v>92</v>
      </c>
      <c r="C632" t="s">
        <v>9</v>
      </c>
      <c r="D632">
        <v>18.55</v>
      </c>
      <c r="E632" s="1">
        <v>1957550</v>
      </c>
      <c r="F632" s="1">
        <v>363126</v>
      </c>
      <c r="G632" s="4">
        <f t="shared" si="28"/>
        <v>280593.76600846229</v>
      </c>
      <c r="H632" s="4">
        <f t="shared" si="29"/>
        <v>54948.881600149536</v>
      </c>
      <c r="I632" s="17">
        <f t="shared" si="27"/>
        <v>0.80416927153509055</v>
      </c>
      <c r="J632">
        <v>45.01</v>
      </c>
    </row>
    <row r="633" spans="1:10" x14ac:dyDescent="0.25">
      <c r="A633" t="s">
        <v>48</v>
      </c>
      <c r="B633" t="s">
        <v>92</v>
      </c>
      <c r="C633" t="s">
        <v>9</v>
      </c>
      <c r="D633">
        <v>19.18</v>
      </c>
      <c r="E633" s="1">
        <v>1988817</v>
      </c>
      <c r="F633" s="1">
        <v>381455</v>
      </c>
      <c r="G633" s="4">
        <f t="shared" si="28"/>
        <v>338366.32980253868</v>
      </c>
      <c r="H633" s="4">
        <f t="shared" si="29"/>
        <v>72358.538639235892</v>
      </c>
      <c r="I633" s="17">
        <f t="shared" si="27"/>
        <v>0.78615325383745371</v>
      </c>
      <c r="J633">
        <v>46.01</v>
      </c>
    </row>
    <row r="634" spans="1:10" x14ac:dyDescent="0.25">
      <c r="A634" t="s">
        <v>49</v>
      </c>
      <c r="B634" t="s">
        <v>92</v>
      </c>
      <c r="C634" t="s">
        <v>9</v>
      </c>
      <c r="D634">
        <v>13.68</v>
      </c>
      <c r="E634" s="1">
        <v>2045761</v>
      </c>
      <c r="F634" s="1">
        <v>279860</v>
      </c>
      <c r="G634" s="4">
        <f t="shared" si="28"/>
        <v>368528.39894076157</v>
      </c>
      <c r="H634" s="4">
        <f t="shared" si="29"/>
        <v>61547.14912054981</v>
      </c>
      <c r="I634" s="17">
        <f t="shared" si="27"/>
        <v>0.83299211323346867</v>
      </c>
      <c r="J634">
        <v>44.23</v>
      </c>
    </row>
    <row r="635" spans="1:10" x14ac:dyDescent="0.25">
      <c r="A635" t="s">
        <v>50</v>
      </c>
      <c r="B635" t="s">
        <v>92</v>
      </c>
      <c r="C635" t="s">
        <v>9</v>
      </c>
      <c r="D635">
        <v>11.43</v>
      </c>
      <c r="E635" s="1">
        <v>1957081</v>
      </c>
      <c r="F635" s="1">
        <v>223694</v>
      </c>
      <c r="G635" s="4">
        <f t="shared" si="28"/>
        <v>306460.51968222845</v>
      </c>
      <c r="H635" s="4">
        <f t="shared" si="29"/>
        <v>74230.021145395454</v>
      </c>
      <c r="I635" s="17">
        <f t="shared" si="27"/>
        <v>0.75778276032956804</v>
      </c>
      <c r="J635">
        <v>41.18</v>
      </c>
    </row>
    <row r="636" spans="1:10" x14ac:dyDescent="0.25">
      <c r="A636" t="s">
        <v>51</v>
      </c>
      <c r="B636" t="s">
        <v>92</v>
      </c>
      <c r="C636" t="s">
        <v>9</v>
      </c>
      <c r="D636">
        <v>20.59</v>
      </c>
      <c r="E636" s="1">
        <v>1916824</v>
      </c>
      <c r="F636" s="1">
        <v>394674</v>
      </c>
      <c r="G636" s="4">
        <f t="shared" si="28"/>
        <v>248523.95590466852</v>
      </c>
      <c r="H636" s="4">
        <f t="shared" si="29"/>
        <v>74316.923264292796</v>
      </c>
      <c r="I636" s="17">
        <f t="shared" si="27"/>
        <v>0.70096676196157093</v>
      </c>
      <c r="J636">
        <v>44.91</v>
      </c>
    </row>
    <row r="637" spans="1:10" x14ac:dyDescent="0.25">
      <c r="A637" t="s">
        <v>52</v>
      </c>
      <c r="B637" t="s">
        <v>92</v>
      </c>
      <c r="C637" t="s">
        <v>9</v>
      </c>
      <c r="D637">
        <v>18.559999999999999</v>
      </c>
      <c r="E637" s="1">
        <v>1969248</v>
      </c>
      <c r="F637" s="1">
        <v>365492</v>
      </c>
      <c r="G637" s="4">
        <f t="shared" si="28"/>
        <v>350828.98677140055</v>
      </c>
      <c r="H637" s="4">
        <f t="shared" si="29"/>
        <v>109654.33133274474</v>
      </c>
      <c r="I637" s="17">
        <f t="shared" si="27"/>
        <v>0.68744221410588491</v>
      </c>
      <c r="J637">
        <v>44.91</v>
      </c>
    </row>
    <row r="638" spans="1:10" x14ac:dyDescent="0.25">
      <c r="A638" t="s">
        <v>53</v>
      </c>
      <c r="B638" t="s">
        <v>92</v>
      </c>
      <c r="C638" t="s">
        <v>9</v>
      </c>
      <c r="D638">
        <v>15.98</v>
      </c>
      <c r="E638" s="1">
        <v>2039804</v>
      </c>
      <c r="F638" s="1">
        <v>325961</v>
      </c>
      <c r="G638" s="4">
        <f t="shared" si="28"/>
        <v>361093.09603142017</v>
      </c>
      <c r="H638" s="4">
        <f t="shared" si="29"/>
        <v>97339.844747356023</v>
      </c>
      <c r="I638" s="17">
        <f t="shared" si="27"/>
        <v>0.73043005857169285</v>
      </c>
      <c r="J638">
        <v>45.02</v>
      </c>
    </row>
    <row r="639" spans="1:10" x14ac:dyDescent="0.25">
      <c r="A639" t="s">
        <v>54</v>
      </c>
      <c r="B639" t="s">
        <v>92</v>
      </c>
      <c r="C639" t="s">
        <v>9</v>
      </c>
      <c r="D639">
        <v>15.81</v>
      </c>
      <c r="E639" s="1">
        <v>1946957</v>
      </c>
      <c r="F639" s="1">
        <v>307814</v>
      </c>
      <c r="G639" s="4">
        <f t="shared" si="28"/>
        <v>336500.62880942604</v>
      </c>
      <c r="H639" s="4">
        <f t="shared" si="29"/>
        <v>87195.38121859885</v>
      </c>
      <c r="I639" s="17">
        <f t="shared" si="27"/>
        <v>0.74087602294502353</v>
      </c>
      <c r="J639">
        <v>42.81</v>
      </c>
    </row>
    <row r="640" spans="1:10" x14ac:dyDescent="0.25">
      <c r="A640" t="s">
        <v>55</v>
      </c>
      <c r="B640" t="s">
        <v>92</v>
      </c>
      <c r="C640" t="s">
        <v>9</v>
      </c>
      <c r="D640">
        <v>22.86</v>
      </c>
      <c r="E640" s="1">
        <v>2024409</v>
      </c>
      <c r="F640" s="1">
        <v>462780</v>
      </c>
      <c r="G640" s="4">
        <f t="shared" si="28"/>
        <v>316419.98864282778</v>
      </c>
      <c r="H640" s="4">
        <f t="shared" si="29"/>
        <v>27520.845438520493</v>
      </c>
      <c r="I640" s="17">
        <f t="shared" si="27"/>
        <v>0.91302431443550247</v>
      </c>
      <c r="J640">
        <v>48.5</v>
      </c>
    </row>
    <row r="641" spans="1:10" x14ac:dyDescent="0.25">
      <c r="A641" t="s">
        <v>56</v>
      </c>
      <c r="B641" t="s">
        <v>92</v>
      </c>
      <c r="C641" t="s">
        <v>9</v>
      </c>
      <c r="D641">
        <v>19.46</v>
      </c>
      <c r="E641" s="1">
        <v>1922821</v>
      </c>
      <c r="F641" s="1">
        <v>374181</v>
      </c>
      <c r="G641" s="4">
        <f t="shared" si="28"/>
        <v>418871.99659284833</v>
      </c>
      <c r="H641" s="4">
        <f t="shared" si="29"/>
        <v>88465.510734376585</v>
      </c>
      <c r="I641" s="17">
        <f t="shared" si="27"/>
        <v>0.78880060864902646</v>
      </c>
      <c r="J641">
        <v>44.05</v>
      </c>
    </row>
    <row r="642" spans="1:10" x14ac:dyDescent="0.25">
      <c r="A642" t="s">
        <v>57</v>
      </c>
      <c r="B642" t="s">
        <v>92</v>
      </c>
      <c r="C642" t="s">
        <v>9</v>
      </c>
      <c r="D642">
        <v>16.670000000000002</v>
      </c>
      <c r="E642" s="1">
        <v>2041035</v>
      </c>
      <c r="F642" s="1">
        <v>340241</v>
      </c>
      <c r="G642" s="4">
        <f t="shared" si="28"/>
        <v>387588.29897785449</v>
      </c>
      <c r="H642" s="4">
        <f t="shared" si="29"/>
        <v>89891.52865793927</v>
      </c>
      <c r="I642" s="17">
        <f t="shared" si="27"/>
        <v>0.76807470995641336</v>
      </c>
      <c r="J642">
        <v>45.11</v>
      </c>
    </row>
    <row r="643" spans="1:10" x14ac:dyDescent="0.25">
      <c r="A643" t="s">
        <v>58</v>
      </c>
      <c r="B643" t="s">
        <v>92</v>
      </c>
      <c r="C643" t="s">
        <v>9</v>
      </c>
      <c r="D643">
        <v>15.42</v>
      </c>
      <c r="E643" s="1">
        <v>1952464</v>
      </c>
      <c r="F643" s="1">
        <v>301070</v>
      </c>
      <c r="G643" s="4">
        <f t="shared" si="28"/>
        <v>354445.18969335634</v>
      </c>
      <c r="H643" s="4">
        <f t="shared" si="29"/>
        <v>92484.782210249599</v>
      </c>
      <c r="I643" s="17">
        <f t="shared" ref="I643:I706" si="30">(G643-H643)/G643</f>
        <v>0.73907169599265377</v>
      </c>
      <c r="J643">
        <v>42.45</v>
      </c>
    </row>
    <row r="644" spans="1:10" x14ac:dyDescent="0.25">
      <c r="A644" t="s">
        <v>59</v>
      </c>
      <c r="B644" t="s">
        <v>92</v>
      </c>
      <c r="C644" t="s">
        <v>9</v>
      </c>
      <c r="D644">
        <v>17.71</v>
      </c>
      <c r="E644" s="1">
        <v>1800426</v>
      </c>
      <c r="F644" s="1">
        <v>318855</v>
      </c>
      <c r="G644" s="4">
        <f t="shared" ref="G644:G707" si="31">0.7*F643+0.3*G643</f>
        <v>317082.5569080069</v>
      </c>
      <c r="H644" s="4">
        <f t="shared" si="29"/>
        <v>48607.142039560727</v>
      </c>
      <c r="I644" s="17">
        <f t="shared" si="30"/>
        <v>0.8467050899502403</v>
      </c>
      <c r="J644">
        <v>40.17</v>
      </c>
    </row>
    <row r="645" spans="1:10" x14ac:dyDescent="0.25">
      <c r="A645" t="s">
        <v>60</v>
      </c>
      <c r="B645" t="s">
        <v>92</v>
      </c>
      <c r="C645" t="s">
        <v>9</v>
      </c>
      <c r="D645">
        <v>2.13</v>
      </c>
      <c r="E645" s="1">
        <v>984171</v>
      </c>
      <c r="F645" s="1">
        <v>20963</v>
      </c>
      <c r="G645" s="4">
        <f t="shared" si="31"/>
        <v>318323.26707240206</v>
      </c>
      <c r="H645" s="4">
        <f t="shared" si="29"/>
        <v>41206.064075628754</v>
      </c>
      <c r="I645" s="17">
        <f t="shared" si="30"/>
        <v>0.87055277342872794</v>
      </c>
      <c r="J645">
        <v>18.43</v>
      </c>
    </row>
    <row r="646" spans="1:10" x14ac:dyDescent="0.25">
      <c r="A646" t="s">
        <v>61</v>
      </c>
      <c r="B646" t="s">
        <v>92</v>
      </c>
      <c r="C646" t="s">
        <v>9</v>
      </c>
      <c r="D646">
        <v>25.64</v>
      </c>
      <c r="E646" s="1">
        <v>1732050</v>
      </c>
      <c r="F646" s="1">
        <v>444098</v>
      </c>
      <c r="G646" s="4">
        <f t="shared" si="31"/>
        <v>110171.08012172062</v>
      </c>
      <c r="H646" s="4">
        <f t="shared" ref="H646:H709" si="32">SQRT(SUMXMY2(F643:F645,G643:G645)/3)</f>
        <v>174427.80824043549</v>
      </c>
      <c r="I646" s="17">
        <f t="shared" si="30"/>
        <v>-0.58324496816879656</v>
      </c>
      <c r="J646">
        <v>42.62</v>
      </c>
    </row>
    <row r="647" spans="1:10" x14ac:dyDescent="0.25">
      <c r="A647" t="s">
        <v>62</v>
      </c>
      <c r="B647" t="s">
        <v>92</v>
      </c>
      <c r="C647" t="s">
        <v>9</v>
      </c>
      <c r="D647">
        <v>12.85</v>
      </c>
      <c r="E647" s="1">
        <v>1981244</v>
      </c>
      <c r="F647" s="1">
        <v>254590</v>
      </c>
      <c r="G647" s="4">
        <f t="shared" si="31"/>
        <v>343919.92403651617</v>
      </c>
      <c r="H647" s="4">
        <f t="shared" si="32"/>
        <v>258155.93337314529</v>
      </c>
      <c r="I647" s="17">
        <f t="shared" si="30"/>
        <v>0.24937197489687968</v>
      </c>
      <c r="J647">
        <v>41.53</v>
      </c>
    </row>
    <row r="648" spans="1:10" x14ac:dyDescent="0.25">
      <c r="A648" t="s">
        <v>63</v>
      </c>
      <c r="B648" t="s">
        <v>92</v>
      </c>
      <c r="C648" t="s">
        <v>9</v>
      </c>
      <c r="D648">
        <v>24.06</v>
      </c>
      <c r="E648" s="1">
        <v>2013770</v>
      </c>
      <c r="F648" s="1">
        <v>484513</v>
      </c>
      <c r="G648" s="4">
        <f t="shared" si="31"/>
        <v>281388.97721095488</v>
      </c>
      <c r="H648" s="4">
        <f t="shared" si="32"/>
        <v>263255.35865463078</v>
      </c>
      <c r="I648" s="17">
        <f t="shared" si="30"/>
        <v>6.4443244138626954E-2</v>
      </c>
      <c r="J648">
        <v>48.36</v>
      </c>
    </row>
    <row r="649" spans="1:10" x14ac:dyDescent="0.25">
      <c r="A649" t="s">
        <v>64</v>
      </c>
      <c r="B649" t="s">
        <v>92</v>
      </c>
      <c r="C649" t="s">
        <v>9</v>
      </c>
      <c r="D649">
        <v>14.05</v>
      </c>
      <c r="E649" s="1">
        <v>1801879</v>
      </c>
      <c r="F649" s="1">
        <v>253164</v>
      </c>
      <c r="G649" s="4">
        <f t="shared" si="31"/>
        <v>423575.79316328641</v>
      </c>
      <c r="H649" s="4">
        <f t="shared" si="32"/>
        <v>231478.14279953743</v>
      </c>
      <c r="I649" s="17">
        <f t="shared" si="30"/>
        <v>0.45351423160694238</v>
      </c>
      <c r="J649">
        <v>38.17</v>
      </c>
    </row>
    <row r="650" spans="1:10" x14ac:dyDescent="0.25">
      <c r="A650" t="s">
        <v>65</v>
      </c>
      <c r="B650" t="s">
        <v>92</v>
      </c>
      <c r="C650" t="s">
        <v>9</v>
      </c>
      <c r="D650">
        <v>11.36</v>
      </c>
      <c r="E650" s="1">
        <v>2008871</v>
      </c>
      <c r="F650" s="1">
        <v>228208</v>
      </c>
      <c r="G650" s="4">
        <f t="shared" si="31"/>
        <v>304287.53794898593</v>
      </c>
      <c r="H650" s="4">
        <f t="shared" si="32"/>
        <v>161533.67369427028</v>
      </c>
      <c r="I650" s="17">
        <f t="shared" si="30"/>
        <v>0.46914134314185568</v>
      </c>
      <c r="J650">
        <v>41.2</v>
      </c>
    </row>
    <row r="651" spans="1:10" x14ac:dyDescent="0.25">
      <c r="A651" t="s">
        <v>66</v>
      </c>
      <c r="B651" t="s">
        <v>92</v>
      </c>
      <c r="C651" t="s">
        <v>9</v>
      </c>
      <c r="D651">
        <v>13.42</v>
      </c>
      <c r="E651" s="1">
        <v>1913360</v>
      </c>
      <c r="F651" s="1">
        <v>256773</v>
      </c>
      <c r="G651" s="4">
        <f t="shared" si="31"/>
        <v>251031.86138469575</v>
      </c>
      <c r="H651" s="4">
        <f t="shared" si="32"/>
        <v>159256.23376356147</v>
      </c>
      <c r="I651" s="17">
        <f t="shared" si="30"/>
        <v>0.36559354304628289</v>
      </c>
      <c r="J651">
        <v>40.1</v>
      </c>
    </row>
    <row r="652" spans="1:10" x14ac:dyDescent="0.25">
      <c r="A652" t="s">
        <v>67</v>
      </c>
      <c r="B652" t="s">
        <v>92</v>
      </c>
      <c r="C652" t="s">
        <v>9</v>
      </c>
      <c r="D652">
        <v>15.57</v>
      </c>
      <c r="E652" s="1">
        <v>1760074</v>
      </c>
      <c r="F652" s="1">
        <v>274044</v>
      </c>
      <c r="G652" s="4">
        <f t="shared" si="31"/>
        <v>255050.65841540869</v>
      </c>
      <c r="H652" s="4">
        <f t="shared" si="32"/>
        <v>107798.01484915825</v>
      </c>
      <c r="I652" s="17">
        <f t="shared" si="30"/>
        <v>0.57734665137157037</v>
      </c>
      <c r="J652">
        <v>37.770000000000003</v>
      </c>
    </row>
    <row r="653" spans="1:10" x14ac:dyDescent="0.25">
      <c r="A653" t="s">
        <v>68</v>
      </c>
      <c r="B653" t="s">
        <v>92</v>
      </c>
      <c r="C653" t="s">
        <v>9</v>
      </c>
      <c r="D653">
        <v>7.02</v>
      </c>
      <c r="E653" s="1">
        <v>1953491</v>
      </c>
      <c r="F653" s="1">
        <v>137135</v>
      </c>
      <c r="G653" s="4">
        <f t="shared" si="31"/>
        <v>268345.99752462259</v>
      </c>
      <c r="H653" s="4">
        <f t="shared" si="32"/>
        <v>45393.846101574512</v>
      </c>
      <c r="I653" s="17">
        <f t="shared" si="30"/>
        <v>0.83083837090803148</v>
      </c>
      <c r="J653">
        <v>38</v>
      </c>
    </row>
    <row r="654" spans="1:10" x14ac:dyDescent="0.25">
      <c r="A654" t="s">
        <v>69</v>
      </c>
      <c r="B654" t="s">
        <v>92</v>
      </c>
      <c r="C654" t="s">
        <v>9</v>
      </c>
      <c r="D654">
        <v>11.43</v>
      </c>
      <c r="E654" s="1">
        <v>2019761</v>
      </c>
      <c r="F654" s="1">
        <v>230859</v>
      </c>
      <c r="G654" s="4">
        <f t="shared" si="31"/>
        <v>176498.29925738677</v>
      </c>
      <c r="H654" s="4">
        <f t="shared" si="32"/>
        <v>76615.998260928114</v>
      </c>
      <c r="I654" s="17">
        <f t="shared" si="30"/>
        <v>0.56591084116227486</v>
      </c>
      <c r="J654">
        <v>41.18</v>
      </c>
    </row>
    <row r="655" spans="1:10" x14ac:dyDescent="0.25">
      <c r="A655" t="s">
        <v>70</v>
      </c>
      <c r="B655" t="s">
        <v>92</v>
      </c>
      <c r="C655" t="s">
        <v>9</v>
      </c>
      <c r="D655">
        <v>15.5</v>
      </c>
      <c r="E655" s="1">
        <v>1867240</v>
      </c>
      <c r="F655" s="1">
        <v>289422</v>
      </c>
      <c r="G655" s="4">
        <f t="shared" si="31"/>
        <v>214550.78977721601</v>
      </c>
      <c r="H655" s="4">
        <f t="shared" si="32"/>
        <v>82728.791201901477</v>
      </c>
      <c r="I655" s="17">
        <f t="shared" si="30"/>
        <v>0.61440929074274253</v>
      </c>
      <c r="J655">
        <v>39.840000000000003</v>
      </c>
    </row>
    <row r="656" spans="1:10" x14ac:dyDescent="0.25">
      <c r="A656" t="s">
        <v>71</v>
      </c>
      <c r="B656" t="s">
        <v>92</v>
      </c>
      <c r="C656" t="s">
        <v>9</v>
      </c>
      <c r="D656">
        <v>13.84</v>
      </c>
      <c r="E656" s="1">
        <v>1706608</v>
      </c>
      <c r="F656" s="1">
        <v>236195</v>
      </c>
      <c r="G656" s="4">
        <f t="shared" si="31"/>
        <v>266960.63693316479</v>
      </c>
      <c r="H656" s="4">
        <f t="shared" si="32"/>
        <v>92695.037222170606</v>
      </c>
      <c r="I656" s="17">
        <f t="shared" si="30"/>
        <v>0.65277638573593388</v>
      </c>
      <c r="J656">
        <v>35.65</v>
      </c>
    </row>
    <row r="657" spans="1:10" x14ac:dyDescent="0.25">
      <c r="A657" t="s">
        <v>72</v>
      </c>
      <c r="B657" t="s">
        <v>92</v>
      </c>
      <c r="C657" t="s">
        <v>9</v>
      </c>
      <c r="D657">
        <v>10.53</v>
      </c>
      <c r="E657" s="1">
        <v>1789783</v>
      </c>
      <c r="F657" s="1">
        <v>188464</v>
      </c>
      <c r="G657" s="4">
        <f t="shared" si="31"/>
        <v>245424.69107994944</v>
      </c>
      <c r="H657" s="4">
        <f t="shared" si="32"/>
        <v>56294.784605549321</v>
      </c>
      <c r="I657" s="17">
        <f t="shared" si="30"/>
        <v>0.77062297865046203</v>
      </c>
      <c r="J657">
        <v>35.950000000000003</v>
      </c>
    </row>
    <row r="658" spans="1:10" x14ac:dyDescent="0.25">
      <c r="A658" t="s">
        <v>73</v>
      </c>
      <c r="B658" t="s">
        <v>92</v>
      </c>
      <c r="C658" t="s">
        <v>9</v>
      </c>
      <c r="D658">
        <v>6.85</v>
      </c>
      <c r="E658" s="1">
        <v>2026996</v>
      </c>
      <c r="F658" s="1">
        <v>138849</v>
      </c>
      <c r="G658" s="4">
        <f t="shared" si="31"/>
        <v>205552.20732398483</v>
      </c>
      <c r="H658" s="4">
        <f t="shared" si="32"/>
        <v>57145.261875426033</v>
      </c>
      <c r="I658" s="17">
        <f t="shared" si="30"/>
        <v>0.72199149491323389</v>
      </c>
      <c r="J658">
        <v>39.04</v>
      </c>
    </row>
    <row r="659" spans="1:10" x14ac:dyDescent="0.25">
      <c r="A659" t="s">
        <v>74</v>
      </c>
      <c r="B659" t="s">
        <v>92</v>
      </c>
      <c r="C659" t="s">
        <v>9</v>
      </c>
      <c r="D659">
        <v>17.190000000000001</v>
      </c>
      <c r="E659" s="1">
        <v>1750982</v>
      </c>
      <c r="F659" s="1">
        <v>300994</v>
      </c>
      <c r="G659" s="4">
        <f t="shared" si="31"/>
        <v>158859.96219719545</v>
      </c>
      <c r="H659" s="4">
        <f t="shared" si="32"/>
        <v>53666.75759262043</v>
      </c>
      <c r="I659" s="17">
        <f t="shared" si="30"/>
        <v>0.66217568699907525</v>
      </c>
      <c r="J659">
        <v>37.869999999999997</v>
      </c>
    </row>
    <row r="660" spans="1:10" x14ac:dyDescent="0.25">
      <c r="A660" t="s">
        <v>75</v>
      </c>
      <c r="B660" t="s">
        <v>92</v>
      </c>
      <c r="C660" t="s">
        <v>9</v>
      </c>
      <c r="D660">
        <v>14.62</v>
      </c>
      <c r="E660" s="1">
        <v>1806499</v>
      </c>
      <c r="F660" s="1">
        <v>264110</v>
      </c>
      <c r="G660" s="4">
        <f t="shared" si="31"/>
        <v>258353.78865915863</v>
      </c>
      <c r="H660" s="4">
        <f t="shared" si="32"/>
        <v>96429.461088993281</v>
      </c>
      <c r="I660" s="17">
        <f t="shared" si="30"/>
        <v>0.62675422106462353</v>
      </c>
      <c r="J660">
        <v>37.83</v>
      </c>
    </row>
    <row r="661" spans="1:10" x14ac:dyDescent="0.25">
      <c r="A661" t="s">
        <v>76</v>
      </c>
      <c r="B661" t="s">
        <v>92</v>
      </c>
      <c r="C661" t="s">
        <v>9</v>
      </c>
      <c r="D661">
        <v>4.03</v>
      </c>
      <c r="E661" s="1">
        <v>1867380</v>
      </c>
      <c r="F661" s="1">
        <v>75255</v>
      </c>
      <c r="G661" s="4">
        <f t="shared" si="31"/>
        <v>262383.13659774757</v>
      </c>
      <c r="H661" s="4">
        <f t="shared" si="32"/>
        <v>90709.309589177981</v>
      </c>
      <c r="I661" s="17">
        <f t="shared" si="30"/>
        <v>0.6542868159692673</v>
      </c>
      <c r="J661">
        <v>34.729999999999997</v>
      </c>
    </row>
    <row r="662" spans="1:10" x14ac:dyDescent="0.25">
      <c r="A662" t="s">
        <v>77</v>
      </c>
      <c r="B662" t="s">
        <v>92</v>
      </c>
      <c r="C662" t="s">
        <v>9</v>
      </c>
      <c r="D662">
        <v>7.94</v>
      </c>
      <c r="E662" s="1">
        <v>1721976</v>
      </c>
      <c r="F662" s="1">
        <v>136725</v>
      </c>
      <c r="G662" s="4">
        <f t="shared" si="31"/>
        <v>131393.44097932428</v>
      </c>
      <c r="H662" s="4">
        <f t="shared" si="32"/>
        <v>135710.67039560643</v>
      </c>
      <c r="I662" s="17">
        <f t="shared" si="30"/>
        <v>-3.2857267334687558E-2</v>
      </c>
      <c r="J662">
        <v>33.33</v>
      </c>
    </row>
    <row r="663" spans="1:10" x14ac:dyDescent="0.25">
      <c r="A663" t="s">
        <v>78</v>
      </c>
      <c r="B663" t="s">
        <v>92</v>
      </c>
      <c r="C663" t="s">
        <v>9</v>
      </c>
      <c r="D663">
        <v>14.58</v>
      </c>
      <c r="E663" s="1">
        <v>1732702</v>
      </c>
      <c r="F663" s="1">
        <v>252628</v>
      </c>
      <c r="G663" s="4">
        <f t="shared" si="31"/>
        <v>135125.5322937973</v>
      </c>
      <c r="H663" s="4">
        <f t="shared" si="32"/>
        <v>108133.40371525142</v>
      </c>
      <c r="I663" s="17">
        <f t="shared" si="30"/>
        <v>0.1997559463437163</v>
      </c>
      <c r="J663">
        <v>36.090000000000003</v>
      </c>
    </row>
    <row r="664" spans="1:10" x14ac:dyDescent="0.25">
      <c r="A664" t="s">
        <v>79</v>
      </c>
      <c r="B664" t="s">
        <v>92</v>
      </c>
      <c r="C664" t="s">
        <v>9</v>
      </c>
      <c r="D664">
        <v>13.29</v>
      </c>
      <c r="E664" s="1">
        <v>1684046</v>
      </c>
      <c r="F664" s="1">
        <v>223810</v>
      </c>
      <c r="G664" s="4">
        <f t="shared" si="31"/>
        <v>217377.25968813917</v>
      </c>
      <c r="H664" s="4">
        <f t="shared" si="32"/>
        <v>127609.03174042115</v>
      </c>
      <c r="I664" s="17">
        <f t="shared" si="30"/>
        <v>0.41296052805387384</v>
      </c>
      <c r="J664">
        <v>34.5</v>
      </c>
    </row>
    <row r="665" spans="1:10" x14ac:dyDescent="0.25">
      <c r="A665" t="s">
        <v>80</v>
      </c>
      <c r="B665" t="s">
        <v>92</v>
      </c>
      <c r="C665" t="s">
        <v>9</v>
      </c>
      <c r="D665">
        <v>9.35</v>
      </c>
      <c r="E665" s="1">
        <v>1763174</v>
      </c>
      <c r="F665" s="1">
        <v>164857</v>
      </c>
      <c r="G665" s="4">
        <f t="shared" si="31"/>
        <v>221880.17790644174</v>
      </c>
      <c r="H665" s="4">
        <f t="shared" si="32"/>
        <v>68011.360782734904</v>
      </c>
      <c r="I665" s="17">
        <f t="shared" si="30"/>
        <v>0.69347707657142466</v>
      </c>
      <c r="J665">
        <v>34.49</v>
      </c>
    </row>
    <row r="666" spans="1:10" x14ac:dyDescent="0.25">
      <c r="A666" t="s">
        <v>81</v>
      </c>
      <c r="B666" t="s">
        <v>92</v>
      </c>
      <c r="C666" t="s">
        <v>9</v>
      </c>
      <c r="D666">
        <v>14.4</v>
      </c>
      <c r="E666" s="1">
        <v>1638014</v>
      </c>
      <c r="F666" s="1">
        <v>235874</v>
      </c>
      <c r="G666" s="4">
        <f t="shared" si="31"/>
        <v>181963.9533719325</v>
      </c>
      <c r="H666" s="4">
        <f t="shared" si="32"/>
        <v>75498.019584438443</v>
      </c>
      <c r="I666" s="17">
        <f t="shared" si="30"/>
        <v>0.58509354086124277</v>
      </c>
      <c r="J666">
        <v>33.880000000000003</v>
      </c>
    </row>
    <row r="667" spans="1:10" x14ac:dyDescent="0.25">
      <c r="A667" t="s">
        <v>82</v>
      </c>
      <c r="B667" t="s">
        <v>92</v>
      </c>
      <c r="C667" t="s">
        <v>9</v>
      </c>
      <c r="D667">
        <v>12.41</v>
      </c>
      <c r="E667" s="1">
        <v>1620270</v>
      </c>
      <c r="F667" s="1">
        <v>201076</v>
      </c>
      <c r="G667" s="4">
        <f t="shared" si="31"/>
        <v>219700.98601157975</v>
      </c>
      <c r="H667" s="4">
        <f t="shared" si="32"/>
        <v>45458.098266095403</v>
      </c>
      <c r="I667" s="17">
        <f t="shared" si="30"/>
        <v>0.79309105939242608</v>
      </c>
      <c r="J667">
        <v>32.700000000000003</v>
      </c>
    </row>
    <row r="668" spans="1:10" x14ac:dyDescent="0.25">
      <c r="A668" t="s">
        <v>83</v>
      </c>
      <c r="B668" t="s">
        <v>92</v>
      </c>
      <c r="C668" t="s">
        <v>9</v>
      </c>
      <c r="D668">
        <v>11.3</v>
      </c>
      <c r="E668" s="1">
        <v>1545537</v>
      </c>
      <c r="F668" s="1">
        <v>174646</v>
      </c>
      <c r="G668" s="4">
        <f t="shared" si="31"/>
        <v>206663.49580347392</v>
      </c>
      <c r="H668" s="4">
        <f t="shared" si="32"/>
        <v>46564.743636939384</v>
      </c>
      <c r="I668" s="17">
        <f t="shared" si="30"/>
        <v>0.77468326732835291</v>
      </c>
      <c r="J668">
        <v>30.75</v>
      </c>
    </row>
    <row r="669" spans="1:10" x14ac:dyDescent="0.25">
      <c r="A669" t="s">
        <v>84</v>
      </c>
      <c r="B669" t="s">
        <v>92</v>
      </c>
      <c r="C669" t="s">
        <v>9</v>
      </c>
      <c r="D669">
        <v>0</v>
      </c>
      <c r="E669" s="1">
        <v>1732013</v>
      </c>
      <c r="F669">
        <v>0</v>
      </c>
      <c r="G669" s="4">
        <f t="shared" si="31"/>
        <v>184251.24874104216</v>
      </c>
      <c r="H669" s="4">
        <f t="shared" si="32"/>
        <v>37763.753648604303</v>
      </c>
      <c r="I669" s="17">
        <f t="shared" si="30"/>
        <v>0.79504207484813438</v>
      </c>
      <c r="J669">
        <v>30.51</v>
      </c>
    </row>
    <row r="670" spans="1:10" x14ac:dyDescent="0.25">
      <c r="A670" t="s">
        <v>7</v>
      </c>
      <c r="B670" t="s">
        <v>93</v>
      </c>
      <c r="C670" t="s">
        <v>9</v>
      </c>
      <c r="D670">
        <v>11.52</v>
      </c>
      <c r="E670" s="1">
        <v>2456244</v>
      </c>
      <c r="F670" s="1">
        <v>282959</v>
      </c>
      <c r="G670" s="4">
        <f t="shared" si="31"/>
        <v>55275.374622312644</v>
      </c>
      <c r="H670" s="4">
        <f t="shared" si="32"/>
        <v>108505.81060338105</v>
      </c>
      <c r="I670" s="17">
        <f t="shared" si="30"/>
        <v>-0.96300452678580717</v>
      </c>
      <c r="J670">
        <v>42.68</v>
      </c>
    </row>
    <row r="671" spans="1:10" x14ac:dyDescent="0.25">
      <c r="A671" t="s">
        <v>10</v>
      </c>
      <c r="B671" t="s">
        <v>93</v>
      </c>
      <c r="C671" t="s">
        <v>9</v>
      </c>
      <c r="D671">
        <v>18.62</v>
      </c>
      <c r="E671" s="1">
        <v>2299744</v>
      </c>
      <c r="F671" s="1">
        <v>428212</v>
      </c>
      <c r="G671" s="4">
        <f t="shared" si="31"/>
        <v>214653.91238669379</v>
      </c>
      <c r="H671" s="4">
        <f t="shared" si="32"/>
        <v>170111.21456788786</v>
      </c>
      <c r="I671" s="17">
        <f t="shared" si="30"/>
        <v>0.20750936856237376</v>
      </c>
      <c r="J671">
        <v>43.36</v>
      </c>
    </row>
    <row r="672" spans="1:10" x14ac:dyDescent="0.25">
      <c r="A672" t="s">
        <v>11</v>
      </c>
      <c r="B672" t="s">
        <v>93</v>
      </c>
      <c r="C672" t="s">
        <v>9</v>
      </c>
      <c r="D672">
        <v>11.52</v>
      </c>
      <c r="E672" s="1">
        <v>2413465</v>
      </c>
      <c r="F672" s="1">
        <v>278031</v>
      </c>
      <c r="G672" s="4">
        <f t="shared" si="31"/>
        <v>364144.5737160081</v>
      </c>
      <c r="H672" s="4">
        <f t="shared" si="32"/>
        <v>209280.84218167467</v>
      </c>
      <c r="I672" s="17">
        <f t="shared" si="30"/>
        <v>0.42528089861119217</v>
      </c>
      <c r="J672">
        <v>41.77</v>
      </c>
    </row>
    <row r="673" spans="1:10" x14ac:dyDescent="0.25">
      <c r="A673" t="s">
        <v>12</v>
      </c>
      <c r="B673" t="s">
        <v>93</v>
      </c>
      <c r="C673" t="s">
        <v>9</v>
      </c>
      <c r="D673">
        <v>5.29</v>
      </c>
      <c r="E673" s="1">
        <v>2619857</v>
      </c>
      <c r="F673" s="1">
        <v>138590</v>
      </c>
      <c r="G673" s="4">
        <f t="shared" si="31"/>
        <v>303865.07211480243</v>
      </c>
      <c r="H673" s="4">
        <f t="shared" si="32"/>
        <v>186960.27887256516</v>
      </c>
      <c r="I673" s="17">
        <f t="shared" si="30"/>
        <v>0.38472599838019483</v>
      </c>
      <c r="J673">
        <v>42.27</v>
      </c>
    </row>
    <row r="674" spans="1:10" x14ac:dyDescent="0.25">
      <c r="A674" t="s">
        <v>13</v>
      </c>
      <c r="B674" t="s">
        <v>93</v>
      </c>
      <c r="C674" t="s">
        <v>9</v>
      </c>
      <c r="D674">
        <v>22.68</v>
      </c>
      <c r="E674" s="1">
        <v>2366341</v>
      </c>
      <c r="F674" s="1">
        <v>536686</v>
      </c>
      <c r="G674" s="4">
        <f t="shared" si="31"/>
        <v>188172.52163444072</v>
      </c>
      <c r="H674" s="4">
        <f t="shared" si="32"/>
        <v>163644.38459226975</v>
      </c>
      <c r="I674" s="17">
        <f t="shared" si="30"/>
        <v>0.13034919673246093</v>
      </c>
      <c r="J674">
        <v>46.67</v>
      </c>
    </row>
    <row r="675" spans="1:10" x14ac:dyDescent="0.25">
      <c r="A675" t="s">
        <v>14</v>
      </c>
      <c r="B675" t="s">
        <v>93</v>
      </c>
      <c r="C675" t="s">
        <v>9</v>
      </c>
      <c r="D675">
        <v>21.38</v>
      </c>
      <c r="E675" s="1">
        <v>2427365</v>
      </c>
      <c r="F675" s="1">
        <v>518971</v>
      </c>
      <c r="G675" s="4">
        <f t="shared" si="31"/>
        <v>432131.95649033214</v>
      </c>
      <c r="H675" s="4">
        <f t="shared" si="32"/>
        <v>228176.13199978991</v>
      </c>
      <c r="I675" s="17">
        <f t="shared" si="30"/>
        <v>0.47197579680757823</v>
      </c>
      <c r="J675">
        <v>47</v>
      </c>
    </row>
    <row r="676" spans="1:10" x14ac:dyDescent="0.25">
      <c r="A676" t="s">
        <v>15</v>
      </c>
      <c r="B676" t="s">
        <v>93</v>
      </c>
      <c r="C676" t="s">
        <v>9</v>
      </c>
      <c r="D676">
        <v>17.04</v>
      </c>
      <c r="E676" s="1">
        <v>2416967</v>
      </c>
      <c r="F676" s="1">
        <v>411851</v>
      </c>
      <c r="G676" s="4">
        <f t="shared" si="31"/>
        <v>492919.28694709961</v>
      </c>
      <c r="H676" s="4">
        <f t="shared" si="32"/>
        <v>228267.76202717738</v>
      </c>
      <c r="I676" s="17">
        <f t="shared" si="30"/>
        <v>0.53690641029496744</v>
      </c>
      <c r="J676">
        <v>44.25</v>
      </c>
    </row>
    <row r="677" spans="1:10" x14ac:dyDescent="0.25">
      <c r="A677" t="s">
        <v>16</v>
      </c>
      <c r="B677" t="s">
        <v>93</v>
      </c>
      <c r="C677" t="s">
        <v>9</v>
      </c>
      <c r="D677">
        <v>25</v>
      </c>
      <c r="E677" s="1">
        <v>2664982</v>
      </c>
      <c r="F677" s="1">
        <v>666246</v>
      </c>
      <c r="G677" s="4">
        <f t="shared" si="31"/>
        <v>436171.48608412984</v>
      </c>
      <c r="H677" s="4">
        <f t="shared" si="32"/>
        <v>212583.10628134149</v>
      </c>
      <c r="I677" s="17">
        <f t="shared" si="30"/>
        <v>0.51261576452446522</v>
      </c>
      <c r="J677">
        <v>53.86</v>
      </c>
    </row>
    <row r="678" spans="1:10" x14ac:dyDescent="0.25">
      <c r="A678" t="s">
        <v>17</v>
      </c>
      <c r="B678" t="s">
        <v>93</v>
      </c>
      <c r="C678" t="s">
        <v>9</v>
      </c>
      <c r="D678">
        <v>26.74</v>
      </c>
      <c r="E678" s="1">
        <v>2256905</v>
      </c>
      <c r="F678" s="1">
        <v>603496</v>
      </c>
      <c r="G678" s="4">
        <f t="shared" si="31"/>
        <v>597223.6458252389</v>
      </c>
      <c r="H678" s="4">
        <f t="shared" si="32"/>
        <v>149496.23025329123</v>
      </c>
      <c r="I678" s="17">
        <f t="shared" si="30"/>
        <v>0.7496813274251416</v>
      </c>
      <c r="J678">
        <v>46.6</v>
      </c>
    </row>
    <row r="679" spans="1:10" x14ac:dyDescent="0.25">
      <c r="A679" t="s">
        <v>18</v>
      </c>
      <c r="B679" t="s">
        <v>93</v>
      </c>
      <c r="C679" t="s">
        <v>9</v>
      </c>
      <c r="D679">
        <v>25.76</v>
      </c>
      <c r="E679" s="1">
        <v>2304905</v>
      </c>
      <c r="F679" s="1">
        <v>593744</v>
      </c>
      <c r="G679" s="4">
        <f t="shared" si="31"/>
        <v>601614.29374757165</v>
      </c>
      <c r="H679" s="4">
        <f t="shared" si="32"/>
        <v>140884.9312134491</v>
      </c>
      <c r="I679" s="17">
        <f t="shared" si="30"/>
        <v>0.76582183522294711</v>
      </c>
      <c r="J679">
        <v>46.87</v>
      </c>
    </row>
    <row r="680" spans="1:10" x14ac:dyDescent="0.25">
      <c r="A680" t="s">
        <v>19</v>
      </c>
      <c r="B680" t="s">
        <v>93</v>
      </c>
      <c r="C680" t="s">
        <v>9</v>
      </c>
      <c r="D680">
        <v>34.33</v>
      </c>
      <c r="E680" s="1">
        <v>2157865</v>
      </c>
      <c r="F680" s="1">
        <v>740795</v>
      </c>
      <c r="G680" s="4">
        <f t="shared" si="31"/>
        <v>596105.08812427148</v>
      </c>
      <c r="H680" s="4">
        <f t="shared" si="32"/>
        <v>132960.60306746338</v>
      </c>
      <c r="I680" s="17">
        <f t="shared" si="30"/>
        <v>0.77695106833286287</v>
      </c>
      <c r="J680">
        <v>49.51</v>
      </c>
    </row>
    <row r="681" spans="1:10" x14ac:dyDescent="0.25">
      <c r="A681" t="s">
        <v>20</v>
      </c>
      <c r="B681" t="s">
        <v>93</v>
      </c>
      <c r="C681" t="s">
        <v>9</v>
      </c>
      <c r="D681">
        <v>22.89</v>
      </c>
      <c r="E681" s="1">
        <v>2722685</v>
      </c>
      <c r="F681" s="1">
        <v>623223</v>
      </c>
      <c r="G681" s="4">
        <f t="shared" si="31"/>
        <v>697388.0264372814</v>
      </c>
      <c r="H681" s="4">
        <f t="shared" si="32"/>
        <v>83738.590365439813</v>
      </c>
      <c r="I681" s="17">
        <f t="shared" si="30"/>
        <v>0.87992539706591777</v>
      </c>
      <c r="J681">
        <v>53.09</v>
      </c>
    </row>
    <row r="682" spans="1:10" x14ac:dyDescent="0.25">
      <c r="A682" t="s">
        <v>21</v>
      </c>
      <c r="B682" t="s">
        <v>93</v>
      </c>
      <c r="C682" t="s">
        <v>9</v>
      </c>
      <c r="D682">
        <v>25</v>
      </c>
      <c r="E682" s="1">
        <v>2240329</v>
      </c>
      <c r="F682" s="1">
        <v>560082</v>
      </c>
      <c r="G682" s="4">
        <f t="shared" si="31"/>
        <v>645472.50793118437</v>
      </c>
      <c r="H682" s="4">
        <f t="shared" si="32"/>
        <v>93981.49333551756</v>
      </c>
      <c r="I682" s="17">
        <f t="shared" si="30"/>
        <v>0.85439892144014096</v>
      </c>
      <c r="J682">
        <v>44.82</v>
      </c>
    </row>
    <row r="683" spans="1:10" x14ac:dyDescent="0.25">
      <c r="A683" t="s">
        <v>22</v>
      </c>
      <c r="B683" t="s">
        <v>93</v>
      </c>
      <c r="C683" t="s">
        <v>9</v>
      </c>
      <c r="D683">
        <v>7.05</v>
      </c>
      <c r="E683" s="1">
        <v>2450978</v>
      </c>
      <c r="F683" s="1">
        <v>172794</v>
      </c>
      <c r="G683" s="4">
        <f t="shared" si="31"/>
        <v>585699.15237935528</v>
      </c>
      <c r="H683" s="4">
        <f t="shared" si="32"/>
        <v>106030.12243350848</v>
      </c>
      <c r="I683" s="17">
        <f t="shared" si="30"/>
        <v>0.8189682843098377</v>
      </c>
      <c r="J683">
        <v>39.49</v>
      </c>
    </row>
    <row r="684" spans="1:10" x14ac:dyDescent="0.25">
      <c r="A684" t="s">
        <v>23</v>
      </c>
      <c r="B684" t="s">
        <v>93</v>
      </c>
      <c r="C684" t="s">
        <v>9</v>
      </c>
      <c r="D684">
        <v>22.7</v>
      </c>
      <c r="E684" s="1">
        <v>2426854</v>
      </c>
      <c r="F684" s="1">
        <v>550896</v>
      </c>
      <c r="G684" s="4">
        <f t="shared" si="31"/>
        <v>296665.54571380652</v>
      </c>
      <c r="H684" s="4">
        <f t="shared" si="32"/>
        <v>247172.44645025121</v>
      </c>
      <c r="I684" s="17">
        <f t="shared" si="30"/>
        <v>0.16683130204577698</v>
      </c>
      <c r="J684">
        <v>46.92</v>
      </c>
    </row>
    <row r="685" spans="1:10" x14ac:dyDescent="0.25">
      <c r="A685" t="s">
        <v>24</v>
      </c>
      <c r="B685" t="s">
        <v>93</v>
      </c>
      <c r="C685" t="s">
        <v>9</v>
      </c>
      <c r="D685">
        <v>19.54</v>
      </c>
      <c r="E685" s="1">
        <v>2676450</v>
      </c>
      <c r="F685" s="1">
        <v>522978</v>
      </c>
      <c r="G685" s="4">
        <f t="shared" si="31"/>
        <v>474626.86371414189</v>
      </c>
      <c r="H685" s="4">
        <f t="shared" si="32"/>
        <v>284262.39497614908</v>
      </c>
      <c r="I685" s="17">
        <f t="shared" si="30"/>
        <v>0.40108237289460602</v>
      </c>
      <c r="J685">
        <v>49.62</v>
      </c>
    </row>
    <row r="686" spans="1:10" x14ac:dyDescent="0.25">
      <c r="A686" t="s">
        <v>25</v>
      </c>
      <c r="B686" t="s">
        <v>93</v>
      </c>
      <c r="C686" t="s">
        <v>9</v>
      </c>
      <c r="D686">
        <v>9.85</v>
      </c>
      <c r="E686" s="1">
        <v>2304774</v>
      </c>
      <c r="F686" s="1">
        <v>227020</v>
      </c>
      <c r="G686" s="4">
        <f t="shared" si="31"/>
        <v>508472.65911424253</v>
      </c>
      <c r="H686" s="4">
        <f t="shared" si="32"/>
        <v>281342.98233539111</v>
      </c>
      <c r="I686" s="17">
        <f t="shared" si="30"/>
        <v>0.44669004853576683</v>
      </c>
      <c r="J686">
        <v>38.06</v>
      </c>
    </row>
    <row r="687" spans="1:10" x14ac:dyDescent="0.25">
      <c r="A687" t="s">
        <v>26</v>
      </c>
      <c r="B687" t="s">
        <v>93</v>
      </c>
      <c r="C687" t="s">
        <v>9</v>
      </c>
      <c r="D687">
        <v>8.7899999999999991</v>
      </c>
      <c r="E687" s="1">
        <v>2367608</v>
      </c>
      <c r="F687" s="1">
        <v>208113</v>
      </c>
      <c r="G687" s="4">
        <f t="shared" si="31"/>
        <v>311455.79773427278</v>
      </c>
      <c r="H687" s="4">
        <f t="shared" si="32"/>
        <v>220746.12536363726</v>
      </c>
      <c r="I687" s="17">
        <f t="shared" si="30"/>
        <v>0.29124412847831144</v>
      </c>
      <c r="J687">
        <v>38.57</v>
      </c>
    </row>
    <row r="688" spans="1:10" x14ac:dyDescent="0.25">
      <c r="A688" t="s">
        <v>27</v>
      </c>
      <c r="B688" t="s">
        <v>93</v>
      </c>
      <c r="C688" t="s">
        <v>9</v>
      </c>
      <c r="D688">
        <v>7.78</v>
      </c>
      <c r="E688" s="1">
        <v>2361216</v>
      </c>
      <c r="F688" s="1">
        <v>183703</v>
      </c>
      <c r="G688" s="4">
        <f t="shared" si="31"/>
        <v>239115.83932028181</v>
      </c>
      <c r="H688" s="4">
        <f t="shared" si="32"/>
        <v>175340.77824449778</v>
      </c>
      <c r="I688" s="17">
        <f t="shared" si="30"/>
        <v>0.26671198887147346</v>
      </c>
      <c r="J688">
        <v>37.96</v>
      </c>
    </row>
    <row r="689" spans="1:10" x14ac:dyDescent="0.25">
      <c r="A689" t="s">
        <v>28</v>
      </c>
      <c r="B689" t="s">
        <v>93</v>
      </c>
      <c r="C689" t="s">
        <v>9</v>
      </c>
      <c r="D689">
        <v>6.31</v>
      </c>
      <c r="E689" s="1">
        <v>2734692</v>
      </c>
      <c r="F689" s="1">
        <v>172559</v>
      </c>
      <c r="G689" s="4">
        <f t="shared" si="31"/>
        <v>200326.85179608455</v>
      </c>
      <c r="H689" s="4">
        <f t="shared" si="32"/>
        <v>176035.90157271916</v>
      </c>
      <c r="I689" s="17">
        <f t="shared" si="30"/>
        <v>0.12125658645148321</v>
      </c>
      <c r="J689">
        <v>43.19</v>
      </c>
    </row>
    <row r="690" spans="1:10" x14ac:dyDescent="0.25">
      <c r="A690" t="s">
        <v>29</v>
      </c>
      <c r="B690" t="s">
        <v>93</v>
      </c>
      <c r="C690" t="s">
        <v>9</v>
      </c>
      <c r="D690">
        <v>13.44</v>
      </c>
      <c r="E690" s="1">
        <v>2391408</v>
      </c>
      <c r="F690" s="1">
        <v>321405</v>
      </c>
      <c r="G690" s="4">
        <f t="shared" si="31"/>
        <v>180889.35553882536</v>
      </c>
      <c r="H690" s="4">
        <f t="shared" si="32"/>
        <v>69573.390982595971</v>
      </c>
      <c r="I690" s="17">
        <f t="shared" si="30"/>
        <v>0.61538150890441412</v>
      </c>
      <c r="J690">
        <v>40.799999999999997</v>
      </c>
    </row>
    <row r="691" spans="1:10" x14ac:dyDescent="0.25">
      <c r="A691" t="s">
        <v>30</v>
      </c>
      <c r="B691" t="s">
        <v>93</v>
      </c>
      <c r="C691" t="s">
        <v>9</v>
      </c>
      <c r="D691">
        <v>10.99</v>
      </c>
      <c r="E691" s="1">
        <v>2424483</v>
      </c>
      <c r="F691" s="1">
        <v>266451</v>
      </c>
      <c r="G691" s="4">
        <f t="shared" si="31"/>
        <v>279250.30666164763</v>
      </c>
      <c r="H691" s="4">
        <f t="shared" si="32"/>
        <v>88668.451159819568</v>
      </c>
      <c r="I691" s="17">
        <f t="shared" si="30"/>
        <v>0.68247679932808714</v>
      </c>
      <c r="J691">
        <v>40.14</v>
      </c>
    </row>
    <row r="692" spans="1:10" x14ac:dyDescent="0.25">
      <c r="A692" t="s">
        <v>31</v>
      </c>
      <c r="B692" t="s">
        <v>93</v>
      </c>
      <c r="C692" t="s">
        <v>9</v>
      </c>
      <c r="D692">
        <v>12.86</v>
      </c>
      <c r="E692" s="1">
        <v>2498696</v>
      </c>
      <c r="F692" s="1">
        <v>321332</v>
      </c>
      <c r="G692" s="4">
        <f t="shared" si="31"/>
        <v>270290.7919984943</v>
      </c>
      <c r="H692" s="4">
        <f t="shared" si="32"/>
        <v>83025.141137544313</v>
      </c>
      <c r="I692" s="17">
        <f t="shared" si="30"/>
        <v>0.69283030130746448</v>
      </c>
      <c r="J692">
        <v>42.17</v>
      </c>
    </row>
    <row r="693" spans="1:10" x14ac:dyDescent="0.25">
      <c r="A693" t="s">
        <v>32</v>
      </c>
      <c r="B693" t="s">
        <v>93</v>
      </c>
      <c r="C693" t="s">
        <v>9</v>
      </c>
      <c r="D693">
        <v>12.76</v>
      </c>
      <c r="E693" s="1">
        <v>2693199</v>
      </c>
      <c r="F693" s="1">
        <v>343652</v>
      </c>
      <c r="G693" s="4">
        <f t="shared" si="31"/>
        <v>306019.63759954827</v>
      </c>
      <c r="H693" s="4">
        <f t="shared" si="32"/>
        <v>86628.851051696605</v>
      </c>
      <c r="I693" s="17">
        <f t="shared" si="30"/>
        <v>0.71691734644474825</v>
      </c>
      <c r="J693">
        <v>45.31</v>
      </c>
    </row>
    <row r="694" spans="1:10" x14ac:dyDescent="0.25">
      <c r="A694" t="s">
        <v>33</v>
      </c>
      <c r="B694" t="s">
        <v>93</v>
      </c>
      <c r="C694" t="s">
        <v>9</v>
      </c>
      <c r="D694">
        <v>6.87</v>
      </c>
      <c r="E694" s="1">
        <v>2435760</v>
      </c>
      <c r="F694" s="1">
        <v>167337</v>
      </c>
      <c r="G694" s="4">
        <f t="shared" si="31"/>
        <v>332362.2912798645</v>
      </c>
      <c r="H694" s="4">
        <f t="shared" si="32"/>
        <v>37350.688816097267</v>
      </c>
      <c r="I694" s="17">
        <f t="shared" si="30"/>
        <v>0.88762055805949946</v>
      </c>
      <c r="J694">
        <v>38.31</v>
      </c>
    </row>
    <row r="695" spans="1:10" x14ac:dyDescent="0.25">
      <c r="A695" t="s">
        <v>34</v>
      </c>
      <c r="B695" t="s">
        <v>93</v>
      </c>
      <c r="C695" t="s">
        <v>9</v>
      </c>
      <c r="D695">
        <v>15.89</v>
      </c>
      <c r="E695" s="1">
        <v>2258418</v>
      </c>
      <c r="F695" s="1">
        <v>358863</v>
      </c>
      <c r="G695" s="4">
        <f t="shared" si="31"/>
        <v>216844.58738395933</v>
      </c>
      <c r="H695" s="4">
        <f t="shared" si="32"/>
        <v>102069.82312139081</v>
      </c>
      <c r="I695" s="17">
        <f t="shared" si="30"/>
        <v>0.52929503865983407</v>
      </c>
      <c r="J695">
        <v>39.25</v>
      </c>
    </row>
    <row r="696" spans="1:10" x14ac:dyDescent="0.25">
      <c r="A696" t="s">
        <v>35</v>
      </c>
      <c r="B696" t="s">
        <v>93</v>
      </c>
      <c r="C696" t="s">
        <v>9</v>
      </c>
      <c r="D696">
        <v>14.35</v>
      </c>
      <c r="E696" s="1">
        <v>2529950</v>
      </c>
      <c r="F696" s="1">
        <v>363048</v>
      </c>
      <c r="G696" s="4">
        <f t="shared" si="31"/>
        <v>316257.47621518775</v>
      </c>
      <c r="H696" s="4">
        <f t="shared" si="32"/>
        <v>127565.37014909</v>
      </c>
      <c r="I696" s="17">
        <f t="shared" si="30"/>
        <v>0.59664077613048416</v>
      </c>
      <c r="J696">
        <v>43.09</v>
      </c>
    </row>
    <row r="697" spans="1:10" x14ac:dyDescent="0.25">
      <c r="A697" t="s">
        <v>36</v>
      </c>
      <c r="B697" t="s">
        <v>93</v>
      </c>
      <c r="C697" t="s">
        <v>9</v>
      </c>
      <c r="D697">
        <v>10.14</v>
      </c>
      <c r="E697" s="1">
        <v>2786778</v>
      </c>
      <c r="F697" s="1">
        <v>282579</v>
      </c>
      <c r="G697" s="4">
        <f t="shared" si="31"/>
        <v>349010.8428645563</v>
      </c>
      <c r="H697" s="4">
        <f t="shared" si="32"/>
        <v>128571.54869311897</v>
      </c>
      <c r="I697" s="17">
        <f t="shared" si="30"/>
        <v>0.63161159224209307</v>
      </c>
      <c r="J697">
        <v>45.15</v>
      </c>
    </row>
    <row r="698" spans="1:10" x14ac:dyDescent="0.25">
      <c r="A698" t="s">
        <v>37</v>
      </c>
      <c r="B698" t="s">
        <v>93</v>
      </c>
      <c r="C698" t="s">
        <v>9</v>
      </c>
      <c r="D698">
        <v>7.98</v>
      </c>
      <c r="E698" s="1">
        <v>2511807</v>
      </c>
      <c r="F698" s="1">
        <v>200442</v>
      </c>
      <c r="G698" s="4">
        <f t="shared" si="31"/>
        <v>302508.55285936687</v>
      </c>
      <c r="H698" s="4">
        <f t="shared" si="32"/>
        <v>94466.523849136036</v>
      </c>
      <c r="I698" s="17">
        <f t="shared" si="30"/>
        <v>0.68772280004574771</v>
      </c>
      <c r="J698">
        <v>39.659999999999997</v>
      </c>
    </row>
    <row r="699" spans="1:10" x14ac:dyDescent="0.25">
      <c r="A699" t="s">
        <v>38</v>
      </c>
      <c r="B699" t="s">
        <v>93</v>
      </c>
      <c r="C699" t="s">
        <v>9</v>
      </c>
      <c r="D699">
        <v>11.44</v>
      </c>
      <c r="E699" s="1">
        <v>2296539</v>
      </c>
      <c r="F699" s="1">
        <v>262724</v>
      </c>
      <c r="G699" s="4">
        <f t="shared" si="31"/>
        <v>231061.96585781005</v>
      </c>
      <c r="H699" s="4">
        <f t="shared" si="32"/>
        <v>75321.807543880481</v>
      </c>
      <c r="I699" s="17">
        <f t="shared" si="30"/>
        <v>0.67401901362584393</v>
      </c>
      <c r="J699">
        <v>37.61</v>
      </c>
    </row>
    <row r="700" spans="1:10" x14ac:dyDescent="0.25">
      <c r="A700" t="s">
        <v>39</v>
      </c>
      <c r="B700" t="s">
        <v>93</v>
      </c>
      <c r="C700" t="s">
        <v>9</v>
      </c>
      <c r="D700">
        <v>8.4600000000000009</v>
      </c>
      <c r="E700" s="1">
        <v>2515607</v>
      </c>
      <c r="F700" s="1">
        <v>212820</v>
      </c>
      <c r="G700" s="4">
        <f t="shared" si="31"/>
        <v>253225.38975734299</v>
      </c>
      <c r="H700" s="4">
        <f t="shared" si="32"/>
        <v>72648.136853824937</v>
      </c>
      <c r="I700" s="17">
        <f t="shared" si="30"/>
        <v>0.71310879638317026</v>
      </c>
      <c r="J700">
        <v>39.770000000000003</v>
      </c>
    </row>
    <row r="701" spans="1:10" x14ac:dyDescent="0.25">
      <c r="A701" t="s">
        <v>40</v>
      </c>
      <c r="B701" t="s">
        <v>93</v>
      </c>
      <c r="C701" t="s">
        <v>9</v>
      </c>
      <c r="D701">
        <v>6.99</v>
      </c>
      <c r="E701" s="1">
        <v>2759042</v>
      </c>
      <c r="F701" s="1">
        <v>192857</v>
      </c>
      <c r="G701" s="4">
        <f t="shared" si="31"/>
        <v>224941.61692720291</v>
      </c>
      <c r="H701" s="4">
        <f t="shared" si="32"/>
        <v>65961.254132149261</v>
      </c>
      <c r="I701" s="17">
        <f t="shared" si="30"/>
        <v>0.70676278123538117</v>
      </c>
      <c r="J701">
        <v>42.84</v>
      </c>
    </row>
    <row r="702" spans="1:10" x14ac:dyDescent="0.25">
      <c r="A702" t="s">
        <v>41</v>
      </c>
      <c r="B702" t="s">
        <v>93</v>
      </c>
      <c r="C702" t="s">
        <v>9</v>
      </c>
      <c r="D702">
        <v>13.01</v>
      </c>
      <c r="E702" s="1">
        <v>2378621</v>
      </c>
      <c r="F702" s="1">
        <v>309459</v>
      </c>
      <c r="G702" s="4">
        <f t="shared" si="31"/>
        <v>202482.38507816085</v>
      </c>
      <c r="H702" s="4">
        <f t="shared" si="32"/>
        <v>34949.976494171184</v>
      </c>
      <c r="I702" s="17">
        <f t="shared" si="30"/>
        <v>0.82739250883142235</v>
      </c>
      <c r="J702">
        <v>39.409999999999997</v>
      </c>
    </row>
    <row r="703" spans="1:10" x14ac:dyDescent="0.25">
      <c r="A703" t="s">
        <v>42</v>
      </c>
      <c r="B703" t="s">
        <v>93</v>
      </c>
      <c r="C703" t="s">
        <v>9</v>
      </c>
      <c r="D703">
        <v>12.92</v>
      </c>
      <c r="E703" s="1">
        <v>2170451</v>
      </c>
      <c r="F703" s="1">
        <v>280422</v>
      </c>
      <c r="G703" s="4">
        <f t="shared" si="31"/>
        <v>277366.01552344824</v>
      </c>
      <c r="H703" s="4">
        <f t="shared" si="32"/>
        <v>68571.165720837336</v>
      </c>
      <c r="I703" s="17">
        <f t="shared" si="30"/>
        <v>0.75277733434130689</v>
      </c>
      <c r="J703">
        <v>35.85</v>
      </c>
    </row>
    <row r="704" spans="1:10" x14ac:dyDescent="0.25">
      <c r="A704" t="s">
        <v>43</v>
      </c>
      <c r="B704" t="s">
        <v>93</v>
      </c>
      <c r="C704" t="s">
        <v>9</v>
      </c>
      <c r="D704">
        <v>10.58</v>
      </c>
      <c r="E704" s="1">
        <v>2409452</v>
      </c>
      <c r="F704" s="1">
        <v>254920</v>
      </c>
      <c r="G704" s="4">
        <f t="shared" si="31"/>
        <v>279505.20465703448</v>
      </c>
      <c r="H704" s="4">
        <f t="shared" si="32"/>
        <v>64505.187968673599</v>
      </c>
      <c r="I704" s="17">
        <f t="shared" si="30"/>
        <v>0.7692165051172325</v>
      </c>
      <c r="J704">
        <v>38.68</v>
      </c>
    </row>
    <row r="705" spans="1:10" x14ac:dyDescent="0.25">
      <c r="A705" t="s">
        <v>44</v>
      </c>
      <c r="B705" t="s">
        <v>93</v>
      </c>
      <c r="C705" t="s">
        <v>9</v>
      </c>
      <c r="D705">
        <v>8.24</v>
      </c>
      <c r="E705" s="1">
        <v>2703612</v>
      </c>
      <c r="F705" s="1">
        <v>222778</v>
      </c>
      <c r="G705" s="4">
        <f t="shared" si="31"/>
        <v>262295.56139711034</v>
      </c>
      <c r="H705" s="4">
        <f t="shared" si="32"/>
        <v>63397.601083123678</v>
      </c>
      <c r="I705" s="17">
        <f t="shared" si="30"/>
        <v>0.75829708766157522</v>
      </c>
      <c r="J705">
        <v>42.21</v>
      </c>
    </row>
    <row r="706" spans="1:10" x14ac:dyDescent="0.25">
      <c r="A706" t="s">
        <v>45</v>
      </c>
      <c r="B706" t="s">
        <v>93</v>
      </c>
      <c r="C706" t="s">
        <v>9</v>
      </c>
      <c r="D706">
        <v>14.6</v>
      </c>
      <c r="E706" s="1">
        <v>2453894</v>
      </c>
      <c r="F706" s="1">
        <v>358269</v>
      </c>
      <c r="G706" s="4">
        <f t="shared" si="31"/>
        <v>234633.26841913309</v>
      </c>
      <c r="H706" s="4">
        <f t="shared" si="32"/>
        <v>26928.355488366913</v>
      </c>
      <c r="I706" s="17">
        <f t="shared" si="30"/>
        <v>0.88523215113611298</v>
      </c>
      <c r="J706">
        <v>41.08</v>
      </c>
    </row>
    <row r="707" spans="1:10" x14ac:dyDescent="0.25">
      <c r="A707" t="s">
        <v>46</v>
      </c>
      <c r="B707" t="s">
        <v>93</v>
      </c>
      <c r="C707" t="s">
        <v>9</v>
      </c>
      <c r="D707">
        <v>13.3</v>
      </c>
      <c r="E707" s="1">
        <v>2366325</v>
      </c>
      <c r="F707" s="1">
        <v>314721</v>
      </c>
      <c r="G707" s="4">
        <f t="shared" si="31"/>
        <v>321178.28052573989</v>
      </c>
      <c r="H707" s="4">
        <f t="shared" si="32"/>
        <v>76271.148040699336</v>
      </c>
      <c r="I707" s="17">
        <f t="shared" ref="I707:I770" si="33">(G707-H707)/G707</f>
        <v>0.76252706778350532</v>
      </c>
      <c r="J707">
        <v>38.950000000000003</v>
      </c>
    </row>
    <row r="708" spans="1:10" x14ac:dyDescent="0.25">
      <c r="A708" t="s">
        <v>47</v>
      </c>
      <c r="B708" t="s">
        <v>93</v>
      </c>
      <c r="C708" t="s">
        <v>9</v>
      </c>
      <c r="D708">
        <v>13.73</v>
      </c>
      <c r="E708" s="1">
        <v>2582126</v>
      </c>
      <c r="F708" s="1">
        <v>354526</v>
      </c>
      <c r="G708" s="4">
        <f t="shared" ref="G708:G771" si="34">0.7*F707+0.3*G707</f>
        <v>316658.18415772193</v>
      </c>
      <c r="H708" s="4">
        <f t="shared" si="32"/>
        <v>75031.38955152627</v>
      </c>
      <c r="I708" s="17">
        <f t="shared" si="33"/>
        <v>0.76305242275325358</v>
      </c>
      <c r="J708">
        <v>42.62</v>
      </c>
    </row>
    <row r="709" spans="1:10" x14ac:dyDescent="0.25">
      <c r="A709" t="s">
        <v>48</v>
      </c>
      <c r="B709" t="s">
        <v>93</v>
      </c>
      <c r="C709" t="s">
        <v>9</v>
      </c>
      <c r="D709">
        <v>8.73</v>
      </c>
      <c r="E709" s="1">
        <v>2828192</v>
      </c>
      <c r="F709" s="1">
        <v>246901</v>
      </c>
      <c r="G709" s="4">
        <f t="shared" si="34"/>
        <v>343165.65524731658</v>
      </c>
      <c r="H709" s="4">
        <f t="shared" si="32"/>
        <v>74747.26766910158</v>
      </c>
      <c r="I709" s="17">
        <f t="shared" si="33"/>
        <v>0.7821831336377999</v>
      </c>
      <c r="J709">
        <v>44.04</v>
      </c>
    </row>
    <row r="710" spans="1:10" x14ac:dyDescent="0.25">
      <c r="A710" t="s">
        <v>49</v>
      </c>
      <c r="B710" t="s">
        <v>93</v>
      </c>
      <c r="C710" t="s">
        <v>9</v>
      </c>
      <c r="D710">
        <v>12.78</v>
      </c>
      <c r="E710" s="1">
        <v>2495186</v>
      </c>
      <c r="F710" s="1">
        <v>318885</v>
      </c>
      <c r="G710" s="4">
        <f t="shared" si="34"/>
        <v>275780.39657419495</v>
      </c>
      <c r="H710" s="4">
        <f t="shared" ref="H710:H773" si="35">SQRT(SUMXMY2(F707:F709,G707:G709)/3)</f>
        <v>59840.208885379347</v>
      </c>
      <c r="I710" s="17">
        <f t="shared" si="33"/>
        <v>0.7830150016871118</v>
      </c>
      <c r="J710">
        <v>40.57</v>
      </c>
    </row>
    <row r="711" spans="1:10" x14ac:dyDescent="0.25">
      <c r="A711" t="s">
        <v>50</v>
      </c>
      <c r="B711" t="s">
        <v>93</v>
      </c>
      <c r="C711" t="s">
        <v>9</v>
      </c>
      <c r="D711">
        <v>12.09</v>
      </c>
      <c r="E711" s="1">
        <v>2423742</v>
      </c>
      <c r="F711" s="1">
        <v>293030</v>
      </c>
      <c r="G711" s="4">
        <f t="shared" si="34"/>
        <v>305953.61897225847</v>
      </c>
      <c r="H711" s="4">
        <f t="shared" si="35"/>
        <v>64701.525389141912</v>
      </c>
      <c r="I711" s="17">
        <f t="shared" si="33"/>
        <v>0.78852505289369179</v>
      </c>
      <c r="J711">
        <v>39.020000000000003</v>
      </c>
    </row>
    <row r="712" spans="1:10" x14ac:dyDescent="0.25">
      <c r="A712" t="s">
        <v>51</v>
      </c>
      <c r="B712" t="s">
        <v>93</v>
      </c>
      <c r="C712" t="s">
        <v>9</v>
      </c>
      <c r="D712">
        <v>13.67</v>
      </c>
      <c r="E712" s="1">
        <v>2549315</v>
      </c>
      <c r="F712" s="1">
        <v>348491</v>
      </c>
      <c r="G712" s="4">
        <f t="shared" si="34"/>
        <v>296907.08569167752</v>
      </c>
      <c r="H712" s="4">
        <f t="shared" si="35"/>
        <v>61351.203774445908</v>
      </c>
      <c r="I712" s="17">
        <f t="shared" si="33"/>
        <v>0.79336564625420913</v>
      </c>
      <c r="J712">
        <v>41.71</v>
      </c>
    </row>
    <row r="713" spans="1:10" x14ac:dyDescent="0.25">
      <c r="A713" t="s">
        <v>52</v>
      </c>
      <c r="B713" t="s">
        <v>93</v>
      </c>
      <c r="C713" t="s">
        <v>9</v>
      </c>
      <c r="D713">
        <v>11.32</v>
      </c>
      <c r="E713" s="1">
        <v>2778624</v>
      </c>
      <c r="F713" s="1">
        <v>314540</v>
      </c>
      <c r="G713" s="4">
        <f t="shared" si="34"/>
        <v>333015.82570750325</v>
      </c>
      <c r="H713" s="4">
        <f t="shared" si="35"/>
        <v>39521.837757558787</v>
      </c>
      <c r="I713" s="17">
        <f t="shared" si="33"/>
        <v>0.88132144268641488</v>
      </c>
      <c r="J713">
        <v>44.17</v>
      </c>
    </row>
    <row r="714" spans="1:10" x14ac:dyDescent="0.25">
      <c r="A714" t="s">
        <v>53</v>
      </c>
      <c r="B714" t="s">
        <v>93</v>
      </c>
      <c r="C714" t="s">
        <v>9</v>
      </c>
      <c r="D714">
        <v>20.190000000000001</v>
      </c>
      <c r="E714" s="1">
        <v>2244333</v>
      </c>
      <c r="F714" s="1">
        <v>453131</v>
      </c>
      <c r="G714" s="4">
        <f t="shared" si="34"/>
        <v>320082.74771225097</v>
      </c>
      <c r="H714" s="4">
        <f t="shared" si="35"/>
        <v>32502.698750937143</v>
      </c>
      <c r="I714" s="17">
        <f t="shared" si="33"/>
        <v>0.89845532449578791</v>
      </c>
      <c r="J714">
        <v>39.56</v>
      </c>
    </row>
    <row r="715" spans="1:10" x14ac:dyDescent="0.25">
      <c r="A715" t="s">
        <v>54</v>
      </c>
      <c r="B715" t="s">
        <v>93</v>
      </c>
      <c r="C715" t="s">
        <v>9</v>
      </c>
      <c r="D715">
        <v>19.27</v>
      </c>
      <c r="E715" s="1">
        <v>2477621</v>
      </c>
      <c r="F715" s="1">
        <v>477438</v>
      </c>
      <c r="G715" s="4">
        <f t="shared" si="34"/>
        <v>413216.52431367524</v>
      </c>
      <c r="H715" s="4">
        <f t="shared" si="35"/>
        <v>83074.452125321302</v>
      </c>
      <c r="I715" s="17">
        <f t="shared" si="33"/>
        <v>0.7989566069186067</v>
      </c>
      <c r="J715">
        <v>43.08</v>
      </c>
    </row>
    <row r="716" spans="1:10" x14ac:dyDescent="0.25">
      <c r="A716" t="s">
        <v>55</v>
      </c>
      <c r="B716" t="s">
        <v>93</v>
      </c>
      <c r="C716" t="s">
        <v>9</v>
      </c>
      <c r="D716">
        <v>14.73</v>
      </c>
      <c r="E716" s="1">
        <v>2415724</v>
      </c>
      <c r="F716" s="1">
        <v>355836</v>
      </c>
      <c r="G716" s="4">
        <f t="shared" si="34"/>
        <v>458171.55729410256</v>
      </c>
      <c r="H716" s="4">
        <f t="shared" si="35"/>
        <v>85960.43956713994</v>
      </c>
      <c r="I716" s="17">
        <f t="shared" si="33"/>
        <v>0.81238372788828195</v>
      </c>
      <c r="J716">
        <v>39.69</v>
      </c>
    </row>
    <row r="717" spans="1:10" x14ac:dyDescent="0.25">
      <c r="A717" t="s">
        <v>57</v>
      </c>
      <c r="B717" t="s">
        <v>93</v>
      </c>
      <c r="C717" t="s">
        <v>9</v>
      </c>
      <c r="D717">
        <v>22.19</v>
      </c>
      <c r="E717" s="1">
        <v>2373488</v>
      </c>
      <c r="F717" s="1">
        <v>526677</v>
      </c>
      <c r="G717" s="4">
        <f t="shared" si="34"/>
        <v>386536.66718823079</v>
      </c>
      <c r="H717" s="4">
        <f t="shared" si="35"/>
        <v>103760.62461719001</v>
      </c>
      <c r="I717" s="17">
        <f t="shared" si="33"/>
        <v>0.73156330711916151</v>
      </c>
      <c r="J717">
        <v>42.56</v>
      </c>
    </row>
    <row r="718" spans="1:10" x14ac:dyDescent="0.25">
      <c r="A718" t="s">
        <v>58</v>
      </c>
      <c r="B718" t="s">
        <v>93</v>
      </c>
      <c r="C718" t="s">
        <v>9</v>
      </c>
      <c r="D718">
        <v>21.23</v>
      </c>
      <c r="E718" s="1">
        <v>2163397</v>
      </c>
      <c r="F718" s="1">
        <v>459289</v>
      </c>
      <c r="G718" s="4">
        <f t="shared" si="34"/>
        <v>484634.9001564692</v>
      </c>
      <c r="H718" s="4">
        <f t="shared" si="35"/>
        <v>106827.39521710898</v>
      </c>
      <c r="I718" s="17">
        <f t="shared" si="33"/>
        <v>0.77957139450209068</v>
      </c>
      <c r="J718">
        <v>38.25</v>
      </c>
    </row>
    <row r="719" spans="1:10" x14ac:dyDescent="0.25">
      <c r="A719" t="s">
        <v>59</v>
      </c>
      <c r="B719" t="s">
        <v>93</v>
      </c>
      <c r="C719" t="s">
        <v>9</v>
      </c>
      <c r="D719">
        <v>16</v>
      </c>
      <c r="E719" s="1">
        <v>2361004</v>
      </c>
      <c r="F719" s="1">
        <v>377761</v>
      </c>
      <c r="G719" s="4">
        <f t="shared" si="34"/>
        <v>466892.77004694077</v>
      </c>
      <c r="H719" s="4">
        <f t="shared" si="35"/>
        <v>101249.35196834544</v>
      </c>
      <c r="I719" s="17">
        <f t="shared" si="33"/>
        <v>0.78314217211338266</v>
      </c>
      <c r="J719">
        <v>39.06</v>
      </c>
    </row>
    <row r="720" spans="1:10" x14ac:dyDescent="0.25">
      <c r="A720" t="s">
        <v>61</v>
      </c>
      <c r="B720" t="s">
        <v>93</v>
      </c>
      <c r="C720" t="s">
        <v>9</v>
      </c>
      <c r="D720">
        <v>20.87</v>
      </c>
      <c r="E720" s="1">
        <v>2309058</v>
      </c>
      <c r="F720" s="1">
        <v>481900</v>
      </c>
      <c r="G720" s="4">
        <f t="shared" si="34"/>
        <v>404500.53101408225</v>
      </c>
      <c r="H720" s="4">
        <f t="shared" si="35"/>
        <v>96998.625363173531</v>
      </c>
      <c r="I720" s="17">
        <f t="shared" si="33"/>
        <v>0.7602014881908854</v>
      </c>
      <c r="J720">
        <v>40.39</v>
      </c>
    </row>
    <row r="721" spans="1:10" x14ac:dyDescent="0.25">
      <c r="A721" t="s">
        <v>62</v>
      </c>
      <c r="B721" t="s">
        <v>93</v>
      </c>
      <c r="C721" t="s">
        <v>9</v>
      </c>
      <c r="D721">
        <v>18.97</v>
      </c>
      <c r="E721" s="1">
        <v>2049617</v>
      </c>
      <c r="F721" s="1">
        <v>388812</v>
      </c>
      <c r="G721" s="4">
        <f t="shared" si="34"/>
        <v>458680.15930422465</v>
      </c>
      <c r="H721" s="4">
        <f t="shared" si="35"/>
        <v>69707.878286805993</v>
      </c>
      <c r="I721" s="17">
        <f t="shared" si="33"/>
        <v>0.84802508485968442</v>
      </c>
      <c r="J721">
        <v>34.94</v>
      </c>
    </row>
    <row r="722" spans="1:10" x14ac:dyDescent="0.25">
      <c r="A722" t="s">
        <v>63</v>
      </c>
      <c r="B722" t="s">
        <v>93</v>
      </c>
      <c r="C722" t="s">
        <v>9</v>
      </c>
      <c r="D722">
        <v>12.16</v>
      </c>
      <c r="E722" s="1">
        <v>2455781</v>
      </c>
      <c r="F722" s="1">
        <v>298623</v>
      </c>
      <c r="G722" s="4">
        <f t="shared" si="34"/>
        <v>409772.44779126736</v>
      </c>
      <c r="H722" s="4">
        <f t="shared" si="35"/>
        <v>79197.453485078018</v>
      </c>
      <c r="I722" s="17">
        <f t="shared" si="33"/>
        <v>0.80672821242139703</v>
      </c>
      <c r="J722">
        <v>38.54</v>
      </c>
    </row>
    <row r="723" spans="1:10" x14ac:dyDescent="0.25">
      <c r="A723" t="s">
        <v>64</v>
      </c>
      <c r="B723" t="s">
        <v>93</v>
      </c>
      <c r="C723" t="s">
        <v>9</v>
      </c>
      <c r="D723">
        <v>9.86</v>
      </c>
      <c r="E723" s="1">
        <v>2398006</v>
      </c>
      <c r="F723" s="1">
        <v>236443</v>
      </c>
      <c r="G723" s="4">
        <f t="shared" si="34"/>
        <v>331967.83433738019</v>
      </c>
      <c r="H723" s="4">
        <f t="shared" si="35"/>
        <v>87989.463816539283</v>
      </c>
      <c r="I723" s="17">
        <f t="shared" si="33"/>
        <v>0.73494581487941624</v>
      </c>
      <c r="J723">
        <v>36.6</v>
      </c>
    </row>
    <row r="724" spans="1:10" x14ac:dyDescent="0.25">
      <c r="A724" t="s">
        <v>65</v>
      </c>
      <c r="B724" t="s">
        <v>93</v>
      </c>
      <c r="C724" t="s">
        <v>9</v>
      </c>
      <c r="D724">
        <v>16.670000000000002</v>
      </c>
      <c r="E724" s="1">
        <v>2276081</v>
      </c>
      <c r="F724" s="1">
        <v>379423</v>
      </c>
      <c r="G724" s="4">
        <f t="shared" si="34"/>
        <v>265100.450301214</v>
      </c>
      <c r="H724" s="4">
        <f t="shared" si="35"/>
        <v>93738.560909315071</v>
      </c>
      <c r="I724" s="17">
        <f t="shared" si="33"/>
        <v>0.64640361492103504</v>
      </c>
      <c r="J724">
        <v>37.5</v>
      </c>
    </row>
    <row r="725" spans="1:10" x14ac:dyDescent="0.25">
      <c r="A725" t="s">
        <v>66</v>
      </c>
      <c r="B725" t="s">
        <v>93</v>
      </c>
      <c r="C725" t="s">
        <v>9</v>
      </c>
      <c r="D725">
        <v>18.989999999999998</v>
      </c>
      <c r="E725" s="1">
        <v>2103975</v>
      </c>
      <c r="F725" s="1">
        <v>399545</v>
      </c>
      <c r="G725" s="4">
        <f t="shared" si="34"/>
        <v>345126.23509036418</v>
      </c>
      <c r="H725" s="4">
        <f t="shared" si="35"/>
        <v>107313.93057927287</v>
      </c>
      <c r="I725" s="17">
        <f t="shared" si="33"/>
        <v>0.68905890173439022</v>
      </c>
      <c r="J725">
        <v>35.590000000000003</v>
      </c>
    </row>
    <row r="726" spans="1:10" x14ac:dyDescent="0.25">
      <c r="A726" t="s">
        <v>67</v>
      </c>
      <c r="B726" t="s">
        <v>93</v>
      </c>
      <c r="C726" t="s">
        <v>9</v>
      </c>
      <c r="D726">
        <v>6.19</v>
      </c>
      <c r="E726" s="1">
        <v>2061655</v>
      </c>
      <c r="F726" s="1">
        <v>127616</v>
      </c>
      <c r="G726" s="4">
        <f t="shared" si="34"/>
        <v>383219.37052710925</v>
      </c>
      <c r="H726" s="4">
        <f t="shared" si="35"/>
        <v>91571.540919482795</v>
      </c>
      <c r="I726" s="17">
        <f t="shared" si="33"/>
        <v>0.76104667988591412</v>
      </c>
      <c r="J726">
        <v>30.05</v>
      </c>
    </row>
    <row r="727" spans="1:10" x14ac:dyDescent="0.25">
      <c r="A727" t="s">
        <v>69</v>
      </c>
      <c r="B727" t="s">
        <v>93</v>
      </c>
      <c r="C727" t="s">
        <v>9</v>
      </c>
      <c r="D727">
        <v>20.350000000000001</v>
      </c>
      <c r="E727" s="1">
        <v>2250612</v>
      </c>
      <c r="F727" s="1">
        <v>458000</v>
      </c>
      <c r="G727" s="4">
        <f t="shared" si="34"/>
        <v>204297.01115813275</v>
      </c>
      <c r="H727" s="4">
        <f t="shared" si="35"/>
        <v>164685.6909071948</v>
      </c>
      <c r="I727" s="17">
        <f t="shared" si="33"/>
        <v>0.19389084561926095</v>
      </c>
      <c r="J727">
        <v>38.479999999999997</v>
      </c>
    </row>
    <row r="728" spans="1:10" x14ac:dyDescent="0.25">
      <c r="A728" t="s">
        <v>70</v>
      </c>
      <c r="B728" t="s">
        <v>93</v>
      </c>
      <c r="C728" t="s">
        <v>9</v>
      </c>
      <c r="D728">
        <v>13.41</v>
      </c>
      <c r="E728" s="1">
        <v>2016760</v>
      </c>
      <c r="F728" s="1">
        <v>270448</v>
      </c>
      <c r="G728" s="4">
        <f t="shared" si="34"/>
        <v>381889.10334743984</v>
      </c>
      <c r="H728" s="4">
        <f t="shared" si="35"/>
        <v>210285.27571405272</v>
      </c>
      <c r="I728" s="17">
        <f t="shared" si="33"/>
        <v>0.44935512987722837</v>
      </c>
      <c r="J728">
        <v>31.66</v>
      </c>
    </row>
    <row r="729" spans="1:10" x14ac:dyDescent="0.25">
      <c r="A729" t="s">
        <v>71</v>
      </c>
      <c r="B729" t="s">
        <v>93</v>
      </c>
      <c r="C729" t="s">
        <v>9</v>
      </c>
      <c r="D729">
        <v>9.33</v>
      </c>
      <c r="E729" s="1">
        <v>2097497</v>
      </c>
      <c r="F729" s="1">
        <v>195696</v>
      </c>
      <c r="G729" s="4">
        <f t="shared" si="34"/>
        <v>303880.33100423194</v>
      </c>
      <c r="H729" s="4">
        <f t="shared" si="35"/>
        <v>217652.17595007722</v>
      </c>
      <c r="I729" s="17">
        <f t="shared" si="33"/>
        <v>0.28375694724695388</v>
      </c>
      <c r="J729">
        <v>31.38</v>
      </c>
    </row>
    <row r="730" spans="1:10" x14ac:dyDescent="0.25">
      <c r="A730" t="s">
        <v>72</v>
      </c>
      <c r="B730" t="s">
        <v>93</v>
      </c>
      <c r="C730" t="s">
        <v>9</v>
      </c>
      <c r="D730">
        <v>10.53</v>
      </c>
      <c r="E730" s="1">
        <v>2700551</v>
      </c>
      <c r="F730" s="1">
        <v>284368</v>
      </c>
      <c r="G730" s="4">
        <f t="shared" si="34"/>
        <v>228151.29930126958</v>
      </c>
      <c r="H730" s="4">
        <f t="shared" si="35"/>
        <v>171744.16587609277</v>
      </c>
      <c r="I730" s="17">
        <f t="shared" si="33"/>
        <v>0.24723564405693887</v>
      </c>
      <c r="J730">
        <v>40.86</v>
      </c>
    </row>
    <row r="731" spans="1:10" x14ac:dyDescent="0.25">
      <c r="A731" t="s">
        <v>73</v>
      </c>
      <c r="B731" t="s">
        <v>93</v>
      </c>
      <c r="C731" t="s">
        <v>9</v>
      </c>
      <c r="D731">
        <v>9.0500000000000007</v>
      </c>
      <c r="E731" s="1">
        <v>2367082</v>
      </c>
      <c r="F731" s="1">
        <v>214221</v>
      </c>
      <c r="G731" s="4">
        <f t="shared" si="34"/>
        <v>267502.98979038082</v>
      </c>
      <c r="H731" s="4">
        <f t="shared" si="35"/>
        <v>95364.714696751835</v>
      </c>
      <c r="I731" s="17">
        <f t="shared" si="33"/>
        <v>0.64350037817715233</v>
      </c>
      <c r="J731">
        <v>35.159999999999997</v>
      </c>
    </row>
    <row r="732" spans="1:10" x14ac:dyDescent="0.25">
      <c r="A732" t="s">
        <v>74</v>
      </c>
      <c r="B732" t="s">
        <v>93</v>
      </c>
      <c r="C732" t="s">
        <v>9</v>
      </c>
      <c r="D732">
        <v>6.67</v>
      </c>
      <c r="E732" s="1">
        <v>2264323</v>
      </c>
      <c r="F732" s="1">
        <v>151030</v>
      </c>
      <c r="G732" s="4">
        <f t="shared" si="34"/>
        <v>230205.59693711423</v>
      </c>
      <c r="H732" s="4">
        <f t="shared" si="35"/>
        <v>76818.264643043716</v>
      </c>
      <c r="I732" s="17">
        <f t="shared" si="33"/>
        <v>0.66630583415385713</v>
      </c>
      <c r="J732">
        <v>32.71</v>
      </c>
    </row>
    <row r="733" spans="1:10" x14ac:dyDescent="0.25">
      <c r="A733" t="s">
        <v>75</v>
      </c>
      <c r="B733" t="s">
        <v>93</v>
      </c>
      <c r="C733" t="s">
        <v>9</v>
      </c>
      <c r="D733">
        <v>14.98</v>
      </c>
      <c r="E733" s="1">
        <v>2295211</v>
      </c>
      <c r="F733" s="1">
        <v>343823</v>
      </c>
      <c r="G733" s="4">
        <f t="shared" si="34"/>
        <v>174782.67908113427</v>
      </c>
      <c r="H733" s="4">
        <f t="shared" si="35"/>
        <v>63948.059714691517</v>
      </c>
      <c r="I733" s="17">
        <f t="shared" si="33"/>
        <v>0.6341281638954237</v>
      </c>
      <c r="J733">
        <v>36.32</v>
      </c>
    </row>
    <row r="734" spans="1:10" x14ac:dyDescent="0.25">
      <c r="A734" t="s">
        <v>76</v>
      </c>
      <c r="B734" t="s">
        <v>93</v>
      </c>
      <c r="C734" t="s">
        <v>9</v>
      </c>
      <c r="D734">
        <v>11.71</v>
      </c>
      <c r="E734" s="1">
        <v>2653998</v>
      </c>
      <c r="F734" s="1">
        <v>310783</v>
      </c>
      <c r="G734" s="4">
        <f t="shared" si="34"/>
        <v>293110.90372434026</v>
      </c>
      <c r="H734" s="4">
        <f t="shared" si="35"/>
        <v>112074.93874297342</v>
      </c>
      <c r="I734" s="17">
        <f t="shared" si="33"/>
        <v>0.61763640547341869</v>
      </c>
      <c r="J734">
        <v>40.36</v>
      </c>
    </row>
    <row r="735" spans="1:10" x14ac:dyDescent="0.25">
      <c r="A735" t="s">
        <v>77</v>
      </c>
      <c r="B735" t="s">
        <v>93</v>
      </c>
      <c r="C735" t="s">
        <v>9</v>
      </c>
      <c r="D735">
        <v>21.34</v>
      </c>
      <c r="E735" s="1">
        <v>2315040</v>
      </c>
      <c r="F735" s="1">
        <v>494030</v>
      </c>
      <c r="G735" s="4">
        <f t="shared" si="34"/>
        <v>305481.37111730204</v>
      </c>
      <c r="H735" s="4">
        <f t="shared" si="35"/>
        <v>108252.34136571469</v>
      </c>
      <c r="I735" s="17">
        <f t="shared" si="33"/>
        <v>0.64563357506947039</v>
      </c>
      <c r="J735">
        <v>39.44</v>
      </c>
    </row>
    <row r="736" spans="1:10" x14ac:dyDescent="0.25">
      <c r="A736" t="s">
        <v>78</v>
      </c>
      <c r="B736" t="s">
        <v>93</v>
      </c>
      <c r="C736" t="s">
        <v>9</v>
      </c>
      <c r="D736">
        <v>21.92</v>
      </c>
      <c r="E736" s="1">
        <v>2120544</v>
      </c>
      <c r="F736" s="1">
        <v>464823</v>
      </c>
      <c r="G736" s="4">
        <f t="shared" si="34"/>
        <v>437465.41133519064</v>
      </c>
      <c r="H736" s="4">
        <f t="shared" si="35"/>
        <v>146557.74577127688</v>
      </c>
      <c r="I736" s="17">
        <f t="shared" si="33"/>
        <v>0.6649843805388701</v>
      </c>
      <c r="J736">
        <v>36.32</v>
      </c>
    </row>
    <row r="737" spans="1:10" x14ac:dyDescent="0.25">
      <c r="A737" t="s">
        <v>79</v>
      </c>
      <c r="B737" t="s">
        <v>93</v>
      </c>
      <c r="C737" t="s">
        <v>9</v>
      </c>
      <c r="D737">
        <v>22.71</v>
      </c>
      <c r="E737" s="1">
        <v>2331779</v>
      </c>
      <c r="F737" s="1">
        <v>529547</v>
      </c>
      <c r="G737" s="4">
        <f t="shared" si="34"/>
        <v>456615.72340055718</v>
      </c>
      <c r="H737" s="4">
        <f t="shared" si="35"/>
        <v>110470.69912858409</v>
      </c>
      <c r="I737" s="17">
        <f t="shared" si="33"/>
        <v>0.75806637076385597</v>
      </c>
      <c r="J737">
        <v>40.270000000000003</v>
      </c>
    </row>
    <row r="738" spans="1:10" x14ac:dyDescent="0.25">
      <c r="A738" t="s">
        <v>80</v>
      </c>
      <c r="B738" t="s">
        <v>93</v>
      </c>
      <c r="C738" t="s">
        <v>9</v>
      </c>
      <c r="D738">
        <v>11.54</v>
      </c>
      <c r="E738" s="1">
        <v>2886120</v>
      </c>
      <c r="F738" s="1">
        <v>333058</v>
      </c>
      <c r="G738" s="4">
        <f t="shared" si="34"/>
        <v>507667.61702016712</v>
      </c>
      <c r="H738" s="4">
        <f t="shared" si="35"/>
        <v>117782.27684662168</v>
      </c>
      <c r="I738" s="17">
        <f t="shared" si="33"/>
        <v>0.76799332299751</v>
      </c>
      <c r="J738">
        <v>43.45</v>
      </c>
    </row>
    <row r="739" spans="1:10" x14ac:dyDescent="0.25">
      <c r="A739" t="s">
        <v>81</v>
      </c>
      <c r="B739" t="s">
        <v>93</v>
      </c>
      <c r="C739" t="s">
        <v>9</v>
      </c>
      <c r="D739">
        <v>16.190000000000001</v>
      </c>
      <c r="E739" s="1">
        <v>2251958</v>
      </c>
      <c r="F739" s="1">
        <v>364592</v>
      </c>
      <c r="G739" s="4">
        <f t="shared" si="34"/>
        <v>385440.88510605012</v>
      </c>
      <c r="H739" s="4">
        <f t="shared" si="35"/>
        <v>110387.08728818297</v>
      </c>
      <c r="I739" s="17">
        <f t="shared" si="33"/>
        <v>0.71360825601619526</v>
      </c>
      <c r="J739">
        <v>35.71</v>
      </c>
    </row>
    <row r="740" spans="1:10" x14ac:dyDescent="0.25">
      <c r="A740" t="s">
        <v>82</v>
      </c>
      <c r="B740" t="s">
        <v>93</v>
      </c>
      <c r="C740" t="s">
        <v>9</v>
      </c>
      <c r="D740">
        <v>9.85</v>
      </c>
      <c r="E740" s="1">
        <v>2228509</v>
      </c>
      <c r="F740" s="1">
        <v>219508</v>
      </c>
      <c r="G740" s="4">
        <f t="shared" si="34"/>
        <v>370846.66553181503</v>
      </c>
      <c r="H740" s="4">
        <f t="shared" si="35"/>
        <v>109912.33699714081</v>
      </c>
      <c r="I740" s="17">
        <f t="shared" si="33"/>
        <v>0.70361783666162858</v>
      </c>
      <c r="J740">
        <v>32.799999999999997</v>
      </c>
    </row>
    <row r="741" spans="1:10" x14ac:dyDescent="0.25">
      <c r="A741" t="s">
        <v>83</v>
      </c>
      <c r="B741" t="s">
        <v>93</v>
      </c>
      <c r="C741" t="s">
        <v>9</v>
      </c>
      <c r="D741">
        <v>21.62</v>
      </c>
      <c r="E741" s="1">
        <v>2265948</v>
      </c>
      <c r="F741" s="1">
        <v>489898</v>
      </c>
      <c r="G741" s="4">
        <f t="shared" si="34"/>
        <v>264909.59965954447</v>
      </c>
      <c r="H741" s="4">
        <f t="shared" si="35"/>
        <v>133948.48020917756</v>
      </c>
      <c r="I741" s="17">
        <f t="shared" si="33"/>
        <v>0.49436154680190914</v>
      </c>
      <c r="J741">
        <v>38.28</v>
      </c>
    </row>
    <row r="742" spans="1:10" x14ac:dyDescent="0.25">
      <c r="A742" t="s">
        <v>84</v>
      </c>
      <c r="B742" t="s">
        <v>93</v>
      </c>
      <c r="C742" t="s">
        <v>9</v>
      </c>
      <c r="D742">
        <v>12.94</v>
      </c>
      <c r="E742" s="1">
        <v>2522748</v>
      </c>
      <c r="F742" s="1">
        <v>326444</v>
      </c>
      <c r="G742" s="4">
        <f t="shared" si="34"/>
        <v>422401.47989786335</v>
      </c>
      <c r="H742" s="4">
        <f t="shared" si="35"/>
        <v>157011.51548307209</v>
      </c>
      <c r="I742" s="17">
        <f t="shared" si="33"/>
        <v>0.62828843421420433</v>
      </c>
      <c r="J742">
        <v>38.29</v>
      </c>
    </row>
    <row r="743" spans="1:10" x14ac:dyDescent="0.25">
      <c r="A743" t="s">
        <v>7</v>
      </c>
      <c r="B743" t="s">
        <v>94</v>
      </c>
      <c r="C743" t="s">
        <v>9</v>
      </c>
      <c r="D743">
        <v>13.02</v>
      </c>
      <c r="E743" s="1">
        <v>5758593</v>
      </c>
      <c r="F743" s="1">
        <v>749769</v>
      </c>
      <c r="G743" s="4">
        <f t="shared" si="34"/>
        <v>355231.24396935897</v>
      </c>
      <c r="H743" s="4">
        <f t="shared" si="35"/>
        <v>166063.2509227097</v>
      </c>
      <c r="I743" s="17">
        <f t="shared" si="33"/>
        <v>0.53252070660475537</v>
      </c>
      <c r="J743">
        <v>37.369999999999997</v>
      </c>
    </row>
    <row r="744" spans="1:10" x14ac:dyDescent="0.25">
      <c r="A744" t="s">
        <v>10</v>
      </c>
      <c r="B744" t="s">
        <v>94</v>
      </c>
      <c r="C744" t="s">
        <v>9</v>
      </c>
      <c r="D744">
        <v>9.83</v>
      </c>
      <c r="E744" s="1">
        <v>7053871</v>
      </c>
      <c r="F744" s="1">
        <v>693396</v>
      </c>
      <c r="G744" s="4">
        <f t="shared" si="34"/>
        <v>631407.67319080757</v>
      </c>
      <c r="H744" s="4">
        <f t="shared" si="35"/>
        <v>268009.73811275314</v>
      </c>
      <c r="I744" s="17">
        <f t="shared" si="33"/>
        <v>0.57553614013214216</v>
      </c>
      <c r="J744">
        <v>44.06</v>
      </c>
    </row>
    <row r="745" spans="1:10" x14ac:dyDescent="0.25">
      <c r="A745" t="s">
        <v>11</v>
      </c>
      <c r="B745" t="s">
        <v>94</v>
      </c>
      <c r="C745" t="s">
        <v>9</v>
      </c>
      <c r="D745">
        <v>6.52</v>
      </c>
      <c r="E745" s="1">
        <v>6651470</v>
      </c>
      <c r="F745" s="1">
        <v>433676</v>
      </c>
      <c r="G745" s="4">
        <f t="shared" si="34"/>
        <v>674799.50195724226</v>
      </c>
      <c r="H745" s="4">
        <f t="shared" si="35"/>
        <v>237143.01700496103</v>
      </c>
      <c r="I745" s="17">
        <f t="shared" si="33"/>
        <v>0.64857262591757625</v>
      </c>
      <c r="J745">
        <v>39.979999999999997</v>
      </c>
    </row>
    <row r="746" spans="1:10" x14ac:dyDescent="0.25">
      <c r="A746" t="s">
        <v>12</v>
      </c>
      <c r="B746" t="s">
        <v>94</v>
      </c>
      <c r="C746" t="s">
        <v>9</v>
      </c>
      <c r="D746">
        <v>5.44</v>
      </c>
      <c r="E746" s="1">
        <v>7966546</v>
      </c>
      <c r="F746" s="1">
        <v>433380</v>
      </c>
      <c r="G746" s="4">
        <f t="shared" si="34"/>
        <v>506013.05058717262</v>
      </c>
      <c r="H746" s="4">
        <f t="shared" si="35"/>
        <v>269346.82523370069</v>
      </c>
      <c r="I746" s="17">
        <f t="shared" si="33"/>
        <v>0.46770774998559178</v>
      </c>
      <c r="J746">
        <v>47.23</v>
      </c>
    </row>
    <row r="747" spans="1:10" x14ac:dyDescent="0.25">
      <c r="A747" t="s">
        <v>13</v>
      </c>
      <c r="B747" t="s">
        <v>94</v>
      </c>
      <c r="C747" t="s">
        <v>9</v>
      </c>
      <c r="D747">
        <v>10.91</v>
      </c>
      <c r="E747" s="1">
        <v>6013866</v>
      </c>
      <c r="F747" s="1">
        <v>656113</v>
      </c>
      <c r="G747" s="4">
        <f t="shared" si="34"/>
        <v>455169.91517615179</v>
      </c>
      <c r="H747" s="4">
        <f t="shared" si="35"/>
        <v>149731.5997536105</v>
      </c>
      <c r="I747" s="17">
        <f t="shared" si="33"/>
        <v>0.67104240688740591</v>
      </c>
      <c r="J747">
        <v>37.76</v>
      </c>
    </row>
    <row r="748" spans="1:10" x14ac:dyDescent="0.25">
      <c r="A748" t="s">
        <v>14</v>
      </c>
      <c r="B748" t="s">
        <v>94</v>
      </c>
      <c r="C748" t="s">
        <v>9</v>
      </c>
      <c r="D748">
        <v>5.09</v>
      </c>
      <c r="E748" s="1">
        <v>7251741</v>
      </c>
      <c r="F748" s="1">
        <v>369114</v>
      </c>
      <c r="G748" s="4">
        <f t="shared" si="34"/>
        <v>595830.07455284544</v>
      </c>
      <c r="H748" s="4">
        <f t="shared" si="35"/>
        <v>186005.57928213448</v>
      </c>
      <c r="I748" s="17">
        <f t="shared" si="33"/>
        <v>0.6878210966075744</v>
      </c>
      <c r="J748">
        <v>42.64</v>
      </c>
    </row>
    <row r="749" spans="1:10" x14ac:dyDescent="0.25">
      <c r="A749" t="s">
        <v>15</v>
      </c>
      <c r="B749" t="s">
        <v>94</v>
      </c>
      <c r="C749" t="s">
        <v>9</v>
      </c>
      <c r="D749">
        <v>1.85</v>
      </c>
      <c r="E749" s="1">
        <v>7150109</v>
      </c>
      <c r="F749" s="1">
        <v>132277</v>
      </c>
      <c r="G749" s="4">
        <f t="shared" si="34"/>
        <v>437128.82236585359</v>
      </c>
      <c r="H749" s="4">
        <f t="shared" si="35"/>
        <v>179864.63598752482</v>
      </c>
      <c r="I749" s="17">
        <f t="shared" si="33"/>
        <v>0.58853173987921648</v>
      </c>
      <c r="J749">
        <v>40.56</v>
      </c>
    </row>
    <row r="750" spans="1:10" x14ac:dyDescent="0.25">
      <c r="A750" t="s">
        <v>16</v>
      </c>
      <c r="B750" t="s">
        <v>94</v>
      </c>
      <c r="C750" t="s">
        <v>9</v>
      </c>
      <c r="D750">
        <v>7.49</v>
      </c>
      <c r="E750" s="1">
        <v>7692566</v>
      </c>
      <c r="F750" s="1">
        <v>576173</v>
      </c>
      <c r="G750" s="4">
        <f t="shared" si="34"/>
        <v>223732.54670975608</v>
      </c>
      <c r="H750" s="4">
        <f t="shared" si="35"/>
        <v>248135.00048626593</v>
      </c>
      <c r="I750" s="17">
        <f t="shared" si="33"/>
        <v>-0.10906975375454285</v>
      </c>
      <c r="J750">
        <v>46.19</v>
      </c>
    </row>
    <row r="751" spans="1:10" x14ac:dyDescent="0.25">
      <c r="A751" t="s">
        <v>17</v>
      </c>
      <c r="B751" t="s">
        <v>94</v>
      </c>
      <c r="C751" t="s">
        <v>9</v>
      </c>
      <c r="D751">
        <v>4.46</v>
      </c>
      <c r="E751" s="1">
        <v>6937521</v>
      </c>
      <c r="F751" s="1">
        <v>309413</v>
      </c>
      <c r="G751" s="4">
        <f t="shared" si="34"/>
        <v>470440.86401292682</v>
      </c>
      <c r="H751" s="4">
        <f t="shared" si="35"/>
        <v>299192.85039132979</v>
      </c>
      <c r="I751" s="17">
        <f t="shared" si="33"/>
        <v>0.36401602565055119</v>
      </c>
      <c r="J751">
        <v>40.25</v>
      </c>
    </row>
    <row r="752" spans="1:10" x14ac:dyDescent="0.25">
      <c r="A752" t="s">
        <v>18</v>
      </c>
      <c r="B752" t="s">
        <v>94</v>
      </c>
      <c r="C752" t="s">
        <v>9</v>
      </c>
      <c r="D752">
        <v>3.44</v>
      </c>
      <c r="E752" s="1">
        <v>7299252</v>
      </c>
      <c r="F752" s="1">
        <v>251094</v>
      </c>
      <c r="G752" s="4">
        <f t="shared" si="34"/>
        <v>357721.35920387798</v>
      </c>
      <c r="H752" s="4">
        <f t="shared" si="35"/>
        <v>284651.17817179923</v>
      </c>
      <c r="I752" s="17">
        <f t="shared" si="33"/>
        <v>0.20426563623346147</v>
      </c>
      <c r="J752">
        <v>41.8</v>
      </c>
    </row>
    <row r="753" spans="1:10" x14ac:dyDescent="0.25">
      <c r="A753" t="s">
        <v>19</v>
      </c>
      <c r="B753" t="s">
        <v>94</v>
      </c>
      <c r="C753" t="s">
        <v>9</v>
      </c>
      <c r="D753">
        <v>0.72</v>
      </c>
      <c r="E753" s="1">
        <v>7298964</v>
      </c>
      <c r="F753" s="1">
        <v>52553</v>
      </c>
      <c r="G753" s="4">
        <f t="shared" si="34"/>
        <v>283082.20776116336</v>
      </c>
      <c r="H753" s="4">
        <f t="shared" si="35"/>
        <v>232029.91174615905</v>
      </c>
      <c r="I753" s="17">
        <f t="shared" si="33"/>
        <v>0.18034441803589848</v>
      </c>
      <c r="J753">
        <v>40.56</v>
      </c>
    </row>
    <row r="754" spans="1:10" x14ac:dyDescent="0.25">
      <c r="A754" t="s">
        <v>20</v>
      </c>
      <c r="B754" t="s">
        <v>94</v>
      </c>
      <c r="C754" t="s">
        <v>9</v>
      </c>
      <c r="D754">
        <v>0.77</v>
      </c>
      <c r="E754" s="1">
        <v>7863807</v>
      </c>
      <c r="F754" s="1">
        <v>60551</v>
      </c>
      <c r="G754" s="4">
        <f t="shared" si="34"/>
        <v>121711.762328349</v>
      </c>
      <c r="H754" s="4">
        <f t="shared" si="35"/>
        <v>173630.91348254404</v>
      </c>
      <c r="I754" s="17">
        <f t="shared" si="33"/>
        <v>-0.42657463963203235</v>
      </c>
      <c r="J754">
        <v>43.62</v>
      </c>
    </row>
    <row r="755" spans="1:10" x14ac:dyDescent="0.25">
      <c r="A755" t="s">
        <v>21</v>
      </c>
      <c r="B755" t="s">
        <v>94</v>
      </c>
      <c r="C755" t="s">
        <v>9</v>
      </c>
      <c r="D755">
        <v>3.31</v>
      </c>
      <c r="E755" s="1">
        <v>7038602</v>
      </c>
      <c r="F755" s="1">
        <v>232978</v>
      </c>
      <c r="G755" s="4">
        <f t="shared" si="34"/>
        <v>78899.228698504696</v>
      </c>
      <c r="H755" s="4">
        <f t="shared" si="35"/>
        <v>150835.17296524622</v>
      </c>
      <c r="I755" s="17">
        <f t="shared" si="33"/>
        <v>-0.9117445817072336</v>
      </c>
      <c r="J755">
        <v>39.979999999999997</v>
      </c>
    </row>
    <row r="756" spans="1:10" x14ac:dyDescent="0.25">
      <c r="A756" t="s">
        <v>22</v>
      </c>
      <c r="B756" t="s">
        <v>94</v>
      </c>
      <c r="C756" t="s">
        <v>9</v>
      </c>
      <c r="D756">
        <v>2.38</v>
      </c>
      <c r="E756" s="1">
        <v>7285603</v>
      </c>
      <c r="F756" s="1">
        <v>173397</v>
      </c>
      <c r="G756" s="4">
        <f t="shared" si="34"/>
        <v>186754.3686095514</v>
      </c>
      <c r="H756" s="4">
        <f t="shared" si="35"/>
        <v>163935.57906014271</v>
      </c>
      <c r="I756" s="17">
        <f t="shared" si="33"/>
        <v>0.12218610851945359</v>
      </c>
      <c r="J756">
        <v>40.9</v>
      </c>
    </row>
    <row r="757" spans="1:10" x14ac:dyDescent="0.25">
      <c r="A757" t="s">
        <v>23</v>
      </c>
      <c r="B757" t="s">
        <v>94</v>
      </c>
      <c r="C757" t="s">
        <v>9</v>
      </c>
      <c r="D757">
        <v>0</v>
      </c>
      <c r="E757" s="1">
        <v>7138318</v>
      </c>
      <c r="F757">
        <v>0</v>
      </c>
      <c r="G757" s="4">
        <f t="shared" si="34"/>
        <v>177404.2105828654</v>
      </c>
      <c r="H757" s="4">
        <f t="shared" si="35"/>
        <v>96019.661025810608</v>
      </c>
      <c r="I757" s="17">
        <f t="shared" si="33"/>
        <v>0.45875207408924557</v>
      </c>
      <c r="J757">
        <v>39.03</v>
      </c>
    </row>
    <row r="758" spans="1:10" x14ac:dyDescent="0.25">
      <c r="A758" t="s">
        <v>24</v>
      </c>
      <c r="B758" t="s">
        <v>94</v>
      </c>
      <c r="C758" t="s">
        <v>9</v>
      </c>
      <c r="D758">
        <v>0.35</v>
      </c>
      <c r="E758" s="1">
        <v>7572661</v>
      </c>
      <c r="F758" s="1">
        <v>26504</v>
      </c>
      <c r="G758" s="4">
        <f t="shared" si="34"/>
        <v>53221.263174859618</v>
      </c>
      <c r="H758" s="4">
        <f t="shared" si="35"/>
        <v>135881.003080489</v>
      </c>
      <c r="I758" s="17">
        <f t="shared" si="33"/>
        <v>-1.5531337472026736</v>
      </c>
      <c r="J758">
        <v>41.46</v>
      </c>
    </row>
    <row r="759" spans="1:10" x14ac:dyDescent="0.25">
      <c r="A759" t="s">
        <v>25</v>
      </c>
      <c r="B759" t="s">
        <v>94</v>
      </c>
      <c r="C759" t="s">
        <v>9</v>
      </c>
      <c r="D759">
        <v>1.75</v>
      </c>
      <c r="E759" s="1">
        <v>7130551</v>
      </c>
      <c r="F759" s="1">
        <v>124785</v>
      </c>
      <c r="G759" s="4">
        <f t="shared" si="34"/>
        <v>34519.178952457885</v>
      </c>
      <c r="H759" s="4">
        <f t="shared" si="35"/>
        <v>103866.07623963946</v>
      </c>
      <c r="I759" s="17">
        <f t="shared" si="33"/>
        <v>-2.0089382016498929</v>
      </c>
      <c r="J759">
        <v>39.5</v>
      </c>
    </row>
    <row r="760" spans="1:10" x14ac:dyDescent="0.25">
      <c r="A760" t="s">
        <v>26</v>
      </c>
      <c r="B760" t="s">
        <v>94</v>
      </c>
      <c r="C760" t="s">
        <v>9</v>
      </c>
      <c r="D760">
        <v>3.67</v>
      </c>
      <c r="E760" s="1">
        <v>7415602</v>
      </c>
      <c r="F760" s="1">
        <v>272153</v>
      </c>
      <c r="G760" s="4">
        <f t="shared" si="34"/>
        <v>97705.253685737363</v>
      </c>
      <c r="H760" s="4">
        <f t="shared" si="35"/>
        <v>115951.1169034481</v>
      </c>
      <c r="I760" s="17">
        <f t="shared" si="33"/>
        <v>-0.18674393166612491</v>
      </c>
      <c r="J760">
        <v>41.81</v>
      </c>
    </row>
    <row r="761" spans="1:10" x14ac:dyDescent="0.25">
      <c r="A761" t="s">
        <v>27</v>
      </c>
      <c r="B761" t="s">
        <v>94</v>
      </c>
      <c r="C761" t="s">
        <v>9</v>
      </c>
      <c r="D761">
        <v>0.51</v>
      </c>
      <c r="E761" s="1">
        <v>6793196</v>
      </c>
      <c r="F761" s="1">
        <v>34645</v>
      </c>
      <c r="G761" s="4">
        <f t="shared" si="34"/>
        <v>219818.67610572118</v>
      </c>
      <c r="H761" s="4">
        <f t="shared" si="35"/>
        <v>114446.12530949069</v>
      </c>
      <c r="I761" s="17">
        <f t="shared" si="33"/>
        <v>0.4793612292776791</v>
      </c>
      <c r="J761">
        <v>37</v>
      </c>
    </row>
    <row r="762" spans="1:10" x14ac:dyDescent="0.25">
      <c r="A762" t="s">
        <v>28</v>
      </c>
      <c r="B762" t="s">
        <v>94</v>
      </c>
      <c r="C762" t="s">
        <v>9</v>
      </c>
      <c r="D762">
        <v>1.18</v>
      </c>
      <c r="E762" s="1">
        <v>7312124</v>
      </c>
      <c r="F762" s="1">
        <v>86283</v>
      </c>
      <c r="G762" s="4">
        <f t="shared" si="34"/>
        <v>90197.102831716358</v>
      </c>
      <c r="H762" s="4">
        <f t="shared" si="35"/>
        <v>155851.66555202287</v>
      </c>
      <c r="I762" s="17">
        <f t="shared" si="33"/>
        <v>-0.72790101521110206</v>
      </c>
      <c r="J762">
        <v>40</v>
      </c>
    </row>
    <row r="763" spans="1:10" x14ac:dyDescent="0.25">
      <c r="A763" t="s">
        <v>29</v>
      </c>
      <c r="B763" t="s">
        <v>94</v>
      </c>
      <c r="C763" t="s">
        <v>9</v>
      </c>
      <c r="D763">
        <v>8.1999999999999993</v>
      </c>
      <c r="E763" s="1">
        <v>7091669</v>
      </c>
      <c r="F763" s="1">
        <v>581517</v>
      </c>
      <c r="G763" s="4">
        <f t="shared" si="34"/>
        <v>87457.230849514905</v>
      </c>
      <c r="H763" s="4">
        <f t="shared" si="35"/>
        <v>146897.50022562119</v>
      </c>
      <c r="I763" s="17">
        <f t="shared" si="33"/>
        <v>-0.67964957040983165</v>
      </c>
      <c r="J763">
        <v>41.67</v>
      </c>
    </row>
    <row r="764" spans="1:10" x14ac:dyDescent="0.25">
      <c r="A764" t="s">
        <v>30</v>
      </c>
      <c r="B764" t="s">
        <v>94</v>
      </c>
      <c r="C764" t="s">
        <v>9</v>
      </c>
      <c r="D764">
        <v>7.36</v>
      </c>
      <c r="E764" s="1">
        <v>7312875</v>
      </c>
      <c r="F764" s="1">
        <v>538228</v>
      </c>
      <c r="G764" s="4">
        <f t="shared" si="34"/>
        <v>433299.06925485446</v>
      </c>
      <c r="H764" s="4">
        <f t="shared" si="35"/>
        <v>304630.741508751</v>
      </c>
      <c r="I764" s="17">
        <f t="shared" si="33"/>
        <v>0.2969503903328819</v>
      </c>
      <c r="J764">
        <v>42.48</v>
      </c>
    </row>
    <row r="765" spans="1:10" x14ac:dyDescent="0.25">
      <c r="A765" t="s">
        <v>31</v>
      </c>
      <c r="B765" t="s">
        <v>94</v>
      </c>
      <c r="C765" t="s">
        <v>9</v>
      </c>
      <c r="D765">
        <v>5.7</v>
      </c>
      <c r="E765" s="1">
        <v>6838769</v>
      </c>
      <c r="F765" s="1">
        <v>389810</v>
      </c>
      <c r="G765" s="4">
        <f t="shared" si="34"/>
        <v>506749.32077645633</v>
      </c>
      <c r="H765" s="4">
        <f t="shared" si="35"/>
        <v>291616.44683918147</v>
      </c>
      <c r="I765" s="17">
        <f t="shared" si="33"/>
        <v>0.42453510072325679</v>
      </c>
      <c r="J765">
        <v>38.94</v>
      </c>
    </row>
    <row r="766" spans="1:10" x14ac:dyDescent="0.25">
      <c r="A766" t="s">
        <v>32</v>
      </c>
      <c r="B766" t="s">
        <v>94</v>
      </c>
      <c r="C766" t="s">
        <v>9</v>
      </c>
      <c r="D766">
        <v>6.19</v>
      </c>
      <c r="E766" s="1">
        <v>7207751</v>
      </c>
      <c r="F766" s="1">
        <v>446160</v>
      </c>
      <c r="G766" s="4">
        <f t="shared" si="34"/>
        <v>424891.7962329369</v>
      </c>
      <c r="H766" s="4">
        <f t="shared" si="35"/>
        <v>299321.42185506265</v>
      </c>
      <c r="I766" s="17">
        <f t="shared" si="33"/>
        <v>0.29553494675861725</v>
      </c>
      <c r="J766">
        <v>41.16</v>
      </c>
    </row>
    <row r="767" spans="1:10" x14ac:dyDescent="0.25">
      <c r="A767" t="s">
        <v>33</v>
      </c>
      <c r="B767" t="s">
        <v>94</v>
      </c>
      <c r="C767" t="s">
        <v>9</v>
      </c>
      <c r="D767">
        <v>4.76</v>
      </c>
      <c r="E767" s="1">
        <v>7183570</v>
      </c>
      <c r="F767" s="1">
        <v>341938</v>
      </c>
      <c r="G767" s="4">
        <f t="shared" si="34"/>
        <v>439779.53886988107</v>
      </c>
      <c r="H767" s="4">
        <f t="shared" si="35"/>
        <v>91537.281553211636</v>
      </c>
      <c r="I767" s="17">
        <f t="shared" si="33"/>
        <v>0.79185643382036686</v>
      </c>
      <c r="J767">
        <v>40.31</v>
      </c>
    </row>
    <row r="768" spans="1:10" x14ac:dyDescent="0.25">
      <c r="A768" t="s">
        <v>34</v>
      </c>
      <c r="B768" t="s">
        <v>94</v>
      </c>
      <c r="C768" t="s">
        <v>9</v>
      </c>
      <c r="D768">
        <v>5.99</v>
      </c>
      <c r="E768" s="1">
        <v>7328725</v>
      </c>
      <c r="F768" s="1">
        <v>438991</v>
      </c>
      <c r="G768" s="4">
        <f t="shared" si="34"/>
        <v>371290.4616609643</v>
      </c>
      <c r="H768" s="4">
        <f t="shared" si="35"/>
        <v>88882.146620422252</v>
      </c>
      <c r="I768" s="17">
        <f t="shared" si="33"/>
        <v>0.76061290068479315</v>
      </c>
      <c r="J768">
        <v>41.57</v>
      </c>
    </row>
    <row r="769" spans="1:10" x14ac:dyDescent="0.25">
      <c r="A769" t="s">
        <v>35</v>
      </c>
      <c r="B769" t="s">
        <v>94</v>
      </c>
      <c r="C769" t="s">
        <v>9</v>
      </c>
      <c r="D769">
        <v>6.19</v>
      </c>
      <c r="E769" s="1">
        <v>7004467</v>
      </c>
      <c r="F769" s="1">
        <v>433577</v>
      </c>
      <c r="G769" s="4">
        <f t="shared" si="34"/>
        <v>418680.83849828923</v>
      </c>
      <c r="H769" s="4">
        <f t="shared" si="35"/>
        <v>69782.199524183845</v>
      </c>
      <c r="I769" s="17">
        <f t="shared" si="33"/>
        <v>0.8333284136563871</v>
      </c>
      <c r="J769">
        <v>39.729999999999997</v>
      </c>
    </row>
    <row r="770" spans="1:10" x14ac:dyDescent="0.25">
      <c r="A770" t="s">
        <v>36</v>
      </c>
      <c r="B770" t="s">
        <v>94</v>
      </c>
      <c r="C770" t="s">
        <v>9</v>
      </c>
      <c r="D770">
        <v>8.9</v>
      </c>
      <c r="E770" s="1">
        <v>6921262</v>
      </c>
      <c r="F770" s="1">
        <v>615992</v>
      </c>
      <c r="G770" s="4">
        <f t="shared" si="34"/>
        <v>429108.15154948673</v>
      </c>
      <c r="H770" s="4">
        <f t="shared" si="35"/>
        <v>69229.630571759131</v>
      </c>
      <c r="I770" s="17">
        <f t="shared" si="33"/>
        <v>0.83866624224738073</v>
      </c>
      <c r="J770">
        <v>40.33</v>
      </c>
    </row>
    <row r="771" spans="1:10" x14ac:dyDescent="0.25">
      <c r="A771" t="s">
        <v>37</v>
      </c>
      <c r="B771" t="s">
        <v>94</v>
      </c>
      <c r="C771" t="s">
        <v>9</v>
      </c>
      <c r="D771">
        <v>7.45</v>
      </c>
      <c r="E771" s="1">
        <v>7141579</v>
      </c>
      <c r="F771" s="1">
        <v>532048</v>
      </c>
      <c r="G771" s="4">
        <f t="shared" si="34"/>
        <v>559926.845464846</v>
      </c>
      <c r="H771" s="4">
        <f t="shared" si="35"/>
        <v>115080.88652560092</v>
      </c>
      <c r="I771" s="17">
        <f t="shared" ref="I771:I834" si="36">(G771-H771)/G771</f>
        <v>0.79447156810268338</v>
      </c>
      <c r="J771">
        <v>40.869999999999997</v>
      </c>
    </row>
    <row r="772" spans="1:10" x14ac:dyDescent="0.25">
      <c r="A772" t="s">
        <v>38</v>
      </c>
      <c r="B772" t="s">
        <v>94</v>
      </c>
      <c r="C772" t="s">
        <v>9</v>
      </c>
      <c r="D772">
        <v>7.93</v>
      </c>
      <c r="E772" s="1">
        <v>7239300</v>
      </c>
      <c r="F772" s="1">
        <v>574076</v>
      </c>
      <c r="G772" s="4">
        <f t="shared" ref="G772:G835" si="37">0.7*F771+0.3*G771</f>
        <v>540411.65363945381</v>
      </c>
      <c r="H772" s="4">
        <f t="shared" si="35"/>
        <v>109429.88388859207</v>
      </c>
      <c r="I772" s="17">
        <f t="shared" si="36"/>
        <v>0.79750643208445615</v>
      </c>
      <c r="J772">
        <v>41.55</v>
      </c>
    </row>
    <row r="773" spans="1:10" x14ac:dyDescent="0.25">
      <c r="A773" t="s">
        <v>39</v>
      </c>
      <c r="B773" t="s">
        <v>94</v>
      </c>
      <c r="C773" t="s">
        <v>9</v>
      </c>
      <c r="D773">
        <v>9.1999999999999993</v>
      </c>
      <c r="E773" s="1">
        <v>6963289</v>
      </c>
      <c r="F773" s="1">
        <v>640623</v>
      </c>
      <c r="G773" s="4">
        <f t="shared" si="37"/>
        <v>563976.69609183609</v>
      </c>
      <c r="H773" s="4">
        <f t="shared" si="35"/>
        <v>110809.28218040519</v>
      </c>
      <c r="I773" s="17">
        <f t="shared" si="36"/>
        <v>0.80352152323265247</v>
      </c>
      <c r="J773">
        <v>40.43</v>
      </c>
    </row>
    <row r="774" spans="1:10" x14ac:dyDescent="0.25">
      <c r="A774" t="s">
        <v>40</v>
      </c>
      <c r="B774" t="s">
        <v>94</v>
      </c>
      <c r="C774" t="s">
        <v>9</v>
      </c>
      <c r="D774">
        <v>7.96</v>
      </c>
      <c r="E774" s="1">
        <v>7005921</v>
      </c>
      <c r="F774" s="1">
        <v>557671</v>
      </c>
      <c r="G774" s="4">
        <f t="shared" si="37"/>
        <v>617629.10882755078</v>
      </c>
      <c r="H774" s="4">
        <f t="shared" ref="H774:H837" si="38">SQRT(SUMXMY2(F771:F773,G771:G773)/3)</f>
        <v>50941.712257305102</v>
      </c>
      <c r="I774" s="17">
        <f t="shared" si="36"/>
        <v>0.91752054505007374</v>
      </c>
      <c r="J774">
        <v>40.04</v>
      </c>
    </row>
    <row r="775" spans="1:10" x14ac:dyDescent="0.25">
      <c r="A775" t="s">
        <v>41</v>
      </c>
      <c r="B775" t="s">
        <v>94</v>
      </c>
      <c r="C775" t="s">
        <v>9</v>
      </c>
      <c r="D775">
        <v>5.88</v>
      </c>
      <c r="E775" s="1">
        <v>7149328</v>
      </c>
      <c r="F775" s="1">
        <v>420380</v>
      </c>
      <c r="G775" s="4">
        <f t="shared" si="37"/>
        <v>575658.43264826515</v>
      </c>
      <c r="H775" s="4">
        <f t="shared" si="38"/>
        <v>59450.032051692695</v>
      </c>
      <c r="I775" s="17">
        <f t="shared" si="36"/>
        <v>0.89672689796586813</v>
      </c>
      <c r="J775">
        <v>39.869999999999997</v>
      </c>
    </row>
    <row r="776" spans="1:10" x14ac:dyDescent="0.25">
      <c r="A776" t="s">
        <v>42</v>
      </c>
      <c r="B776" t="s">
        <v>94</v>
      </c>
      <c r="C776" t="s">
        <v>9</v>
      </c>
      <c r="D776">
        <v>7.32</v>
      </c>
      <c r="E776" s="1">
        <v>7405022</v>
      </c>
      <c r="F776" s="1">
        <v>542048</v>
      </c>
      <c r="G776" s="4">
        <f t="shared" si="37"/>
        <v>466963.52979447955</v>
      </c>
      <c r="H776" s="4">
        <f t="shared" si="38"/>
        <v>105800.16125170582</v>
      </c>
      <c r="I776" s="17">
        <f t="shared" si="36"/>
        <v>0.77342949823453944</v>
      </c>
      <c r="J776">
        <v>41.84</v>
      </c>
    </row>
    <row r="777" spans="1:10" x14ac:dyDescent="0.25">
      <c r="A777" t="s">
        <v>43</v>
      </c>
      <c r="B777" t="s">
        <v>94</v>
      </c>
      <c r="C777" t="s">
        <v>9</v>
      </c>
      <c r="D777">
        <v>8.5500000000000007</v>
      </c>
      <c r="E777" s="1">
        <v>6951215</v>
      </c>
      <c r="F777" s="1">
        <v>594329</v>
      </c>
      <c r="G777" s="4">
        <f t="shared" si="37"/>
        <v>519522.65893834387</v>
      </c>
      <c r="H777" s="4">
        <f t="shared" si="38"/>
        <v>105426.18922880269</v>
      </c>
      <c r="I777" s="17">
        <f t="shared" si="36"/>
        <v>0.79707104701796172</v>
      </c>
      <c r="J777">
        <v>39.71</v>
      </c>
    </row>
    <row r="778" spans="1:10" x14ac:dyDescent="0.25">
      <c r="A778" t="s">
        <v>44</v>
      </c>
      <c r="B778" t="s">
        <v>94</v>
      </c>
      <c r="C778" t="s">
        <v>9</v>
      </c>
      <c r="D778">
        <v>9.7799999999999994</v>
      </c>
      <c r="E778" s="1">
        <v>6970551</v>
      </c>
      <c r="F778" s="1">
        <v>681720</v>
      </c>
      <c r="G778" s="4">
        <f t="shared" si="37"/>
        <v>571887.09768150316</v>
      </c>
      <c r="H778" s="4">
        <f t="shared" si="38"/>
        <v>108543.4751221499</v>
      </c>
      <c r="I778" s="17">
        <f t="shared" si="36"/>
        <v>0.81020121705455883</v>
      </c>
      <c r="J778">
        <v>40.270000000000003</v>
      </c>
    </row>
    <row r="779" spans="1:10" x14ac:dyDescent="0.25">
      <c r="A779" t="s">
        <v>45</v>
      </c>
      <c r="B779" t="s">
        <v>94</v>
      </c>
      <c r="C779" t="s">
        <v>9</v>
      </c>
      <c r="D779">
        <v>6.2</v>
      </c>
      <c r="E779" s="1">
        <v>7056831</v>
      </c>
      <c r="F779" s="1">
        <v>437524</v>
      </c>
      <c r="G779" s="4">
        <f t="shared" si="37"/>
        <v>648770.12930445094</v>
      </c>
      <c r="H779" s="4">
        <f t="shared" si="38"/>
        <v>88122.892903000291</v>
      </c>
      <c r="I779" s="17">
        <f t="shared" si="36"/>
        <v>0.86416931217613668</v>
      </c>
      <c r="J779">
        <v>39.130000000000003</v>
      </c>
    </row>
    <row r="780" spans="1:10" x14ac:dyDescent="0.25">
      <c r="A780" t="s">
        <v>46</v>
      </c>
      <c r="B780" t="s">
        <v>94</v>
      </c>
      <c r="C780" t="s">
        <v>9</v>
      </c>
      <c r="D780">
        <v>5.45</v>
      </c>
      <c r="E780" s="1">
        <v>7483195</v>
      </c>
      <c r="F780" s="1">
        <v>407834</v>
      </c>
      <c r="G780" s="4">
        <f t="shared" si="37"/>
        <v>500897.83879133523</v>
      </c>
      <c r="H780" s="4">
        <f t="shared" si="38"/>
        <v>144088.14691112994</v>
      </c>
      <c r="I780" s="17">
        <f t="shared" si="36"/>
        <v>0.71234025034163828</v>
      </c>
      <c r="J780">
        <v>41.08</v>
      </c>
    </row>
    <row r="781" spans="1:10" x14ac:dyDescent="0.25">
      <c r="A781" t="s">
        <v>47</v>
      </c>
      <c r="B781" t="s">
        <v>94</v>
      </c>
      <c r="C781" t="s">
        <v>9</v>
      </c>
      <c r="D781">
        <v>11.88</v>
      </c>
      <c r="E781" s="1">
        <v>6879839</v>
      </c>
      <c r="F781" s="1">
        <v>817325</v>
      </c>
      <c r="G781" s="4">
        <f t="shared" si="37"/>
        <v>435753.15163740056</v>
      </c>
      <c r="H781" s="4">
        <f t="shared" si="38"/>
        <v>147590.73104184298</v>
      </c>
      <c r="I781" s="17">
        <f t="shared" si="36"/>
        <v>0.66129738709346986</v>
      </c>
      <c r="J781">
        <v>40.43</v>
      </c>
    </row>
    <row r="782" spans="1:10" x14ac:dyDescent="0.25">
      <c r="A782" t="s">
        <v>48</v>
      </c>
      <c r="B782" t="s">
        <v>94</v>
      </c>
      <c r="C782" t="s">
        <v>9</v>
      </c>
      <c r="D782">
        <v>10.71</v>
      </c>
      <c r="E782" s="1">
        <v>7220330</v>
      </c>
      <c r="F782" s="1">
        <v>773297</v>
      </c>
      <c r="G782" s="4">
        <f t="shared" si="37"/>
        <v>702853.4454912201</v>
      </c>
      <c r="H782" s="4">
        <f t="shared" si="38"/>
        <v>257476.78257760318</v>
      </c>
      <c r="I782" s="17">
        <f t="shared" si="36"/>
        <v>0.63366931722493847</v>
      </c>
      <c r="J782">
        <v>41.77</v>
      </c>
    </row>
    <row r="783" spans="1:10" x14ac:dyDescent="0.25">
      <c r="A783" t="s">
        <v>49</v>
      </c>
      <c r="B783" t="s">
        <v>94</v>
      </c>
      <c r="C783" t="s">
        <v>9</v>
      </c>
      <c r="D783">
        <v>7.11</v>
      </c>
      <c r="E783" s="1">
        <v>7035762</v>
      </c>
      <c r="F783" s="1">
        <v>500243</v>
      </c>
      <c r="G783" s="4">
        <f t="shared" si="37"/>
        <v>752163.93364736601</v>
      </c>
      <c r="H783" s="4">
        <f t="shared" si="38"/>
        <v>230376.68279382621</v>
      </c>
      <c r="I783" s="17">
        <f t="shared" si="36"/>
        <v>0.69371479741564845</v>
      </c>
      <c r="J783">
        <v>39.04</v>
      </c>
    </row>
    <row r="784" spans="1:10" x14ac:dyDescent="0.25">
      <c r="A784" t="s">
        <v>50</v>
      </c>
      <c r="B784" t="s">
        <v>94</v>
      </c>
      <c r="C784" t="s">
        <v>9</v>
      </c>
      <c r="D784">
        <v>8.4600000000000009</v>
      </c>
      <c r="E784" s="1">
        <v>7319780</v>
      </c>
      <c r="F784" s="1">
        <v>619253</v>
      </c>
      <c r="G784" s="4">
        <f t="shared" si="37"/>
        <v>575819.28009420983</v>
      </c>
      <c r="H784" s="4">
        <f t="shared" si="38"/>
        <v>267097.68914789875</v>
      </c>
      <c r="I784" s="17">
        <f t="shared" si="36"/>
        <v>0.53614319912282393</v>
      </c>
      <c r="J784">
        <v>41.12</v>
      </c>
    </row>
    <row r="785" spans="1:10" x14ac:dyDescent="0.25">
      <c r="A785" t="s">
        <v>51</v>
      </c>
      <c r="B785" t="s">
        <v>94</v>
      </c>
      <c r="C785" t="s">
        <v>9</v>
      </c>
      <c r="D785">
        <v>9.98</v>
      </c>
      <c r="E785" s="1">
        <v>6958399</v>
      </c>
      <c r="F785" s="1">
        <v>694448</v>
      </c>
      <c r="G785" s="4">
        <f t="shared" si="37"/>
        <v>606222.88402826292</v>
      </c>
      <c r="H785" s="4">
        <f t="shared" si="38"/>
        <v>153093.587070618</v>
      </c>
      <c r="I785" s="17">
        <f t="shared" si="36"/>
        <v>0.74746320024520785</v>
      </c>
      <c r="J785">
        <v>39.659999999999997</v>
      </c>
    </row>
    <row r="786" spans="1:10" x14ac:dyDescent="0.25">
      <c r="A786" t="s">
        <v>52</v>
      </c>
      <c r="B786" t="s">
        <v>94</v>
      </c>
      <c r="C786" t="s">
        <v>9</v>
      </c>
      <c r="D786">
        <v>12.06</v>
      </c>
      <c r="E786" s="1">
        <v>7015356</v>
      </c>
      <c r="F786" s="1">
        <v>846052</v>
      </c>
      <c r="G786" s="4">
        <f t="shared" si="37"/>
        <v>667980.46520847885</v>
      </c>
      <c r="H786" s="4">
        <f t="shared" si="38"/>
        <v>156134.89458674475</v>
      </c>
      <c r="I786" s="17">
        <f t="shared" si="36"/>
        <v>0.76625829239180743</v>
      </c>
      <c r="J786">
        <v>40.83</v>
      </c>
    </row>
    <row r="787" spans="1:10" x14ac:dyDescent="0.25">
      <c r="A787" t="s">
        <v>53</v>
      </c>
      <c r="B787" t="s">
        <v>94</v>
      </c>
      <c r="C787" t="s">
        <v>9</v>
      </c>
      <c r="D787">
        <v>6.38</v>
      </c>
      <c r="E787" s="1">
        <v>7673454</v>
      </c>
      <c r="F787" s="1">
        <v>489566</v>
      </c>
      <c r="G787" s="4">
        <f t="shared" si="37"/>
        <v>792630.53956254362</v>
      </c>
      <c r="H787" s="4">
        <f t="shared" si="38"/>
        <v>117444.49840398232</v>
      </c>
      <c r="I787" s="17">
        <f t="shared" si="36"/>
        <v>0.85182945579058766</v>
      </c>
      <c r="J787">
        <v>41.86</v>
      </c>
    </row>
    <row r="788" spans="1:10" x14ac:dyDescent="0.25">
      <c r="A788" t="s">
        <v>54</v>
      </c>
      <c r="B788" t="s">
        <v>94</v>
      </c>
      <c r="C788" t="s">
        <v>9</v>
      </c>
      <c r="D788">
        <v>6.57</v>
      </c>
      <c r="E788" s="1">
        <v>7761238</v>
      </c>
      <c r="F788" s="1">
        <v>509913</v>
      </c>
      <c r="G788" s="4">
        <f t="shared" si="37"/>
        <v>580485.36186876299</v>
      </c>
      <c r="H788" s="4">
        <f t="shared" si="38"/>
        <v>209237.70989912481</v>
      </c>
      <c r="I788" s="17">
        <f t="shared" si="36"/>
        <v>0.63954696596392457</v>
      </c>
      <c r="J788">
        <v>42.33</v>
      </c>
    </row>
    <row r="789" spans="1:10" x14ac:dyDescent="0.25">
      <c r="A789" t="s">
        <v>55</v>
      </c>
      <c r="B789" t="s">
        <v>94</v>
      </c>
      <c r="C789" t="s">
        <v>9</v>
      </c>
      <c r="D789">
        <v>8.07</v>
      </c>
      <c r="E789" s="1">
        <v>7279631</v>
      </c>
      <c r="F789" s="1">
        <v>587466</v>
      </c>
      <c r="G789" s="4">
        <f t="shared" si="37"/>
        <v>531084.70856062882</v>
      </c>
      <c r="H789" s="4">
        <f t="shared" si="38"/>
        <v>206992.78965139514</v>
      </c>
      <c r="I789" s="17">
        <f t="shared" si="36"/>
        <v>0.61024524654005396</v>
      </c>
      <c r="J789">
        <v>40.26</v>
      </c>
    </row>
    <row r="790" spans="1:10" x14ac:dyDescent="0.25">
      <c r="A790" t="s">
        <v>56</v>
      </c>
      <c r="B790" t="s">
        <v>94</v>
      </c>
      <c r="C790" t="s">
        <v>9</v>
      </c>
      <c r="D790">
        <v>15.15</v>
      </c>
      <c r="E790" s="1">
        <v>6873439</v>
      </c>
      <c r="F790" s="1">
        <v>1041326</v>
      </c>
      <c r="G790" s="4">
        <f t="shared" si="37"/>
        <v>570551.61256818858</v>
      </c>
      <c r="H790" s="4">
        <f t="shared" si="38"/>
        <v>182580.96233759195</v>
      </c>
      <c r="I790" s="17">
        <f t="shared" si="36"/>
        <v>0.67999220698763507</v>
      </c>
      <c r="J790">
        <v>41.09</v>
      </c>
    </row>
    <row r="791" spans="1:10" x14ac:dyDescent="0.25">
      <c r="A791" t="s">
        <v>57</v>
      </c>
      <c r="B791" t="s">
        <v>94</v>
      </c>
      <c r="C791" t="s">
        <v>9</v>
      </c>
      <c r="D791">
        <v>6.16</v>
      </c>
      <c r="E791" s="1">
        <v>7868736</v>
      </c>
      <c r="F791" s="1">
        <v>484714</v>
      </c>
      <c r="G791" s="4">
        <f t="shared" si="37"/>
        <v>900093.68377045658</v>
      </c>
      <c r="H791" s="4">
        <f t="shared" si="38"/>
        <v>276759.72259097733</v>
      </c>
      <c r="I791" s="17">
        <f t="shared" si="36"/>
        <v>0.69252120353556768</v>
      </c>
      <c r="J791">
        <v>42.43</v>
      </c>
    </row>
    <row r="792" spans="1:10" x14ac:dyDescent="0.25">
      <c r="A792" t="s">
        <v>58</v>
      </c>
      <c r="B792" t="s">
        <v>94</v>
      </c>
      <c r="C792" t="s">
        <v>9</v>
      </c>
      <c r="D792">
        <v>9.06</v>
      </c>
      <c r="E792" s="1">
        <v>7932402</v>
      </c>
      <c r="F792" s="1">
        <v>718676</v>
      </c>
      <c r="G792" s="4">
        <f t="shared" si="37"/>
        <v>609327.905131137</v>
      </c>
      <c r="H792" s="4">
        <f t="shared" si="38"/>
        <v>363935.73405910237</v>
      </c>
      <c r="I792" s="17">
        <f t="shared" si="36"/>
        <v>0.40272596906459152</v>
      </c>
      <c r="J792">
        <v>44.05</v>
      </c>
    </row>
    <row r="793" spans="1:10" x14ac:dyDescent="0.25">
      <c r="A793" t="s">
        <v>59</v>
      </c>
      <c r="B793" t="s">
        <v>94</v>
      </c>
      <c r="C793" t="s">
        <v>9</v>
      </c>
      <c r="D793">
        <v>5.01</v>
      </c>
      <c r="E793" s="1">
        <v>7157454</v>
      </c>
      <c r="F793" s="1">
        <v>358588</v>
      </c>
      <c r="G793" s="4">
        <f t="shared" si="37"/>
        <v>685871.57153934101</v>
      </c>
      <c r="H793" s="4">
        <f t="shared" si="38"/>
        <v>367933.78543903411</v>
      </c>
      <c r="I793" s="17">
        <f t="shared" si="36"/>
        <v>0.46355294386490004</v>
      </c>
      <c r="J793">
        <v>37.96</v>
      </c>
    </row>
    <row r="794" spans="1:10" x14ac:dyDescent="0.25">
      <c r="A794" t="s">
        <v>60</v>
      </c>
      <c r="B794" t="s">
        <v>94</v>
      </c>
      <c r="C794" t="s">
        <v>9</v>
      </c>
      <c r="D794">
        <v>41.72</v>
      </c>
      <c r="E794" s="1">
        <v>4280434</v>
      </c>
      <c r="F794" s="1">
        <v>1785797</v>
      </c>
      <c r="G794" s="4">
        <f t="shared" si="37"/>
        <v>456773.07146180223</v>
      </c>
      <c r="H794" s="4">
        <f t="shared" si="38"/>
        <v>311775.46607574355</v>
      </c>
      <c r="I794" s="17">
        <f t="shared" si="36"/>
        <v>0.31743904018252561</v>
      </c>
      <c r="J794">
        <v>36.92</v>
      </c>
    </row>
    <row r="795" spans="1:10" x14ac:dyDescent="0.25">
      <c r="A795" t="s">
        <v>61</v>
      </c>
      <c r="B795" t="s">
        <v>94</v>
      </c>
      <c r="C795" t="s">
        <v>9</v>
      </c>
      <c r="D795">
        <v>55.1</v>
      </c>
      <c r="E795" s="1">
        <v>3315038</v>
      </c>
      <c r="F795" s="1">
        <v>1826586</v>
      </c>
      <c r="G795" s="4">
        <f t="shared" si="37"/>
        <v>1387089.8214385405</v>
      </c>
      <c r="H795" s="4">
        <f t="shared" si="38"/>
        <v>792753.8804021714</v>
      </c>
      <c r="I795" s="17">
        <f t="shared" si="36"/>
        <v>0.42847689590857763</v>
      </c>
      <c r="J795">
        <v>37.03</v>
      </c>
    </row>
    <row r="796" spans="1:10" x14ac:dyDescent="0.25">
      <c r="A796" t="s">
        <v>62</v>
      </c>
      <c r="B796" t="s">
        <v>94</v>
      </c>
      <c r="C796" t="s">
        <v>9</v>
      </c>
      <c r="D796">
        <v>21.53</v>
      </c>
      <c r="E796" s="1">
        <v>6375114</v>
      </c>
      <c r="F796" s="1">
        <v>1372562</v>
      </c>
      <c r="G796" s="4">
        <f t="shared" si="37"/>
        <v>1694737.146431562</v>
      </c>
      <c r="H796" s="4">
        <f t="shared" si="38"/>
        <v>829975.10601157532</v>
      </c>
      <c r="I796" s="17">
        <f t="shared" si="36"/>
        <v>0.51026322414707759</v>
      </c>
      <c r="J796">
        <v>40.65</v>
      </c>
    </row>
    <row r="797" spans="1:10" x14ac:dyDescent="0.25">
      <c r="A797" t="s">
        <v>63</v>
      </c>
      <c r="B797" t="s">
        <v>94</v>
      </c>
      <c r="C797" t="s">
        <v>9</v>
      </c>
      <c r="D797">
        <v>8.36</v>
      </c>
      <c r="E797" s="1">
        <v>6907458</v>
      </c>
      <c r="F797" s="1">
        <v>577463</v>
      </c>
      <c r="G797" s="4">
        <f t="shared" si="37"/>
        <v>1469214.5439294684</v>
      </c>
      <c r="H797" s="4">
        <f t="shared" si="38"/>
        <v>829308.61134952423</v>
      </c>
      <c r="I797" s="17">
        <f t="shared" si="36"/>
        <v>0.43554287916895523</v>
      </c>
      <c r="J797">
        <v>37.630000000000003</v>
      </c>
    </row>
    <row r="798" spans="1:10" x14ac:dyDescent="0.25">
      <c r="A798" t="s">
        <v>64</v>
      </c>
      <c r="B798" t="s">
        <v>94</v>
      </c>
      <c r="C798" t="s">
        <v>9</v>
      </c>
      <c r="D798">
        <v>6.35</v>
      </c>
      <c r="E798" s="1">
        <v>7093468</v>
      </c>
      <c r="F798" s="1">
        <v>450435</v>
      </c>
      <c r="G798" s="4">
        <f t="shared" si="37"/>
        <v>844988.46317884047</v>
      </c>
      <c r="H798" s="4">
        <f t="shared" si="38"/>
        <v>603372.33724263369</v>
      </c>
      <c r="I798" s="17">
        <f t="shared" si="36"/>
        <v>0.28594014766455944</v>
      </c>
      <c r="J798">
        <v>37.72</v>
      </c>
    </row>
    <row r="799" spans="1:10" x14ac:dyDescent="0.25">
      <c r="A799" t="s">
        <v>65</v>
      </c>
      <c r="B799" t="s">
        <v>94</v>
      </c>
      <c r="C799" t="s">
        <v>9</v>
      </c>
      <c r="D799">
        <v>7.79</v>
      </c>
      <c r="E799" s="1">
        <v>7640366</v>
      </c>
      <c r="F799" s="1">
        <v>595185</v>
      </c>
      <c r="G799" s="4">
        <f t="shared" si="37"/>
        <v>568801.03895365214</v>
      </c>
      <c r="H799" s="4">
        <f t="shared" si="38"/>
        <v>592927.78548071813</v>
      </c>
      <c r="I799" s="17">
        <f t="shared" si="36"/>
        <v>-4.2416846796638707E-2</v>
      </c>
      <c r="J799">
        <v>41.18</v>
      </c>
    </row>
    <row r="800" spans="1:10" x14ac:dyDescent="0.25">
      <c r="A800" t="s">
        <v>66</v>
      </c>
      <c r="B800" t="s">
        <v>94</v>
      </c>
      <c r="C800" t="s">
        <v>9</v>
      </c>
      <c r="D800">
        <v>11.32</v>
      </c>
      <c r="E800" s="1">
        <v>7999884</v>
      </c>
      <c r="F800" s="1">
        <v>905587</v>
      </c>
      <c r="G800" s="4">
        <f t="shared" si="37"/>
        <v>587269.81168609567</v>
      </c>
      <c r="H800" s="4">
        <f t="shared" si="38"/>
        <v>563201.96638136322</v>
      </c>
      <c r="I800" s="17">
        <f t="shared" si="36"/>
        <v>4.0982602588803013E-2</v>
      </c>
      <c r="J800">
        <v>44.73</v>
      </c>
    </row>
    <row r="801" spans="1:10" x14ac:dyDescent="0.25">
      <c r="A801" t="s">
        <v>67</v>
      </c>
      <c r="B801" t="s">
        <v>94</v>
      </c>
      <c r="C801" t="s">
        <v>9</v>
      </c>
      <c r="D801">
        <v>8.17</v>
      </c>
      <c r="E801" s="1">
        <v>7201406</v>
      </c>
      <c r="F801" s="1">
        <v>588355</v>
      </c>
      <c r="G801" s="4">
        <f t="shared" si="37"/>
        <v>810091.84350582864</v>
      </c>
      <c r="H801" s="4">
        <f t="shared" si="38"/>
        <v>293083.82252806192</v>
      </c>
      <c r="I801" s="17">
        <f t="shared" si="36"/>
        <v>0.63820914273166218</v>
      </c>
      <c r="J801">
        <v>38.79</v>
      </c>
    </row>
    <row r="802" spans="1:10" x14ac:dyDescent="0.25">
      <c r="A802" t="s">
        <v>68</v>
      </c>
      <c r="B802" t="s">
        <v>94</v>
      </c>
      <c r="C802" t="s">
        <v>9</v>
      </c>
      <c r="D802">
        <v>9.86</v>
      </c>
      <c r="E802" s="1">
        <v>7359442</v>
      </c>
      <c r="F802" s="1">
        <v>725641</v>
      </c>
      <c r="G802" s="4">
        <f t="shared" si="37"/>
        <v>654876.05305174855</v>
      </c>
      <c r="H802" s="4">
        <f t="shared" si="38"/>
        <v>224491.40558493044</v>
      </c>
      <c r="I802" s="17">
        <f t="shared" si="36"/>
        <v>0.65720016094833289</v>
      </c>
      <c r="J802">
        <v>40.299999999999997</v>
      </c>
    </row>
    <row r="803" spans="1:10" x14ac:dyDescent="0.25">
      <c r="A803" t="s">
        <v>69</v>
      </c>
      <c r="B803" t="s">
        <v>94</v>
      </c>
      <c r="C803" t="s">
        <v>9</v>
      </c>
      <c r="D803">
        <v>8.5299999999999994</v>
      </c>
      <c r="E803" s="1">
        <v>7634206</v>
      </c>
      <c r="F803" s="1">
        <v>651198</v>
      </c>
      <c r="G803" s="4">
        <f t="shared" si="37"/>
        <v>704411.51591552445</v>
      </c>
      <c r="H803" s="4">
        <f t="shared" si="38"/>
        <v>227669.8910415303</v>
      </c>
      <c r="I803" s="17">
        <f t="shared" si="36"/>
        <v>0.67679419501592408</v>
      </c>
      <c r="J803">
        <v>41.1</v>
      </c>
    </row>
    <row r="804" spans="1:10" x14ac:dyDescent="0.25">
      <c r="A804" t="s">
        <v>70</v>
      </c>
      <c r="B804" t="s">
        <v>94</v>
      </c>
      <c r="C804" t="s">
        <v>9</v>
      </c>
      <c r="D804">
        <v>10.82</v>
      </c>
      <c r="E804" s="1">
        <v>7921963</v>
      </c>
      <c r="F804" s="1">
        <v>857156</v>
      </c>
      <c r="G804" s="4">
        <f t="shared" si="37"/>
        <v>667162.05477465736</v>
      </c>
      <c r="H804" s="4">
        <f t="shared" si="38"/>
        <v>137848.44789430767</v>
      </c>
      <c r="I804" s="17">
        <f t="shared" si="36"/>
        <v>0.79338086315345413</v>
      </c>
      <c r="J804">
        <v>43.65</v>
      </c>
    </row>
    <row r="805" spans="1:10" x14ac:dyDescent="0.25">
      <c r="A805" t="s">
        <v>71</v>
      </c>
      <c r="B805" t="s">
        <v>94</v>
      </c>
      <c r="C805" t="s">
        <v>9</v>
      </c>
      <c r="D805">
        <v>12.77</v>
      </c>
      <c r="E805" s="1">
        <v>7227462</v>
      </c>
      <c r="F805" s="1">
        <v>922947</v>
      </c>
      <c r="G805" s="4">
        <f t="shared" si="37"/>
        <v>800157.81643239711</v>
      </c>
      <c r="H805" s="4">
        <f t="shared" si="38"/>
        <v>121019.3582517154</v>
      </c>
      <c r="I805" s="17">
        <f t="shared" si="36"/>
        <v>0.84875563824234668</v>
      </c>
      <c r="J805">
        <v>40.619999999999997</v>
      </c>
    </row>
    <row r="806" spans="1:10" x14ac:dyDescent="0.25">
      <c r="A806" t="s">
        <v>72</v>
      </c>
      <c r="B806" t="s">
        <v>94</v>
      </c>
      <c r="C806" t="s">
        <v>9</v>
      </c>
      <c r="D806">
        <v>14.13</v>
      </c>
      <c r="E806" s="1">
        <v>7295292</v>
      </c>
      <c r="F806" s="1">
        <v>1030825</v>
      </c>
      <c r="G806" s="4">
        <f t="shared" si="37"/>
        <v>886110.24492971902</v>
      </c>
      <c r="H806" s="4">
        <f t="shared" si="38"/>
        <v>134172.22899390763</v>
      </c>
      <c r="I806" s="17">
        <f t="shared" si="36"/>
        <v>0.84858291644675732</v>
      </c>
      <c r="J806">
        <v>41.56</v>
      </c>
    </row>
    <row r="807" spans="1:10" x14ac:dyDescent="0.25">
      <c r="A807" t="s">
        <v>73</v>
      </c>
      <c r="B807" t="s">
        <v>94</v>
      </c>
      <c r="C807" t="s">
        <v>9</v>
      </c>
      <c r="D807">
        <v>12.04</v>
      </c>
      <c r="E807" s="1">
        <v>7157235</v>
      </c>
      <c r="F807" s="1">
        <v>861731</v>
      </c>
      <c r="G807" s="4">
        <f t="shared" si="37"/>
        <v>987410.57347891573</v>
      </c>
      <c r="H807" s="4">
        <f t="shared" si="38"/>
        <v>155045.41609749963</v>
      </c>
      <c r="I807" s="17">
        <f t="shared" si="36"/>
        <v>0.84297776400020452</v>
      </c>
      <c r="J807">
        <v>39.71</v>
      </c>
    </row>
    <row r="808" spans="1:10" x14ac:dyDescent="0.25">
      <c r="A808" t="s">
        <v>74</v>
      </c>
      <c r="B808" t="s">
        <v>94</v>
      </c>
      <c r="C808" t="s">
        <v>9</v>
      </c>
      <c r="D808">
        <v>9.91</v>
      </c>
      <c r="E808" s="1">
        <v>8483224</v>
      </c>
      <c r="F808" s="1">
        <v>840687</v>
      </c>
      <c r="G808" s="4">
        <f t="shared" si="37"/>
        <v>899434.87204367458</v>
      </c>
      <c r="H808" s="4">
        <f t="shared" si="38"/>
        <v>131421.58514502359</v>
      </c>
      <c r="I808" s="17">
        <f t="shared" si="36"/>
        <v>0.85388426752188218</v>
      </c>
      <c r="J808">
        <v>45.85</v>
      </c>
    </row>
    <row r="809" spans="1:10" x14ac:dyDescent="0.25">
      <c r="A809" t="s">
        <v>75</v>
      </c>
      <c r="B809" t="s">
        <v>94</v>
      </c>
      <c r="C809" t="s">
        <v>9</v>
      </c>
      <c r="D809">
        <v>8.4600000000000009</v>
      </c>
      <c r="E809" s="1">
        <v>7743077</v>
      </c>
      <c r="F809" s="1">
        <v>655064</v>
      </c>
      <c r="G809" s="4">
        <f t="shared" si="37"/>
        <v>858311.36161310226</v>
      </c>
      <c r="H809" s="4">
        <f t="shared" si="38"/>
        <v>115742.57066806138</v>
      </c>
      <c r="I809" s="17">
        <f t="shared" si="36"/>
        <v>0.86515083471511334</v>
      </c>
      <c r="J809">
        <v>41.09</v>
      </c>
    </row>
    <row r="810" spans="1:10" x14ac:dyDescent="0.25">
      <c r="A810" t="s">
        <v>76</v>
      </c>
      <c r="B810" t="s">
        <v>94</v>
      </c>
      <c r="C810" t="s">
        <v>9</v>
      </c>
      <c r="D810">
        <v>15.1</v>
      </c>
      <c r="E810" s="1">
        <v>7542013</v>
      </c>
      <c r="F810" s="1">
        <v>1138844</v>
      </c>
      <c r="G810" s="4">
        <f t="shared" si="37"/>
        <v>716038.20848393068</v>
      </c>
      <c r="H810" s="4">
        <f t="shared" si="38"/>
        <v>142075.28246460197</v>
      </c>
      <c r="I810" s="17">
        <f t="shared" si="36"/>
        <v>0.80158142291677659</v>
      </c>
      <c r="J810">
        <v>43.05</v>
      </c>
    </row>
    <row r="811" spans="1:10" x14ac:dyDescent="0.25">
      <c r="A811" t="s">
        <v>77</v>
      </c>
      <c r="B811" t="s">
        <v>94</v>
      </c>
      <c r="C811" t="s">
        <v>9</v>
      </c>
      <c r="D811">
        <v>11.46</v>
      </c>
      <c r="E811" s="1">
        <v>7544093</v>
      </c>
      <c r="F811" s="1">
        <v>864553</v>
      </c>
      <c r="G811" s="4">
        <f t="shared" si="37"/>
        <v>1012002.2625451791</v>
      </c>
      <c r="H811" s="4">
        <f t="shared" si="38"/>
        <v>272962.47593877377</v>
      </c>
      <c r="I811" s="17">
        <f t="shared" si="36"/>
        <v>0.7302748362911019</v>
      </c>
      <c r="J811">
        <v>41.2</v>
      </c>
    </row>
    <row r="812" spans="1:10" x14ac:dyDescent="0.25">
      <c r="A812" t="s">
        <v>78</v>
      </c>
      <c r="B812" t="s">
        <v>94</v>
      </c>
      <c r="C812" t="s">
        <v>9</v>
      </c>
      <c r="D812">
        <v>18.23</v>
      </c>
      <c r="E812" s="1">
        <v>7649686</v>
      </c>
      <c r="F812" s="1">
        <v>1394538</v>
      </c>
      <c r="G812" s="4">
        <f t="shared" si="37"/>
        <v>908787.77876355371</v>
      </c>
      <c r="H812" s="4">
        <f t="shared" si="38"/>
        <v>283910.49784943037</v>
      </c>
      <c r="I812" s="17">
        <f t="shared" si="36"/>
        <v>0.68759428275355639</v>
      </c>
      <c r="J812">
        <v>45.13</v>
      </c>
    </row>
    <row r="813" spans="1:10" x14ac:dyDescent="0.25">
      <c r="A813" t="s">
        <v>79</v>
      </c>
      <c r="B813" t="s">
        <v>94</v>
      </c>
      <c r="C813" t="s">
        <v>9</v>
      </c>
      <c r="D813">
        <v>10.69</v>
      </c>
      <c r="E813" s="1">
        <v>7514891</v>
      </c>
      <c r="F813" s="1">
        <v>803342</v>
      </c>
      <c r="G813" s="4">
        <f t="shared" si="37"/>
        <v>1248812.9336290662</v>
      </c>
      <c r="H813" s="4">
        <f t="shared" si="38"/>
        <v>381426.83867984591</v>
      </c>
      <c r="I813" s="17">
        <f t="shared" si="36"/>
        <v>0.69456847506262231</v>
      </c>
      <c r="J813">
        <v>40.5</v>
      </c>
    </row>
    <row r="814" spans="1:10" x14ac:dyDescent="0.25">
      <c r="A814" t="s">
        <v>80</v>
      </c>
      <c r="B814" t="s">
        <v>94</v>
      </c>
      <c r="C814" t="s">
        <v>9</v>
      </c>
      <c r="D814">
        <v>17.079999999999998</v>
      </c>
      <c r="E814" s="1">
        <v>7432780</v>
      </c>
      <c r="F814" s="1">
        <v>1269519</v>
      </c>
      <c r="G814" s="4">
        <f t="shared" si="37"/>
        <v>936983.28008871968</v>
      </c>
      <c r="H814" s="4">
        <f t="shared" si="38"/>
        <v>389931.15425021958</v>
      </c>
      <c r="I814" s="17">
        <f t="shared" si="36"/>
        <v>0.5838440636707003</v>
      </c>
      <c r="J814">
        <v>43.05</v>
      </c>
    </row>
    <row r="815" spans="1:10" x14ac:dyDescent="0.25">
      <c r="A815" t="s">
        <v>81</v>
      </c>
      <c r="B815" t="s">
        <v>94</v>
      </c>
      <c r="C815" t="s">
        <v>9</v>
      </c>
      <c r="D815">
        <v>5.13</v>
      </c>
      <c r="E815" s="1">
        <v>8086279</v>
      </c>
      <c r="F815" s="1">
        <v>414826</v>
      </c>
      <c r="G815" s="4">
        <f t="shared" si="37"/>
        <v>1169758.2840266158</v>
      </c>
      <c r="H815" s="4">
        <f t="shared" si="38"/>
        <v>426214.98298257968</v>
      </c>
      <c r="I815" s="17">
        <f t="shared" si="36"/>
        <v>0.63563841453173087</v>
      </c>
      <c r="J815">
        <v>40.840000000000003</v>
      </c>
    </row>
    <row r="816" spans="1:10" x14ac:dyDescent="0.25">
      <c r="A816" t="s">
        <v>82</v>
      </c>
      <c r="B816" t="s">
        <v>94</v>
      </c>
      <c r="C816" t="s">
        <v>9</v>
      </c>
      <c r="D816">
        <v>13.85</v>
      </c>
      <c r="E816" s="1">
        <v>8088717</v>
      </c>
      <c r="F816" s="1">
        <v>1120287</v>
      </c>
      <c r="G816" s="4">
        <f t="shared" si="37"/>
        <v>641305.68520798464</v>
      </c>
      <c r="H816" s="4">
        <f t="shared" si="38"/>
        <v>541278.45920281124</v>
      </c>
      <c r="I816" s="17">
        <f t="shared" si="36"/>
        <v>0.15597433222930673</v>
      </c>
      <c r="J816">
        <v>44.89</v>
      </c>
    </row>
    <row r="817" spans="1:10" x14ac:dyDescent="0.25">
      <c r="A817" t="s">
        <v>83</v>
      </c>
      <c r="B817" t="s">
        <v>94</v>
      </c>
      <c r="C817" t="s">
        <v>9</v>
      </c>
      <c r="D817">
        <v>14</v>
      </c>
      <c r="E817" s="1">
        <v>7329960</v>
      </c>
      <c r="F817" s="1">
        <v>1026194</v>
      </c>
      <c r="G817" s="4">
        <f t="shared" si="37"/>
        <v>976592.6055623953</v>
      </c>
      <c r="H817" s="4">
        <f t="shared" si="38"/>
        <v>550734.61800351844</v>
      </c>
      <c r="I817" s="17">
        <f t="shared" si="36"/>
        <v>0.43606513620245557</v>
      </c>
      <c r="J817">
        <v>40.659999999999997</v>
      </c>
    </row>
    <row r="818" spans="1:10" x14ac:dyDescent="0.25">
      <c r="A818" t="s">
        <v>84</v>
      </c>
      <c r="B818" t="s">
        <v>94</v>
      </c>
      <c r="C818" t="s">
        <v>9</v>
      </c>
      <c r="D818">
        <v>12.85</v>
      </c>
      <c r="E818" s="1">
        <v>7635292</v>
      </c>
      <c r="F818" s="1">
        <v>981135</v>
      </c>
      <c r="G818" s="4">
        <f t="shared" si="37"/>
        <v>1011313.5816687185</v>
      </c>
      <c r="H818" s="4">
        <f t="shared" si="38"/>
        <v>516980.38380441652</v>
      </c>
      <c r="I818" s="17">
        <f t="shared" si="36"/>
        <v>0.48880308425071006</v>
      </c>
      <c r="J818">
        <v>41.7</v>
      </c>
    </row>
    <row r="819" spans="1:10" x14ac:dyDescent="0.25">
      <c r="A819" t="s">
        <v>7</v>
      </c>
      <c r="B819" t="s">
        <v>95</v>
      </c>
      <c r="C819" t="s">
        <v>9</v>
      </c>
      <c r="D819">
        <v>4.42</v>
      </c>
      <c r="E819" s="1">
        <v>14637441</v>
      </c>
      <c r="F819" s="1">
        <v>646975</v>
      </c>
      <c r="G819" s="4">
        <f t="shared" si="37"/>
        <v>990188.57450061548</v>
      </c>
      <c r="H819" s="4">
        <f t="shared" si="38"/>
        <v>278564.26250901725</v>
      </c>
      <c r="I819" s="17">
        <f t="shared" si="36"/>
        <v>0.71867554354532281</v>
      </c>
      <c r="J819">
        <v>51.3</v>
      </c>
    </row>
    <row r="820" spans="1:10" x14ac:dyDescent="0.25">
      <c r="A820" t="s">
        <v>10</v>
      </c>
      <c r="B820" t="s">
        <v>95</v>
      </c>
      <c r="C820" t="s">
        <v>9</v>
      </c>
      <c r="D820">
        <v>4.8499999999999996</v>
      </c>
      <c r="E820" s="1">
        <v>14583090</v>
      </c>
      <c r="F820" s="1">
        <v>707280</v>
      </c>
      <c r="G820" s="4">
        <f t="shared" si="37"/>
        <v>749939.07235018467</v>
      </c>
      <c r="H820" s="4">
        <f t="shared" si="38"/>
        <v>200969.81767019967</v>
      </c>
      <c r="I820" s="17">
        <f t="shared" si="36"/>
        <v>0.73201847312689872</v>
      </c>
      <c r="J820">
        <v>51.27</v>
      </c>
    </row>
    <row r="821" spans="1:10" x14ac:dyDescent="0.25">
      <c r="A821" t="s">
        <v>11</v>
      </c>
      <c r="B821" t="s">
        <v>95</v>
      </c>
      <c r="C821" t="s">
        <v>9</v>
      </c>
      <c r="D821">
        <v>2.4700000000000002</v>
      </c>
      <c r="E821" s="1">
        <v>14030453</v>
      </c>
      <c r="F821" s="1">
        <v>346552</v>
      </c>
      <c r="G821" s="4">
        <f t="shared" si="37"/>
        <v>720077.72170505533</v>
      </c>
      <c r="H821" s="4">
        <f t="shared" si="38"/>
        <v>200437.93799811063</v>
      </c>
      <c r="I821" s="17">
        <f t="shared" si="36"/>
        <v>0.72164402264314143</v>
      </c>
      <c r="J821">
        <v>48.05</v>
      </c>
    </row>
    <row r="822" spans="1:10" x14ac:dyDescent="0.25">
      <c r="A822" t="s">
        <v>12</v>
      </c>
      <c r="B822" t="s">
        <v>95</v>
      </c>
      <c r="C822" t="s">
        <v>9</v>
      </c>
      <c r="D822">
        <v>2.76</v>
      </c>
      <c r="E822" s="1">
        <v>14253810</v>
      </c>
      <c r="F822" s="1">
        <v>393405</v>
      </c>
      <c r="G822" s="4">
        <f t="shared" si="37"/>
        <v>458609.7165115166</v>
      </c>
      <c r="H822" s="4">
        <f t="shared" si="38"/>
        <v>293902.94256809243</v>
      </c>
      <c r="I822" s="17">
        <f t="shared" si="36"/>
        <v>0.35914366402066417</v>
      </c>
      <c r="J822">
        <v>48.88</v>
      </c>
    </row>
    <row r="823" spans="1:10" x14ac:dyDescent="0.25">
      <c r="A823" t="s">
        <v>13</v>
      </c>
      <c r="B823" t="s">
        <v>95</v>
      </c>
      <c r="C823" t="s">
        <v>9</v>
      </c>
      <c r="D823">
        <v>8.58</v>
      </c>
      <c r="E823" s="1">
        <v>14707637</v>
      </c>
      <c r="F823" s="1">
        <v>1261915</v>
      </c>
      <c r="G823" s="4">
        <f t="shared" si="37"/>
        <v>412966.41495345498</v>
      </c>
      <c r="H823" s="4">
        <f t="shared" si="38"/>
        <v>220297.46275162286</v>
      </c>
      <c r="I823" s="17">
        <f t="shared" si="36"/>
        <v>0.46654871976344042</v>
      </c>
      <c r="J823">
        <v>53.57</v>
      </c>
    </row>
    <row r="824" spans="1:10" x14ac:dyDescent="0.25">
      <c r="A824" t="s">
        <v>14</v>
      </c>
      <c r="B824" t="s">
        <v>95</v>
      </c>
      <c r="C824" t="s">
        <v>9</v>
      </c>
      <c r="D824">
        <v>2.62</v>
      </c>
      <c r="E824" s="1">
        <v>14859834</v>
      </c>
      <c r="F824" s="1">
        <v>389328</v>
      </c>
      <c r="G824" s="4">
        <f t="shared" si="37"/>
        <v>1007230.4244860365</v>
      </c>
      <c r="H824" s="4">
        <f t="shared" si="38"/>
        <v>536807.48252458894</v>
      </c>
      <c r="I824" s="17">
        <f t="shared" si="36"/>
        <v>0.46704600111885242</v>
      </c>
      <c r="J824">
        <v>50.73</v>
      </c>
    </row>
    <row r="825" spans="1:10" x14ac:dyDescent="0.25">
      <c r="A825" t="s">
        <v>15</v>
      </c>
      <c r="B825" t="s">
        <v>95</v>
      </c>
      <c r="C825" t="s">
        <v>9</v>
      </c>
      <c r="D825">
        <v>2.4</v>
      </c>
      <c r="E825" s="1">
        <v>15093524</v>
      </c>
      <c r="F825" s="1">
        <v>362245</v>
      </c>
      <c r="G825" s="4">
        <f t="shared" si="37"/>
        <v>574698.72734581097</v>
      </c>
      <c r="H825" s="4">
        <f t="shared" si="38"/>
        <v>607390.25381644047</v>
      </c>
      <c r="I825" s="17">
        <f t="shared" si="36"/>
        <v>-5.6884633487204801E-2</v>
      </c>
      <c r="J825">
        <v>51.34</v>
      </c>
    </row>
    <row r="826" spans="1:10" x14ac:dyDescent="0.25">
      <c r="A826" t="s">
        <v>16</v>
      </c>
      <c r="B826" t="s">
        <v>95</v>
      </c>
      <c r="C826" t="s">
        <v>9</v>
      </c>
      <c r="D826">
        <v>2.0299999999999998</v>
      </c>
      <c r="E826" s="1">
        <v>14453326</v>
      </c>
      <c r="F826" s="1">
        <v>293403</v>
      </c>
      <c r="G826" s="4">
        <f t="shared" si="37"/>
        <v>425981.11820374324</v>
      </c>
      <c r="H826" s="4">
        <f t="shared" si="38"/>
        <v>618507.26013022172</v>
      </c>
      <c r="I826" s="17">
        <f t="shared" si="36"/>
        <v>-0.45195933270073912</v>
      </c>
      <c r="J826">
        <v>48.9</v>
      </c>
    </row>
    <row r="827" spans="1:10" x14ac:dyDescent="0.25">
      <c r="A827" t="s">
        <v>17</v>
      </c>
      <c r="B827" t="s">
        <v>95</v>
      </c>
      <c r="C827" t="s">
        <v>9</v>
      </c>
      <c r="D827">
        <v>3.39</v>
      </c>
      <c r="E827" s="1">
        <v>16136233</v>
      </c>
      <c r="F827" s="1">
        <v>547018</v>
      </c>
      <c r="G827" s="4">
        <f t="shared" si="37"/>
        <v>333176.43546112295</v>
      </c>
      <c r="H827" s="4">
        <f t="shared" si="38"/>
        <v>384931.57395191508</v>
      </c>
      <c r="I827" s="17">
        <f t="shared" si="36"/>
        <v>-0.15533853232796002</v>
      </c>
      <c r="J827">
        <v>55.28</v>
      </c>
    </row>
    <row r="828" spans="1:10" x14ac:dyDescent="0.25">
      <c r="A828" t="s">
        <v>18</v>
      </c>
      <c r="B828" t="s">
        <v>95</v>
      </c>
      <c r="C828" t="s">
        <v>9</v>
      </c>
      <c r="D828">
        <v>4.43</v>
      </c>
      <c r="E828" s="1">
        <v>15537123</v>
      </c>
      <c r="F828" s="1">
        <v>688295</v>
      </c>
      <c r="G828" s="4">
        <f t="shared" si="37"/>
        <v>482865.53063833684</v>
      </c>
      <c r="H828" s="4">
        <f t="shared" si="38"/>
        <v>190124.30882101724</v>
      </c>
      <c r="I828" s="17">
        <f t="shared" si="36"/>
        <v>0.60625827118022413</v>
      </c>
      <c r="J828">
        <v>53.72</v>
      </c>
    </row>
    <row r="829" spans="1:10" x14ac:dyDescent="0.25">
      <c r="A829" t="s">
        <v>19</v>
      </c>
      <c r="B829" t="s">
        <v>95</v>
      </c>
      <c r="C829" t="s">
        <v>9</v>
      </c>
      <c r="D829">
        <v>5.36</v>
      </c>
      <c r="E829" s="1">
        <v>14036958</v>
      </c>
      <c r="F829" s="1">
        <v>752381</v>
      </c>
      <c r="G829" s="4">
        <f t="shared" si="37"/>
        <v>626666.15919150098</v>
      </c>
      <c r="H829" s="4">
        <f t="shared" si="38"/>
        <v>187533.49837037554</v>
      </c>
      <c r="I829" s="17">
        <f t="shared" si="36"/>
        <v>0.70074417515647636</v>
      </c>
      <c r="J829">
        <v>48.94</v>
      </c>
    </row>
    <row r="830" spans="1:10" x14ac:dyDescent="0.25">
      <c r="A830" t="s">
        <v>20</v>
      </c>
      <c r="B830" t="s">
        <v>95</v>
      </c>
      <c r="C830" t="s">
        <v>9</v>
      </c>
      <c r="D830">
        <v>3.51</v>
      </c>
      <c r="E830" s="1">
        <v>15783823</v>
      </c>
      <c r="F830" s="1">
        <v>554012</v>
      </c>
      <c r="G830" s="4">
        <f t="shared" si="37"/>
        <v>714666.54775745026</v>
      </c>
      <c r="H830" s="4">
        <f t="shared" si="38"/>
        <v>185951.34023551742</v>
      </c>
      <c r="I830" s="17">
        <f t="shared" si="36"/>
        <v>0.7398068500351479</v>
      </c>
      <c r="J830">
        <v>53.88</v>
      </c>
    </row>
    <row r="831" spans="1:10" x14ac:dyDescent="0.25">
      <c r="A831" t="s">
        <v>21</v>
      </c>
      <c r="B831" t="s">
        <v>95</v>
      </c>
      <c r="C831" t="s">
        <v>9</v>
      </c>
      <c r="D831">
        <v>5.93</v>
      </c>
      <c r="E831" s="1">
        <v>15753216</v>
      </c>
      <c r="F831" s="1">
        <v>934166</v>
      </c>
      <c r="G831" s="4">
        <f t="shared" si="37"/>
        <v>602208.36432723503</v>
      </c>
      <c r="H831" s="4">
        <f t="shared" si="38"/>
        <v>167148.01005583006</v>
      </c>
      <c r="I831" s="17">
        <f t="shared" si="36"/>
        <v>0.72244156681124538</v>
      </c>
      <c r="J831">
        <v>55.07</v>
      </c>
    </row>
    <row r="832" spans="1:10" x14ac:dyDescent="0.25">
      <c r="A832" t="s">
        <v>22</v>
      </c>
      <c r="B832" t="s">
        <v>95</v>
      </c>
      <c r="C832" t="s">
        <v>9</v>
      </c>
      <c r="D832">
        <v>3.87</v>
      </c>
      <c r="E832" s="1">
        <v>15467427</v>
      </c>
      <c r="F832" s="1">
        <v>598589</v>
      </c>
      <c r="G832" s="4">
        <f t="shared" si="37"/>
        <v>834578.7092981704</v>
      </c>
      <c r="H832" s="4">
        <f t="shared" si="38"/>
        <v>224951.8295073483</v>
      </c>
      <c r="I832" s="17">
        <f t="shared" si="36"/>
        <v>0.73046061803263695</v>
      </c>
      <c r="J832">
        <v>52.84</v>
      </c>
    </row>
    <row r="833" spans="1:10" x14ac:dyDescent="0.25">
      <c r="A833" t="s">
        <v>23</v>
      </c>
      <c r="B833" t="s">
        <v>95</v>
      </c>
      <c r="C833" t="s">
        <v>9</v>
      </c>
      <c r="D833">
        <v>3.03</v>
      </c>
      <c r="E833" s="1">
        <v>13609914</v>
      </c>
      <c r="F833" s="1">
        <v>412380</v>
      </c>
      <c r="G833" s="4">
        <f t="shared" si="37"/>
        <v>669385.91278945107</v>
      </c>
      <c r="H833" s="4">
        <f t="shared" si="38"/>
        <v>252782.44829051325</v>
      </c>
      <c r="I833" s="17">
        <f t="shared" si="36"/>
        <v>0.62236664462040514</v>
      </c>
      <c r="J833">
        <v>46.02</v>
      </c>
    </row>
    <row r="834" spans="1:10" x14ac:dyDescent="0.25">
      <c r="A834" t="s">
        <v>24</v>
      </c>
      <c r="B834" t="s">
        <v>95</v>
      </c>
      <c r="C834" t="s">
        <v>9</v>
      </c>
      <c r="D834">
        <v>0.6</v>
      </c>
      <c r="E834" s="1">
        <v>15843899</v>
      </c>
      <c r="F834" s="1">
        <v>95063</v>
      </c>
      <c r="G834" s="4">
        <f t="shared" si="37"/>
        <v>489481.77383683529</v>
      </c>
      <c r="H834" s="4">
        <f t="shared" si="38"/>
        <v>278052.18574027071</v>
      </c>
      <c r="I834" s="17">
        <f t="shared" si="36"/>
        <v>0.43194578306615944</v>
      </c>
      <c r="J834">
        <v>52.19</v>
      </c>
    </row>
    <row r="835" spans="1:10" x14ac:dyDescent="0.25">
      <c r="A835" t="s">
        <v>25</v>
      </c>
      <c r="B835" t="s">
        <v>95</v>
      </c>
      <c r="C835" t="s">
        <v>9</v>
      </c>
      <c r="D835">
        <v>0.78</v>
      </c>
      <c r="E835" s="1">
        <v>15514006</v>
      </c>
      <c r="F835" s="1">
        <v>121009</v>
      </c>
      <c r="G835" s="4">
        <f t="shared" si="37"/>
        <v>213388.63215105055</v>
      </c>
      <c r="H835" s="4">
        <f t="shared" si="38"/>
        <v>304033.63369772461</v>
      </c>
      <c r="I835" s="17">
        <f t="shared" ref="I835:I898" si="39">(G835-H835)/G835</f>
        <v>-0.42478833400323568</v>
      </c>
      <c r="J835">
        <v>51.12</v>
      </c>
    </row>
    <row r="836" spans="1:10" x14ac:dyDescent="0.25">
      <c r="A836" t="s">
        <v>26</v>
      </c>
      <c r="B836" t="s">
        <v>95</v>
      </c>
      <c r="C836" t="s">
        <v>9</v>
      </c>
      <c r="D836">
        <v>0.94</v>
      </c>
      <c r="E836" s="1">
        <v>14571995</v>
      </c>
      <c r="F836" s="1">
        <v>136977</v>
      </c>
      <c r="G836" s="4">
        <f t="shared" ref="G836:G899" si="40">0.7*F835+0.3*G835</f>
        <v>148722.88964531515</v>
      </c>
      <c r="H836" s="4">
        <f t="shared" si="38"/>
        <v>276979.06346873642</v>
      </c>
      <c r="I836" s="17">
        <f t="shared" si="39"/>
        <v>-0.86238355191521388</v>
      </c>
      <c r="J836">
        <v>48.02</v>
      </c>
    </row>
    <row r="837" spans="1:10" x14ac:dyDescent="0.25">
      <c r="A837" t="s">
        <v>27</v>
      </c>
      <c r="B837" t="s">
        <v>95</v>
      </c>
      <c r="C837" t="s">
        <v>9</v>
      </c>
      <c r="D837">
        <v>1.45</v>
      </c>
      <c r="E837" s="1">
        <v>13208069</v>
      </c>
      <c r="F837" s="1">
        <v>191517</v>
      </c>
      <c r="G837" s="4">
        <f t="shared" si="40"/>
        <v>140500.76689359453</v>
      </c>
      <c r="H837" s="4">
        <f t="shared" si="38"/>
        <v>233978.72518306444</v>
      </c>
      <c r="I837" s="17">
        <f t="shared" si="39"/>
        <v>-0.66531991501700194</v>
      </c>
      <c r="J837">
        <v>43.68</v>
      </c>
    </row>
    <row r="838" spans="1:10" x14ac:dyDescent="0.25">
      <c r="A838" t="s">
        <v>28</v>
      </c>
      <c r="B838" t="s">
        <v>95</v>
      </c>
      <c r="C838" t="s">
        <v>9</v>
      </c>
      <c r="D838">
        <v>0.17</v>
      </c>
      <c r="E838" s="1">
        <v>16513005</v>
      </c>
      <c r="F838" s="1">
        <v>28072</v>
      </c>
      <c r="G838" s="4">
        <f t="shared" si="40"/>
        <v>176212.13006807835</v>
      </c>
      <c r="H838" s="4">
        <f t="shared" ref="H838:H901" si="41">SQRT(SUMXMY2(F835:F837,G835:G837)/3)</f>
        <v>61304.209752921088</v>
      </c>
      <c r="I838" s="17">
        <f t="shared" si="39"/>
        <v>0.65209994494001844</v>
      </c>
      <c r="J838">
        <v>53.82</v>
      </c>
    </row>
    <row r="839" spans="1:10" x14ac:dyDescent="0.25">
      <c r="A839" t="s">
        <v>29</v>
      </c>
      <c r="B839" t="s">
        <v>95</v>
      </c>
      <c r="C839" t="s">
        <v>9</v>
      </c>
      <c r="D839">
        <v>0.8</v>
      </c>
      <c r="E839" s="1">
        <v>14833779</v>
      </c>
      <c r="F839" s="1">
        <v>118670</v>
      </c>
      <c r="G839" s="4">
        <f t="shared" si="40"/>
        <v>72514.039020423501</v>
      </c>
      <c r="H839" s="4">
        <f t="shared" si="41"/>
        <v>90712.219133760576</v>
      </c>
      <c r="I839" s="17">
        <f t="shared" si="39"/>
        <v>-0.25096078441047226</v>
      </c>
      <c r="J839">
        <v>48.58</v>
      </c>
    </row>
    <row r="840" spans="1:10" x14ac:dyDescent="0.25">
      <c r="A840" t="s">
        <v>30</v>
      </c>
      <c r="B840" t="s">
        <v>95</v>
      </c>
      <c r="C840" t="s">
        <v>9</v>
      </c>
      <c r="D840">
        <v>0.38</v>
      </c>
      <c r="E840" s="1">
        <v>15705312</v>
      </c>
      <c r="F840" s="1">
        <v>59680</v>
      </c>
      <c r="G840" s="4">
        <f t="shared" si="40"/>
        <v>104823.21170612705</v>
      </c>
      <c r="H840" s="4">
        <f t="shared" si="41"/>
        <v>94301.867975317189</v>
      </c>
      <c r="I840" s="17">
        <f t="shared" si="39"/>
        <v>0.10037227022108958</v>
      </c>
      <c r="J840">
        <v>51.14</v>
      </c>
    </row>
    <row r="841" spans="1:10" x14ac:dyDescent="0.25">
      <c r="A841" t="s">
        <v>31</v>
      </c>
      <c r="B841" t="s">
        <v>95</v>
      </c>
      <c r="C841" t="s">
        <v>9</v>
      </c>
      <c r="D841">
        <v>1.68</v>
      </c>
      <c r="E841" s="1">
        <v>14318608</v>
      </c>
      <c r="F841" s="1">
        <v>240553</v>
      </c>
      <c r="G841" s="4">
        <f t="shared" si="40"/>
        <v>73222.963511838112</v>
      </c>
      <c r="H841" s="4">
        <f t="shared" si="41"/>
        <v>93298.410907652593</v>
      </c>
      <c r="I841" s="17">
        <f t="shared" si="39"/>
        <v>-0.27416873659543761</v>
      </c>
      <c r="J841">
        <v>47.17</v>
      </c>
    </row>
    <row r="842" spans="1:10" x14ac:dyDescent="0.25">
      <c r="A842" t="s">
        <v>32</v>
      </c>
      <c r="B842" t="s">
        <v>95</v>
      </c>
      <c r="C842" t="s">
        <v>9</v>
      </c>
      <c r="D842">
        <v>2.29</v>
      </c>
      <c r="E842" s="1">
        <v>14103091</v>
      </c>
      <c r="F842" s="1">
        <v>322961</v>
      </c>
      <c r="G842" s="4">
        <f t="shared" si="40"/>
        <v>190353.9890535514</v>
      </c>
      <c r="H842" s="4">
        <f t="shared" si="41"/>
        <v>103549.70369862966</v>
      </c>
      <c r="I842" s="17">
        <f t="shared" si="39"/>
        <v>0.45601505797969644</v>
      </c>
      <c r="J842">
        <v>46.68</v>
      </c>
    </row>
    <row r="843" spans="1:10" x14ac:dyDescent="0.25">
      <c r="A843" t="s">
        <v>33</v>
      </c>
      <c r="B843" t="s">
        <v>95</v>
      </c>
      <c r="C843" t="s">
        <v>9</v>
      </c>
      <c r="D843">
        <v>0.95</v>
      </c>
      <c r="E843" s="1">
        <v>15227837</v>
      </c>
      <c r="F843" s="1">
        <v>144664</v>
      </c>
      <c r="G843" s="4">
        <f t="shared" si="40"/>
        <v>283178.89671606541</v>
      </c>
      <c r="H843" s="4">
        <f t="shared" si="41"/>
        <v>125991.89130842951</v>
      </c>
      <c r="I843" s="17">
        <f t="shared" si="39"/>
        <v>0.55508022395200718</v>
      </c>
      <c r="J843">
        <v>49.64</v>
      </c>
    </row>
    <row r="844" spans="1:10" x14ac:dyDescent="0.25">
      <c r="A844" t="s">
        <v>34</v>
      </c>
      <c r="B844" t="s">
        <v>95</v>
      </c>
      <c r="C844" t="s">
        <v>9</v>
      </c>
      <c r="D844">
        <v>2.41</v>
      </c>
      <c r="E844" s="1">
        <v>15009921</v>
      </c>
      <c r="F844" s="1">
        <v>361739</v>
      </c>
      <c r="G844" s="4">
        <f t="shared" si="40"/>
        <v>186218.4690148196</v>
      </c>
      <c r="H844" s="4">
        <f t="shared" si="41"/>
        <v>146935.74227707315</v>
      </c>
      <c r="I844" s="17">
        <f t="shared" si="39"/>
        <v>0.21094968155183499</v>
      </c>
      <c r="J844">
        <v>49.59</v>
      </c>
    </row>
    <row r="845" spans="1:10" x14ac:dyDescent="0.25">
      <c r="A845" t="s">
        <v>35</v>
      </c>
      <c r="B845" t="s">
        <v>95</v>
      </c>
      <c r="C845" t="s">
        <v>9</v>
      </c>
      <c r="D845">
        <v>3.63</v>
      </c>
      <c r="E845" s="1">
        <v>13593222</v>
      </c>
      <c r="F845" s="1">
        <v>493434</v>
      </c>
      <c r="G845" s="4">
        <f t="shared" si="40"/>
        <v>309082.84070444584</v>
      </c>
      <c r="H845" s="4">
        <f t="shared" si="41"/>
        <v>150087.14442142547</v>
      </c>
      <c r="I845" s="17">
        <f t="shared" si="39"/>
        <v>0.51441126890333189</v>
      </c>
      <c r="J845">
        <v>45.41</v>
      </c>
    </row>
    <row r="846" spans="1:10" x14ac:dyDescent="0.25">
      <c r="A846" t="s">
        <v>36</v>
      </c>
      <c r="B846" t="s">
        <v>95</v>
      </c>
      <c r="C846" t="s">
        <v>9</v>
      </c>
      <c r="D846">
        <v>0.98</v>
      </c>
      <c r="E846" s="1">
        <v>14314823</v>
      </c>
      <c r="F846" s="1">
        <v>140285</v>
      </c>
      <c r="G846" s="4">
        <f t="shared" si="40"/>
        <v>438128.65221133374</v>
      </c>
      <c r="H846" s="4">
        <f t="shared" si="41"/>
        <v>167311.27013563344</v>
      </c>
      <c r="I846" s="17">
        <f t="shared" si="39"/>
        <v>0.61812296618544382</v>
      </c>
      <c r="J846">
        <v>46.47</v>
      </c>
    </row>
    <row r="847" spans="1:10" x14ac:dyDescent="0.25">
      <c r="A847" t="s">
        <v>37</v>
      </c>
      <c r="B847" t="s">
        <v>95</v>
      </c>
      <c r="C847" t="s">
        <v>9</v>
      </c>
      <c r="D847">
        <v>0.88</v>
      </c>
      <c r="E847" s="1">
        <v>14901557</v>
      </c>
      <c r="F847" s="1">
        <v>131134</v>
      </c>
      <c r="G847" s="4">
        <f t="shared" si="40"/>
        <v>229638.0956634001</v>
      </c>
      <c r="H847" s="4">
        <f t="shared" si="41"/>
        <v>226203.18881742907</v>
      </c>
      <c r="I847" s="17">
        <f t="shared" si="39"/>
        <v>1.4957913825438929E-2</v>
      </c>
      <c r="J847">
        <v>48.25</v>
      </c>
    </row>
    <row r="848" spans="1:10" x14ac:dyDescent="0.25">
      <c r="A848" t="s">
        <v>38</v>
      </c>
      <c r="B848" t="s">
        <v>95</v>
      </c>
      <c r="C848" t="s">
        <v>9</v>
      </c>
      <c r="D848">
        <v>2.0099999999999998</v>
      </c>
      <c r="E848" s="1">
        <v>14816106</v>
      </c>
      <c r="F848" s="1">
        <v>297804</v>
      </c>
      <c r="G848" s="4">
        <f t="shared" si="40"/>
        <v>160685.22869902002</v>
      </c>
      <c r="H848" s="4">
        <f t="shared" si="41"/>
        <v>210078.75345424231</v>
      </c>
      <c r="I848" s="17">
        <f t="shared" si="39"/>
        <v>-0.3073930637877203</v>
      </c>
      <c r="J848">
        <v>48.45</v>
      </c>
    </row>
    <row r="849" spans="1:10" x14ac:dyDescent="0.25">
      <c r="A849" t="s">
        <v>39</v>
      </c>
      <c r="B849" t="s">
        <v>95</v>
      </c>
      <c r="C849" t="s">
        <v>9</v>
      </c>
      <c r="D849">
        <v>2.91</v>
      </c>
      <c r="E849" s="1">
        <v>12860192</v>
      </c>
      <c r="F849" s="1">
        <v>374232</v>
      </c>
      <c r="G849" s="4">
        <f t="shared" si="40"/>
        <v>256668.368609706</v>
      </c>
      <c r="H849" s="4">
        <f t="shared" si="41"/>
        <v>197665.92647540502</v>
      </c>
      <c r="I849" s="17">
        <f t="shared" si="39"/>
        <v>0.22987812036948357</v>
      </c>
      <c r="J849">
        <v>42.38</v>
      </c>
    </row>
    <row r="850" spans="1:10" x14ac:dyDescent="0.25">
      <c r="A850" t="s">
        <v>40</v>
      </c>
      <c r="B850" t="s">
        <v>95</v>
      </c>
      <c r="C850" t="s">
        <v>9</v>
      </c>
      <c r="D850">
        <v>0.6</v>
      </c>
      <c r="E850" s="1">
        <v>13843390</v>
      </c>
      <c r="F850" s="1">
        <v>83060</v>
      </c>
      <c r="G850" s="4">
        <f t="shared" si="40"/>
        <v>338962.91058291181</v>
      </c>
      <c r="H850" s="4">
        <f t="shared" si="41"/>
        <v>118779.65837525613</v>
      </c>
      <c r="I850" s="17">
        <f t="shared" si="39"/>
        <v>0.64957918796781722</v>
      </c>
      <c r="J850">
        <v>44.49</v>
      </c>
    </row>
    <row r="851" spans="1:10" x14ac:dyDescent="0.25">
      <c r="A851" t="s">
        <v>41</v>
      </c>
      <c r="B851" t="s">
        <v>95</v>
      </c>
      <c r="C851" t="s">
        <v>9</v>
      </c>
      <c r="D851">
        <v>0.38</v>
      </c>
      <c r="E851" s="1">
        <v>14419564</v>
      </c>
      <c r="F851" s="1">
        <v>54794</v>
      </c>
      <c r="G851" s="4">
        <f t="shared" si="40"/>
        <v>159830.87317487353</v>
      </c>
      <c r="H851" s="4">
        <f t="shared" si="41"/>
        <v>180839.76748636633</v>
      </c>
      <c r="I851" s="17">
        <f t="shared" si="39"/>
        <v>-0.13144453192410849</v>
      </c>
      <c r="J851">
        <v>46.17</v>
      </c>
    </row>
    <row r="852" spans="1:10" x14ac:dyDescent="0.25">
      <c r="A852" t="s">
        <v>42</v>
      </c>
      <c r="B852" t="s">
        <v>95</v>
      </c>
      <c r="C852" t="s">
        <v>9</v>
      </c>
      <c r="D852">
        <v>1.65</v>
      </c>
      <c r="E852" s="1">
        <v>13943696</v>
      </c>
      <c r="F852" s="1">
        <v>230071</v>
      </c>
      <c r="G852" s="4">
        <f t="shared" si="40"/>
        <v>86305.061952462056</v>
      </c>
      <c r="H852" s="4">
        <f t="shared" si="41"/>
        <v>173532.17933746771</v>
      </c>
      <c r="I852" s="17">
        <f t="shared" si="39"/>
        <v>-1.0106836773149119</v>
      </c>
      <c r="J852">
        <v>45.15</v>
      </c>
    </row>
    <row r="853" spans="1:10" x14ac:dyDescent="0.25">
      <c r="A853" t="s">
        <v>43</v>
      </c>
      <c r="B853" t="s">
        <v>95</v>
      </c>
      <c r="C853" t="s">
        <v>9</v>
      </c>
      <c r="D853">
        <v>1.44</v>
      </c>
      <c r="E853" s="1">
        <v>12931767</v>
      </c>
      <c r="F853" s="1">
        <v>186217</v>
      </c>
      <c r="G853" s="4">
        <f t="shared" si="40"/>
        <v>186941.21858573859</v>
      </c>
      <c r="H853" s="4">
        <f t="shared" si="41"/>
        <v>179988.60085558076</v>
      </c>
      <c r="I853" s="17">
        <f t="shared" si="39"/>
        <v>3.7191464690111052E-2</v>
      </c>
      <c r="J853">
        <v>41.72</v>
      </c>
    </row>
    <row r="854" spans="1:10" x14ac:dyDescent="0.25">
      <c r="A854" t="s">
        <v>44</v>
      </c>
      <c r="B854" t="s">
        <v>95</v>
      </c>
      <c r="C854" t="s">
        <v>9</v>
      </c>
      <c r="D854">
        <v>0.65</v>
      </c>
      <c r="E854" s="1">
        <v>13040378</v>
      </c>
      <c r="F854" s="1">
        <v>84762</v>
      </c>
      <c r="G854" s="4">
        <f t="shared" si="40"/>
        <v>186434.26557572157</v>
      </c>
      <c r="H854" s="4">
        <f t="shared" si="41"/>
        <v>102797.39646768445</v>
      </c>
      <c r="I854" s="17">
        <f t="shared" si="39"/>
        <v>0.44861318196931682</v>
      </c>
      <c r="J854">
        <v>41.67</v>
      </c>
    </row>
    <row r="855" spans="1:10" x14ac:dyDescent="0.25">
      <c r="A855" t="s">
        <v>45</v>
      </c>
      <c r="B855" t="s">
        <v>95</v>
      </c>
      <c r="C855" t="s">
        <v>9</v>
      </c>
      <c r="D855">
        <v>0.98</v>
      </c>
      <c r="E855" s="1">
        <v>14335721</v>
      </c>
      <c r="F855" s="1">
        <v>140490</v>
      </c>
      <c r="G855" s="4">
        <f t="shared" si="40"/>
        <v>115263.67967271646</v>
      </c>
      <c r="H855" s="4">
        <f t="shared" si="41"/>
        <v>101663.5284038291</v>
      </c>
      <c r="I855" s="17">
        <f t="shared" si="39"/>
        <v>0.11799164582897306</v>
      </c>
      <c r="J855">
        <v>45.89</v>
      </c>
    </row>
    <row r="856" spans="1:10" x14ac:dyDescent="0.25">
      <c r="A856" t="s">
        <v>46</v>
      </c>
      <c r="B856" t="s">
        <v>95</v>
      </c>
      <c r="C856" t="s">
        <v>9</v>
      </c>
      <c r="D856">
        <v>1.78</v>
      </c>
      <c r="E856" s="1">
        <v>13551873</v>
      </c>
      <c r="F856" s="1">
        <v>241223</v>
      </c>
      <c r="G856" s="4">
        <f t="shared" si="40"/>
        <v>132922.10390181493</v>
      </c>
      <c r="H856" s="4">
        <f t="shared" si="41"/>
        <v>60481.791521952298</v>
      </c>
      <c r="I856" s="17">
        <f t="shared" si="39"/>
        <v>0.54498319130858663</v>
      </c>
      <c r="J856">
        <v>43.67</v>
      </c>
    </row>
    <row r="857" spans="1:10" x14ac:dyDescent="0.25">
      <c r="A857" t="s">
        <v>47</v>
      </c>
      <c r="B857" t="s">
        <v>95</v>
      </c>
      <c r="C857" t="s">
        <v>9</v>
      </c>
      <c r="D857">
        <v>0.85</v>
      </c>
      <c r="E857" s="1">
        <v>11927951</v>
      </c>
      <c r="F857" s="1">
        <v>101388</v>
      </c>
      <c r="G857" s="4">
        <f t="shared" si="40"/>
        <v>208732.73117054446</v>
      </c>
      <c r="H857" s="4">
        <f t="shared" si="41"/>
        <v>86991.763825135873</v>
      </c>
      <c r="I857" s="17">
        <f t="shared" si="39"/>
        <v>0.58323851109838876</v>
      </c>
      <c r="J857">
        <v>38.020000000000003</v>
      </c>
    </row>
    <row r="858" spans="1:10" x14ac:dyDescent="0.25">
      <c r="A858" t="s">
        <v>48</v>
      </c>
      <c r="B858" t="s">
        <v>95</v>
      </c>
      <c r="C858" t="s">
        <v>9</v>
      </c>
      <c r="D858">
        <v>0.24</v>
      </c>
      <c r="E858" s="1">
        <v>12715644</v>
      </c>
      <c r="F858" s="1">
        <v>30518</v>
      </c>
      <c r="G858" s="4">
        <f t="shared" si="40"/>
        <v>133591.41935116332</v>
      </c>
      <c r="H858" s="4">
        <f t="shared" si="41"/>
        <v>89234.41533960063</v>
      </c>
      <c r="I858" s="17">
        <f t="shared" si="39"/>
        <v>0.33203482848673266</v>
      </c>
      <c r="J858">
        <v>40.22</v>
      </c>
    </row>
    <row r="859" spans="1:10" x14ac:dyDescent="0.25">
      <c r="A859" t="s">
        <v>49</v>
      </c>
      <c r="B859" t="s">
        <v>95</v>
      </c>
      <c r="C859" t="s">
        <v>9</v>
      </c>
      <c r="D859">
        <v>5.46</v>
      </c>
      <c r="E859" s="1">
        <v>13911444</v>
      </c>
      <c r="F859" s="1">
        <v>759565</v>
      </c>
      <c r="G859" s="4">
        <f t="shared" si="40"/>
        <v>61440.025805348996</v>
      </c>
      <c r="H859" s="4">
        <f t="shared" si="41"/>
        <v>106263.98760082851</v>
      </c>
      <c r="I859" s="17">
        <f t="shared" si="39"/>
        <v>-0.7295563634281077</v>
      </c>
      <c r="J859">
        <v>46.36</v>
      </c>
    </row>
    <row r="860" spans="1:10" x14ac:dyDescent="0.25">
      <c r="A860" t="s">
        <v>50</v>
      </c>
      <c r="B860" t="s">
        <v>95</v>
      </c>
      <c r="C860" t="s">
        <v>9</v>
      </c>
      <c r="D860">
        <v>5.98</v>
      </c>
      <c r="E860" s="1">
        <v>12888498</v>
      </c>
      <c r="F860" s="1">
        <v>770732</v>
      </c>
      <c r="G860" s="4">
        <f t="shared" si="40"/>
        <v>550127.5077416047</v>
      </c>
      <c r="H860" s="4">
        <f t="shared" si="41"/>
        <v>412118.71294612001</v>
      </c>
      <c r="I860" s="17">
        <f t="shared" si="39"/>
        <v>0.25086692240139269</v>
      </c>
      <c r="J860">
        <v>43.12</v>
      </c>
    </row>
    <row r="861" spans="1:10" x14ac:dyDescent="0.25">
      <c r="A861" t="s">
        <v>51</v>
      </c>
      <c r="B861" t="s">
        <v>95</v>
      </c>
      <c r="C861" t="s">
        <v>9</v>
      </c>
      <c r="D861">
        <v>0.52</v>
      </c>
      <c r="E861" s="1">
        <v>12169803</v>
      </c>
      <c r="F861" s="1">
        <v>63283</v>
      </c>
      <c r="G861" s="4">
        <f t="shared" si="40"/>
        <v>704550.65232248139</v>
      </c>
      <c r="H861" s="4">
        <f t="shared" si="41"/>
        <v>426875.84119023313</v>
      </c>
      <c r="I861" s="17">
        <f t="shared" si="39"/>
        <v>0.39411617918019204</v>
      </c>
      <c r="J861">
        <v>38.42</v>
      </c>
    </row>
    <row r="862" spans="1:10" x14ac:dyDescent="0.25">
      <c r="A862" t="s">
        <v>52</v>
      </c>
      <c r="B862" t="s">
        <v>95</v>
      </c>
      <c r="C862" t="s">
        <v>9</v>
      </c>
      <c r="D862">
        <v>0.37</v>
      </c>
      <c r="E862" s="1">
        <v>12686467</v>
      </c>
      <c r="F862" s="1">
        <v>46940</v>
      </c>
      <c r="G862" s="4">
        <f t="shared" si="40"/>
        <v>255663.2956967444</v>
      </c>
      <c r="H862" s="4">
        <f t="shared" si="41"/>
        <v>561922.00630634779</v>
      </c>
      <c r="I862" s="17">
        <f t="shared" si="39"/>
        <v>-1.1978986259055067</v>
      </c>
      <c r="J862">
        <v>39.93</v>
      </c>
    </row>
    <row r="863" spans="1:10" x14ac:dyDescent="0.25">
      <c r="A863" t="s">
        <v>53</v>
      </c>
      <c r="B863" t="s">
        <v>95</v>
      </c>
      <c r="C863" t="s">
        <v>9</v>
      </c>
      <c r="D863">
        <v>3.15</v>
      </c>
      <c r="E863" s="1">
        <v>13750519</v>
      </c>
      <c r="F863" s="1">
        <v>433141</v>
      </c>
      <c r="G863" s="4">
        <f t="shared" si="40"/>
        <v>109556.98870902332</v>
      </c>
      <c r="H863" s="4">
        <f t="shared" si="41"/>
        <v>409656.74984726822</v>
      </c>
      <c r="I863" s="17">
        <f t="shared" si="39"/>
        <v>-2.7392114795642253</v>
      </c>
      <c r="J863">
        <v>44.46</v>
      </c>
    </row>
    <row r="864" spans="1:10" x14ac:dyDescent="0.25">
      <c r="A864" t="s">
        <v>54</v>
      </c>
      <c r="B864" t="s">
        <v>95</v>
      </c>
      <c r="C864" t="s">
        <v>9</v>
      </c>
      <c r="D864">
        <v>7.13</v>
      </c>
      <c r="E864" s="1">
        <v>12803523</v>
      </c>
      <c r="F864" s="1">
        <v>912891</v>
      </c>
      <c r="G864" s="4">
        <f t="shared" si="40"/>
        <v>336065.79661270697</v>
      </c>
      <c r="H864" s="4">
        <f t="shared" si="41"/>
        <v>431855.00207239948</v>
      </c>
      <c r="I864" s="17">
        <f t="shared" si="39"/>
        <v>-0.28503110529300035</v>
      </c>
      <c r="J864">
        <v>43.1</v>
      </c>
    </row>
    <row r="865" spans="1:10" x14ac:dyDescent="0.25">
      <c r="A865" t="s">
        <v>55</v>
      </c>
      <c r="B865" t="s">
        <v>95</v>
      </c>
      <c r="C865" t="s">
        <v>9</v>
      </c>
      <c r="D865">
        <v>1.19</v>
      </c>
      <c r="E865" s="1">
        <v>11537212</v>
      </c>
      <c r="F865" s="1">
        <v>137293</v>
      </c>
      <c r="G865" s="4">
        <f t="shared" si="40"/>
        <v>739843.438983812</v>
      </c>
      <c r="H865" s="4">
        <f t="shared" si="41"/>
        <v>400416.17591053998</v>
      </c>
      <c r="I865" s="17">
        <f t="shared" si="39"/>
        <v>0.45878255477872637</v>
      </c>
      <c r="J865">
        <v>36.450000000000003</v>
      </c>
    </row>
    <row r="866" spans="1:10" x14ac:dyDescent="0.25">
      <c r="A866" t="s">
        <v>56</v>
      </c>
      <c r="B866" t="s">
        <v>95</v>
      </c>
      <c r="C866" t="s">
        <v>9</v>
      </c>
      <c r="D866">
        <v>0.41</v>
      </c>
      <c r="E866" s="1">
        <v>12756131</v>
      </c>
      <c r="F866" s="1">
        <v>52300</v>
      </c>
      <c r="G866" s="4">
        <f t="shared" si="40"/>
        <v>318058.13169514359</v>
      </c>
      <c r="H866" s="4">
        <f t="shared" si="41"/>
        <v>516559.43805966008</v>
      </c>
      <c r="I866" s="17">
        <f t="shared" si="39"/>
        <v>-0.62410385581582473</v>
      </c>
      <c r="J866">
        <v>39.92</v>
      </c>
    </row>
    <row r="867" spans="1:10" x14ac:dyDescent="0.25">
      <c r="A867" t="s">
        <v>57</v>
      </c>
      <c r="B867" t="s">
        <v>95</v>
      </c>
      <c r="C867" t="s">
        <v>9</v>
      </c>
      <c r="D867">
        <v>2.57</v>
      </c>
      <c r="E867" s="1">
        <v>13938874</v>
      </c>
      <c r="F867" s="1">
        <v>358229</v>
      </c>
      <c r="G867" s="4">
        <f t="shared" si="40"/>
        <v>132027.43950854306</v>
      </c>
      <c r="H867" s="4">
        <f t="shared" si="41"/>
        <v>505444.2703683133</v>
      </c>
      <c r="I867" s="17">
        <f t="shared" si="39"/>
        <v>-2.8283274465502881</v>
      </c>
      <c r="J867">
        <v>44.52</v>
      </c>
    </row>
    <row r="868" spans="1:10" x14ac:dyDescent="0.25">
      <c r="A868" t="s">
        <v>58</v>
      </c>
      <c r="B868" t="s">
        <v>95</v>
      </c>
      <c r="C868" t="s">
        <v>9</v>
      </c>
      <c r="D868">
        <v>4.1100000000000003</v>
      </c>
      <c r="E868" s="1">
        <v>12753657</v>
      </c>
      <c r="F868" s="1">
        <v>524175</v>
      </c>
      <c r="G868" s="4">
        <f t="shared" si="40"/>
        <v>290368.53185256291</v>
      </c>
      <c r="H868" s="4">
        <f t="shared" si="41"/>
        <v>402020.54758865584</v>
      </c>
      <c r="I868" s="17">
        <f t="shared" si="39"/>
        <v>-0.38451830514742275</v>
      </c>
      <c r="J868">
        <v>41.33</v>
      </c>
    </row>
    <row r="869" spans="1:10" x14ac:dyDescent="0.25">
      <c r="A869" t="s">
        <v>59</v>
      </c>
      <c r="B869" t="s">
        <v>95</v>
      </c>
      <c r="C869" t="s">
        <v>9</v>
      </c>
      <c r="D869">
        <v>2.39</v>
      </c>
      <c r="E869" s="1">
        <v>12853818</v>
      </c>
      <c r="F869" s="1">
        <v>307206</v>
      </c>
      <c r="G869" s="4">
        <f t="shared" si="40"/>
        <v>454033.05955576885</v>
      </c>
      <c r="H869" s="4">
        <f t="shared" si="41"/>
        <v>242528.34547631888</v>
      </c>
      <c r="I869" s="17">
        <f t="shared" si="39"/>
        <v>0.46583549287443654</v>
      </c>
      <c r="J869">
        <v>40.85</v>
      </c>
    </row>
    <row r="870" spans="1:10" x14ac:dyDescent="0.25">
      <c r="A870" t="s">
        <v>60</v>
      </c>
      <c r="B870" t="s">
        <v>95</v>
      </c>
      <c r="C870" t="s">
        <v>9</v>
      </c>
      <c r="D870">
        <v>33.17</v>
      </c>
      <c r="E870" s="1">
        <v>9330400</v>
      </c>
      <c r="F870" s="1">
        <v>3094894</v>
      </c>
      <c r="G870" s="4">
        <f t="shared" si="40"/>
        <v>351254.11786673067</v>
      </c>
      <c r="H870" s="4">
        <f t="shared" si="41"/>
        <v>206066.9761138694</v>
      </c>
      <c r="I870" s="17">
        <f t="shared" si="39"/>
        <v>0.41333933004010143</v>
      </c>
      <c r="J870">
        <v>43.25</v>
      </c>
    </row>
    <row r="871" spans="1:10" x14ac:dyDescent="0.25">
      <c r="A871" t="s">
        <v>61</v>
      </c>
      <c r="B871" t="s">
        <v>95</v>
      </c>
      <c r="C871" t="s">
        <v>9</v>
      </c>
      <c r="D871">
        <v>23.72</v>
      </c>
      <c r="E871" s="1">
        <v>10626328</v>
      </c>
      <c r="F871" s="1">
        <v>2520565</v>
      </c>
      <c r="G871" s="4">
        <f t="shared" si="40"/>
        <v>2271802.0353600192</v>
      </c>
      <c r="H871" s="4">
        <f t="shared" si="41"/>
        <v>1592040.9807118275</v>
      </c>
      <c r="I871" s="17">
        <f t="shared" si="39"/>
        <v>0.29921667648319888</v>
      </c>
      <c r="J871">
        <v>43.09</v>
      </c>
    </row>
    <row r="872" spans="1:10" x14ac:dyDescent="0.25">
      <c r="A872" t="s">
        <v>62</v>
      </c>
      <c r="B872" t="s">
        <v>95</v>
      </c>
      <c r="C872" t="s">
        <v>9</v>
      </c>
      <c r="D872">
        <v>10.92</v>
      </c>
      <c r="E872" s="1">
        <v>15396213</v>
      </c>
      <c r="F872" s="1">
        <v>1681266</v>
      </c>
      <c r="G872" s="4">
        <f t="shared" si="40"/>
        <v>2445936.1106080059</v>
      </c>
      <c r="H872" s="4">
        <f t="shared" si="41"/>
        <v>1592796.3879946619</v>
      </c>
      <c r="I872" s="17">
        <f t="shared" si="39"/>
        <v>0.34879885820127665</v>
      </c>
      <c r="J872">
        <v>53.37</v>
      </c>
    </row>
    <row r="873" spans="1:10" x14ac:dyDescent="0.25">
      <c r="A873" t="s">
        <v>63</v>
      </c>
      <c r="B873" t="s">
        <v>95</v>
      </c>
      <c r="C873" t="s">
        <v>9</v>
      </c>
      <c r="D873">
        <v>4.6100000000000003</v>
      </c>
      <c r="E873" s="1">
        <v>13957482</v>
      </c>
      <c r="F873" s="1">
        <v>643440</v>
      </c>
      <c r="G873" s="4">
        <f t="shared" si="40"/>
        <v>1910667.0331824017</v>
      </c>
      <c r="H873" s="4">
        <f t="shared" si="41"/>
        <v>1650672.9126294719</v>
      </c>
      <c r="I873" s="17">
        <f t="shared" si="39"/>
        <v>0.13607505443786527</v>
      </c>
      <c r="J873">
        <v>45.11</v>
      </c>
    </row>
    <row r="874" spans="1:10" x14ac:dyDescent="0.25">
      <c r="A874" t="s">
        <v>64</v>
      </c>
      <c r="B874" t="s">
        <v>95</v>
      </c>
      <c r="C874" t="s">
        <v>9</v>
      </c>
      <c r="D874">
        <v>0</v>
      </c>
      <c r="E874" s="1">
        <v>14448864</v>
      </c>
      <c r="F874">
        <v>0</v>
      </c>
      <c r="G874" s="4">
        <f t="shared" si="40"/>
        <v>1023608.1099547205</v>
      </c>
      <c r="H874" s="4">
        <f t="shared" si="41"/>
        <v>866500.19124098751</v>
      </c>
      <c r="I874" s="17">
        <f t="shared" si="39"/>
        <v>0.15348444115070822</v>
      </c>
      <c r="J874">
        <v>44.48</v>
      </c>
    </row>
    <row r="875" spans="1:10" x14ac:dyDescent="0.25">
      <c r="A875" t="s">
        <v>65</v>
      </c>
      <c r="B875" t="s">
        <v>95</v>
      </c>
      <c r="C875" t="s">
        <v>9</v>
      </c>
      <c r="D875">
        <v>2.68</v>
      </c>
      <c r="E875" s="1">
        <v>11664790</v>
      </c>
      <c r="F875" s="1">
        <v>312616</v>
      </c>
      <c r="G875" s="4">
        <f t="shared" si="40"/>
        <v>307082.43298641616</v>
      </c>
      <c r="H875" s="4">
        <f t="shared" si="41"/>
        <v>1038967.1625305917</v>
      </c>
      <c r="I875" s="17">
        <f t="shared" si="39"/>
        <v>-2.3833493906717567</v>
      </c>
      <c r="J875">
        <v>36.840000000000003</v>
      </c>
    </row>
    <row r="876" spans="1:10" x14ac:dyDescent="0.25">
      <c r="A876" t="s">
        <v>66</v>
      </c>
      <c r="B876" t="s">
        <v>95</v>
      </c>
      <c r="C876" t="s">
        <v>9</v>
      </c>
      <c r="D876">
        <v>1.1100000000000001</v>
      </c>
      <c r="E876" s="1">
        <v>13722339</v>
      </c>
      <c r="F876" s="1">
        <v>152318</v>
      </c>
      <c r="G876" s="4">
        <f t="shared" si="40"/>
        <v>310955.92989592481</v>
      </c>
      <c r="H876" s="4">
        <f t="shared" si="41"/>
        <v>940508.46828674548</v>
      </c>
      <c r="I876" s="17">
        <f t="shared" si="39"/>
        <v>-2.0245715802928355</v>
      </c>
      <c r="J876">
        <v>42.59</v>
      </c>
    </row>
    <row r="877" spans="1:10" x14ac:dyDescent="0.25">
      <c r="A877" t="s">
        <v>67</v>
      </c>
      <c r="B877" t="s">
        <v>95</v>
      </c>
      <c r="C877" t="s">
        <v>9</v>
      </c>
      <c r="D877">
        <v>2.13</v>
      </c>
      <c r="E877" s="1">
        <v>13133425</v>
      </c>
      <c r="F877" s="1">
        <v>279742</v>
      </c>
      <c r="G877" s="4">
        <f t="shared" si="40"/>
        <v>199909.37896877743</v>
      </c>
      <c r="H877" s="4">
        <f t="shared" si="41"/>
        <v>598044.08308268641</v>
      </c>
      <c r="I877" s="17">
        <f t="shared" si="39"/>
        <v>-1.9915759138849163</v>
      </c>
      <c r="J877">
        <v>41.12</v>
      </c>
    </row>
    <row r="878" spans="1:10" x14ac:dyDescent="0.25">
      <c r="A878" t="s">
        <v>68</v>
      </c>
      <c r="B878" t="s">
        <v>95</v>
      </c>
      <c r="C878" t="s">
        <v>9</v>
      </c>
      <c r="D878">
        <v>1.1200000000000001</v>
      </c>
      <c r="E878" s="1">
        <v>13478754</v>
      </c>
      <c r="F878" s="1">
        <v>150962</v>
      </c>
      <c r="G878" s="4">
        <f t="shared" si="40"/>
        <v>255792.21369063322</v>
      </c>
      <c r="H878" s="4">
        <f t="shared" si="41"/>
        <v>102583.07291535802</v>
      </c>
      <c r="I878" s="17">
        <f t="shared" si="39"/>
        <v>0.5989593606651894</v>
      </c>
      <c r="J878">
        <v>41.71</v>
      </c>
    </row>
    <row r="879" spans="1:10" x14ac:dyDescent="0.25">
      <c r="A879" t="s">
        <v>69</v>
      </c>
      <c r="B879" t="s">
        <v>95</v>
      </c>
      <c r="C879" t="s">
        <v>9</v>
      </c>
      <c r="D879">
        <v>3.82</v>
      </c>
      <c r="E879" s="1">
        <v>13160475</v>
      </c>
      <c r="F879" s="1">
        <v>502730</v>
      </c>
      <c r="G879" s="4">
        <f t="shared" si="40"/>
        <v>182411.06410718994</v>
      </c>
      <c r="H879" s="4">
        <f t="shared" si="41"/>
        <v>119063.86785363418</v>
      </c>
      <c r="I879" s="17">
        <f t="shared" si="39"/>
        <v>0.34727715976883478</v>
      </c>
      <c r="J879">
        <v>41.8</v>
      </c>
    </row>
    <row r="880" spans="1:10" x14ac:dyDescent="0.25">
      <c r="A880" t="s">
        <v>70</v>
      </c>
      <c r="B880" t="s">
        <v>95</v>
      </c>
      <c r="C880" t="s">
        <v>9</v>
      </c>
      <c r="D880">
        <v>2.5299999999999998</v>
      </c>
      <c r="E880" s="1">
        <v>14028978</v>
      </c>
      <c r="F880" s="1">
        <v>354933</v>
      </c>
      <c r="G880" s="4">
        <f t="shared" si="40"/>
        <v>406634.31923215697</v>
      </c>
      <c r="H880" s="4">
        <f t="shared" si="41"/>
        <v>199972.36623647177</v>
      </c>
      <c r="I880" s="17">
        <f t="shared" si="39"/>
        <v>0.50822555603748021</v>
      </c>
      <c r="J880">
        <v>43.91</v>
      </c>
    </row>
    <row r="881" spans="1:10" x14ac:dyDescent="0.25">
      <c r="A881" t="s">
        <v>71</v>
      </c>
      <c r="B881" t="s">
        <v>95</v>
      </c>
      <c r="C881" t="s">
        <v>9</v>
      </c>
      <c r="D881">
        <v>0.98</v>
      </c>
      <c r="E881" s="1">
        <v>13418162</v>
      </c>
      <c r="F881" s="1">
        <v>131498</v>
      </c>
      <c r="G881" s="4">
        <f t="shared" si="40"/>
        <v>370443.39576964709</v>
      </c>
      <c r="H881" s="4">
        <f t="shared" si="41"/>
        <v>196864.2686423579</v>
      </c>
      <c r="I881" s="17">
        <f t="shared" si="39"/>
        <v>0.46857125571547764</v>
      </c>
      <c r="J881">
        <v>41.27</v>
      </c>
    </row>
    <row r="882" spans="1:10" x14ac:dyDescent="0.25">
      <c r="A882" t="s">
        <v>72</v>
      </c>
      <c r="B882" t="s">
        <v>95</v>
      </c>
      <c r="C882" t="s">
        <v>9</v>
      </c>
      <c r="D882">
        <v>1.94</v>
      </c>
      <c r="E882" s="1">
        <v>14396676</v>
      </c>
      <c r="F882" s="1">
        <v>279296</v>
      </c>
      <c r="G882" s="4">
        <f t="shared" si="40"/>
        <v>203181.61873089412</v>
      </c>
      <c r="H882" s="4">
        <f t="shared" si="41"/>
        <v>232645.76023170279</v>
      </c>
      <c r="I882" s="17">
        <f t="shared" si="39"/>
        <v>-0.14501381416708145</v>
      </c>
      <c r="J882">
        <v>44.65</v>
      </c>
    </row>
    <row r="883" spans="1:10" x14ac:dyDescent="0.25">
      <c r="A883" t="s">
        <v>73</v>
      </c>
      <c r="B883" t="s">
        <v>95</v>
      </c>
      <c r="C883" t="s">
        <v>9</v>
      </c>
      <c r="D883">
        <v>4.29</v>
      </c>
      <c r="E883" s="1">
        <v>14913774</v>
      </c>
      <c r="F883" s="1">
        <v>639801</v>
      </c>
      <c r="G883" s="4">
        <f t="shared" si="40"/>
        <v>256461.68561926822</v>
      </c>
      <c r="H883" s="4">
        <f t="shared" si="41"/>
        <v>147830.2265053142</v>
      </c>
      <c r="I883" s="17">
        <f t="shared" si="39"/>
        <v>0.42357773190036474</v>
      </c>
      <c r="J883">
        <v>47.31</v>
      </c>
    </row>
    <row r="884" spans="1:10" x14ac:dyDescent="0.25">
      <c r="A884" t="s">
        <v>74</v>
      </c>
      <c r="B884" t="s">
        <v>95</v>
      </c>
      <c r="C884" t="s">
        <v>9</v>
      </c>
      <c r="D884">
        <v>2.79</v>
      </c>
      <c r="E884" s="1">
        <v>15112296</v>
      </c>
      <c r="F884" s="1">
        <v>421633</v>
      </c>
      <c r="G884" s="4">
        <f t="shared" si="40"/>
        <v>524799.20568578038</v>
      </c>
      <c r="H884" s="4">
        <f t="shared" si="41"/>
        <v>264472.63950824959</v>
      </c>
      <c r="I884" s="17">
        <f t="shared" si="39"/>
        <v>0.49604984793631601</v>
      </c>
      <c r="J884">
        <v>47.13</v>
      </c>
    </row>
    <row r="885" spans="1:10" x14ac:dyDescent="0.25">
      <c r="A885" t="s">
        <v>75</v>
      </c>
      <c r="B885" t="s">
        <v>95</v>
      </c>
      <c r="C885" t="s">
        <v>9</v>
      </c>
      <c r="D885">
        <v>2.33</v>
      </c>
      <c r="E885" s="1">
        <v>13784191</v>
      </c>
      <c r="F885" s="1">
        <v>321172</v>
      </c>
      <c r="G885" s="4">
        <f t="shared" si="40"/>
        <v>452582.86170573405</v>
      </c>
      <c r="H885" s="4">
        <f t="shared" si="41"/>
        <v>233370.73151352198</v>
      </c>
      <c r="I885" s="17">
        <f t="shared" si="39"/>
        <v>0.48435800102113041</v>
      </c>
      <c r="J885">
        <v>42.72</v>
      </c>
    </row>
    <row r="886" spans="1:10" x14ac:dyDescent="0.25">
      <c r="A886" t="s">
        <v>76</v>
      </c>
      <c r="B886" t="s">
        <v>95</v>
      </c>
      <c r="C886" t="s">
        <v>9</v>
      </c>
      <c r="D886">
        <v>0.83</v>
      </c>
      <c r="E886" s="1">
        <v>14047211</v>
      </c>
      <c r="F886" s="1">
        <v>116592</v>
      </c>
      <c r="G886" s="4">
        <f t="shared" si="40"/>
        <v>360595.25851172023</v>
      </c>
      <c r="H886" s="4">
        <f t="shared" si="41"/>
        <v>241427.08389886847</v>
      </c>
      <c r="I886" s="17">
        <f t="shared" si="39"/>
        <v>0.33047626611812064</v>
      </c>
      <c r="J886">
        <v>42.81</v>
      </c>
    </row>
    <row r="887" spans="1:10" x14ac:dyDescent="0.25">
      <c r="A887" t="s">
        <v>77</v>
      </c>
      <c r="B887" t="s">
        <v>95</v>
      </c>
      <c r="C887" t="s">
        <v>9</v>
      </c>
      <c r="D887">
        <v>3.79</v>
      </c>
      <c r="E887" s="1">
        <v>13140423</v>
      </c>
      <c r="F887" s="1">
        <v>498022</v>
      </c>
      <c r="G887" s="4">
        <f t="shared" si="40"/>
        <v>189792.97755351604</v>
      </c>
      <c r="H887" s="4">
        <f t="shared" si="41"/>
        <v>170733.38936695195</v>
      </c>
      <c r="I887" s="17">
        <f t="shared" si="39"/>
        <v>0.10042304216018665</v>
      </c>
      <c r="J887">
        <v>41.21</v>
      </c>
    </row>
    <row r="888" spans="1:10" x14ac:dyDescent="0.25">
      <c r="A888" t="s">
        <v>78</v>
      </c>
      <c r="B888" t="s">
        <v>95</v>
      </c>
      <c r="C888" t="s">
        <v>9</v>
      </c>
      <c r="D888">
        <v>0.71</v>
      </c>
      <c r="E888" s="1">
        <v>16020171</v>
      </c>
      <c r="F888" s="1">
        <v>113743</v>
      </c>
      <c r="G888" s="4">
        <f t="shared" si="40"/>
        <v>405553.29326605477</v>
      </c>
      <c r="H888" s="4">
        <f t="shared" si="41"/>
        <v>239312.58151693296</v>
      </c>
      <c r="I888" s="17">
        <f t="shared" si="39"/>
        <v>0.4099108908975449</v>
      </c>
      <c r="J888">
        <v>48.61</v>
      </c>
    </row>
    <row r="889" spans="1:10" x14ac:dyDescent="0.25">
      <c r="A889" t="s">
        <v>79</v>
      </c>
      <c r="B889" t="s">
        <v>95</v>
      </c>
      <c r="C889" t="s">
        <v>9</v>
      </c>
      <c r="D889">
        <v>2.4900000000000002</v>
      </c>
      <c r="E889" s="1">
        <v>12375300</v>
      </c>
      <c r="F889" s="1">
        <v>308145</v>
      </c>
      <c r="G889" s="4">
        <f t="shared" si="40"/>
        <v>201286.08797981642</v>
      </c>
      <c r="H889" s="4">
        <f t="shared" si="41"/>
        <v>282663.50294928032</v>
      </c>
      <c r="I889" s="17">
        <f t="shared" si="39"/>
        <v>-0.40428732947318174</v>
      </c>
      <c r="J889">
        <v>38.18</v>
      </c>
    </row>
    <row r="890" spans="1:10" x14ac:dyDescent="0.25">
      <c r="A890" t="s">
        <v>80</v>
      </c>
      <c r="B890" t="s">
        <v>95</v>
      </c>
      <c r="C890" t="s">
        <v>9</v>
      </c>
      <c r="D890">
        <v>1.39</v>
      </c>
      <c r="E890" s="1">
        <v>13243444</v>
      </c>
      <c r="F890" s="1">
        <v>184084</v>
      </c>
      <c r="G890" s="4">
        <f t="shared" si="40"/>
        <v>276087.32639394491</v>
      </c>
      <c r="H890" s="4">
        <f t="shared" si="41"/>
        <v>252703.51838499948</v>
      </c>
      <c r="I890" s="17">
        <f t="shared" si="39"/>
        <v>8.4697143886928811E-2</v>
      </c>
      <c r="J890">
        <v>40.340000000000003</v>
      </c>
    </row>
    <row r="891" spans="1:10" x14ac:dyDescent="0.25">
      <c r="A891" t="s">
        <v>81</v>
      </c>
      <c r="B891" t="s">
        <v>95</v>
      </c>
      <c r="C891" t="s">
        <v>9</v>
      </c>
      <c r="D891">
        <v>3.57</v>
      </c>
      <c r="E891" s="1">
        <v>12988257</v>
      </c>
      <c r="F891" s="1">
        <v>463681</v>
      </c>
      <c r="G891" s="4">
        <f t="shared" si="40"/>
        <v>211684.99791818345</v>
      </c>
      <c r="H891" s="4">
        <f t="shared" si="41"/>
        <v>187115.54932866927</v>
      </c>
      <c r="I891" s="17">
        <f t="shared" si="39"/>
        <v>0.11606608324228206</v>
      </c>
      <c r="J891">
        <v>40.39</v>
      </c>
    </row>
    <row r="892" spans="1:10" x14ac:dyDescent="0.25">
      <c r="A892" t="s">
        <v>82</v>
      </c>
      <c r="B892" t="s">
        <v>95</v>
      </c>
      <c r="C892" t="s">
        <v>9</v>
      </c>
      <c r="D892">
        <v>1.71</v>
      </c>
      <c r="E892" s="1">
        <v>15067401</v>
      </c>
      <c r="F892" s="1">
        <v>257653</v>
      </c>
      <c r="G892" s="4">
        <f t="shared" si="40"/>
        <v>388082.19937545498</v>
      </c>
      <c r="H892" s="4">
        <f t="shared" si="41"/>
        <v>166718.749406405</v>
      </c>
      <c r="I892" s="17">
        <f t="shared" si="39"/>
        <v>0.57040351328994898</v>
      </c>
      <c r="J892">
        <v>45.9</v>
      </c>
    </row>
    <row r="893" spans="1:10" x14ac:dyDescent="0.25">
      <c r="A893" t="s">
        <v>83</v>
      </c>
      <c r="B893" t="s">
        <v>95</v>
      </c>
      <c r="C893" t="s">
        <v>9</v>
      </c>
      <c r="D893">
        <v>1.65</v>
      </c>
      <c r="E893" s="1">
        <v>13925674</v>
      </c>
      <c r="F893" s="1">
        <v>229774</v>
      </c>
      <c r="G893" s="4">
        <f t="shared" si="40"/>
        <v>296781.75981263648</v>
      </c>
      <c r="H893" s="4">
        <f t="shared" si="41"/>
        <v>172219.21416467233</v>
      </c>
      <c r="I893" s="17">
        <f t="shared" si="39"/>
        <v>0.41971092066642729</v>
      </c>
      <c r="J893">
        <v>42.33</v>
      </c>
    </row>
    <row r="894" spans="1:10" x14ac:dyDescent="0.25">
      <c r="A894" t="s">
        <v>84</v>
      </c>
      <c r="B894" t="s">
        <v>95</v>
      </c>
      <c r="C894" t="s">
        <v>9</v>
      </c>
      <c r="D894">
        <v>1.56</v>
      </c>
      <c r="E894" s="1">
        <v>13128522</v>
      </c>
      <c r="F894" s="1">
        <v>204805</v>
      </c>
      <c r="G894" s="4">
        <f t="shared" si="40"/>
        <v>249876.32794379094</v>
      </c>
      <c r="H894" s="4">
        <f t="shared" si="41"/>
        <v>168328.84580491949</v>
      </c>
      <c r="I894" s="17">
        <f t="shared" si="39"/>
        <v>0.32635137073574794</v>
      </c>
      <c r="J894">
        <v>39.81</v>
      </c>
    </row>
    <row r="895" spans="1:10" x14ac:dyDescent="0.25">
      <c r="A895" t="s">
        <v>7</v>
      </c>
      <c r="B895" t="s">
        <v>96</v>
      </c>
      <c r="C895" t="s">
        <v>9</v>
      </c>
      <c r="D895">
        <v>20.6</v>
      </c>
      <c r="E895" s="1">
        <v>5300277</v>
      </c>
      <c r="F895" s="1">
        <v>1091857</v>
      </c>
      <c r="G895" s="4">
        <f t="shared" si="40"/>
        <v>218326.39838313728</v>
      </c>
      <c r="H895" s="4">
        <f t="shared" si="41"/>
        <v>88568.693730623418</v>
      </c>
      <c r="I895" s="17">
        <f t="shared" si="39"/>
        <v>0.59432897539400742</v>
      </c>
      <c r="J895">
        <v>47.47</v>
      </c>
    </row>
    <row r="896" spans="1:10" x14ac:dyDescent="0.25">
      <c r="A896" t="s">
        <v>10</v>
      </c>
      <c r="B896" t="s">
        <v>96</v>
      </c>
      <c r="C896" t="s">
        <v>9</v>
      </c>
      <c r="D896">
        <v>23.68</v>
      </c>
      <c r="E896" s="1">
        <v>5462975</v>
      </c>
      <c r="F896" s="1">
        <v>1293632</v>
      </c>
      <c r="G896" s="4">
        <f t="shared" si="40"/>
        <v>829797.81951494107</v>
      </c>
      <c r="H896" s="4">
        <f t="shared" si="41"/>
        <v>506483.68727888388</v>
      </c>
      <c r="I896" s="17">
        <f t="shared" si="39"/>
        <v>0.38963000942211529</v>
      </c>
      <c r="J896">
        <v>50.86</v>
      </c>
    </row>
    <row r="897" spans="1:10" x14ac:dyDescent="0.25">
      <c r="A897" t="s">
        <v>11</v>
      </c>
      <c r="B897" t="s">
        <v>96</v>
      </c>
      <c r="C897" t="s">
        <v>9</v>
      </c>
      <c r="D897">
        <v>26.37</v>
      </c>
      <c r="E897" s="1">
        <v>5077492</v>
      </c>
      <c r="F897" s="1">
        <v>1338935</v>
      </c>
      <c r="G897" s="4">
        <f t="shared" si="40"/>
        <v>1154481.7458544823</v>
      </c>
      <c r="H897" s="4">
        <f t="shared" si="41"/>
        <v>571614.46318008809</v>
      </c>
      <c r="I897" s="17">
        <f t="shared" si="39"/>
        <v>0.50487353721040318</v>
      </c>
      <c r="J897">
        <v>48.95</v>
      </c>
    </row>
    <row r="898" spans="1:10" x14ac:dyDescent="0.25">
      <c r="A898" t="s">
        <v>12</v>
      </c>
      <c r="B898" t="s">
        <v>96</v>
      </c>
      <c r="C898" t="s">
        <v>9</v>
      </c>
      <c r="D898">
        <v>17.39</v>
      </c>
      <c r="E898" s="1">
        <v>5514386</v>
      </c>
      <c r="F898" s="1">
        <v>958952</v>
      </c>
      <c r="G898" s="4">
        <f t="shared" si="40"/>
        <v>1283599.0237563446</v>
      </c>
      <c r="H898" s="4">
        <f t="shared" si="41"/>
        <v>580867.4151394146</v>
      </c>
      <c r="I898" s="17">
        <f t="shared" si="39"/>
        <v>0.54746972817137629</v>
      </c>
      <c r="J898">
        <v>47.34</v>
      </c>
    </row>
    <row r="899" spans="1:10" x14ac:dyDescent="0.25">
      <c r="A899" t="s">
        <v>13</v>
      </c>
      <c r="B899" t="s">
        <v>96</v>
      </c>
      <c r="C899" t="s">
        <v>9</v>
      </c>
      <c r="D899">
        <v>13.1</v>
      </c>
      <c r="E899" s="1">
        <v>5675443</v>
      </c>
      <c r="F899" s="1">
        <v>743483</v>
      </c>
      <c r="G899" s="4">
        <f t="shared" si="40"/>
        <v>1056346.1071269033</v>
      </c>
      <c r="H899" s="4">
        <f t="shared" si="41"/>
        <v>343783.28444189456</v>
      </c>
      <c r="I899" s="17">
        <f t="shared" ref="I899:I962" si="42">(G899-H899)/G899</f>
        <v>0.67455431309636615</v>
      </c>
      <c r="J899">
        <v>46.28</v>
      </c>
    </row>
    <row r="900" spans="1:10" x14ac:dyDescent="0.25">
      <c r="A900" t="s">
        <v>14</v>
      </c>
      <c r="B900" t="s">
        <v>96</v>
      </c>
      <c r="C900" t="s">
        <v>9</v>
      </c>
      <c r="D900">
        <v>6.56</v>
      </c>
      <c r="E900" s="1">
        <v>5537808</v>
      </c>
      <c r="F900" s="1">
        <v>363280</v>
      </c>
      <c r="G900" s="4">
        <f t="shared" ref="G900:G963" si="43">0.7*F899+0.3*G899</f>
        <v>837341.93213807093</v>
      </c>
      <c r="H900" s="4">
        <f t="shared" si="41"/>
        <v>281248.4173584056</v>
      </c>
      <c r="I900" s="17">
        <f t="shared" si="42"/>
        <v>0.66411760051205693</v>
      </c>
      <c r="J900">
        <v>41.95</v>
      </c>
    </row>
    <row r="901" spans="1:10" x14ac:dyDescent="0.25">
      <c r="A901" t="s">
        <v>15</v>
      </c>
      <c r="B901" t="s">
        <v>96</v>
      </c>
      <c r="C901" t="s">
        <v>9</v>
      </c>
      <c r="D901">
        <v>12.7</v>
      </c>
      <c r="E901" s="1">
        <v>5161522</v>
      </c>
      <c r="F901" s="1">
        <v>655513</v>
      </c>
      <c r="G901" s="4">
        <f t="shared" si="43"/>
        <v>505498.57964142121</v>
      </c>
      <c r="H901" s="4">
        <f t="shared" si="41"/>
        <v>377718.47070599801</v>
      </c>
      <c r="I901" s="17">
        <f t="shared" si="42"/>
        <v>0.25278035207549915</v>
      </c>
      <c r="J901">
        <v>41.81</v>
      </c>
    </row>
    <row r="902" spans="1:10" x14ac:dyDescent="0.25">
      <c r="A902" t="s">
        <v>16</v>
      </c>
      <c r="B902" t="s">
        <v>96</v>
      </c>
      <c r="C902" t="s">
        <v>9</v>
      </c>
      <c r="D902">
        <v>18.329999999999998</v>
      </c>
      <c r="E902" s="1">
        <v>5779460</v>
      </c>
      <c r="F902" s="1">
        <v>1059375</v>
      </c>
      <c r="G902" s="4">
        <f t="shared" si="43"/>
        <v>610508.6738924263</v>
      </c>
      <c r="H902" s="4">
        <f t="shared" ref="H902:H965" si="44">SQRT(SUMXMY2(F899:F901,G899:G901)/3)</f>
        <v>339176.63324542349</v>
      </c>
      <c r="I902" s="17">
        <f t="shared" si="42"/>
        <v>0.44443601254191589</v>
      </c>
      <c r="J902">
        <v>50</v>
      </c>
    </row>
    <row r="903" spans="1:10" x14ac:dyDescent="0.25">
      <c r="A903" t="s">
        <v>17</v>
      </c>
      <c r="B903" t="s">
        <v>96</v>
      </c>
      <c r="C903" t="s">
        <v>9</v>
      </c>
      <c r="D903">
        <v>5.52</v>
      </c>
      <c r="E903" s="1">
        <v>5593516</v>
      </c>
      <c r="F903" s="1">
        <v>308762</v>
      </c>
      <c r="G903" s="4">
        <f t="shared" si="43"/>
        <v>924715.10216772789</v>
      </c>
      <c r="H903" s="4">
        <f t="shared" si="44"/>
        <v>386747.12691512523</v>
      </c>
      <c r="I903" s="17">
        <f t="shared" si="42"/>
        <v>0.58176618289405235</v>
      </c>
      <c r="J903">
        <v>41.79</v>
      </c>
    </row>
    <row r="904" spans="1:10" x14ac:dyDescent="0.25">
      <c r="A904" t="s">
        <v>18</v>
      </c>
      <c r="B904" t="s">
        <v>96</v>
      </c>
      <c r="C904" t="s">
        <v>9</v>
      </c>
      <c r="D904">
        <v>1.21</v>
      </c>
      <c r="E904" s="1">
        <v>5741752</v>
      </c>
      <c r="F904" s="1">
        <v>69475</v>
      </c>
      <c r="G904" s="4">
        <f t="shared" si="43"/>
        <v>493547.93065031839</v>
      </c>
      <c r="H904" s="4">
        <f t="shared" si="44"/>
        <v>448472.78962380707</v>
      </c>
      <c r="I904" s="17">
        <f t="shared" si="42"/>
        <v>9.1328801575803434E-2</v>
      </c>
      <c r="J904">
        <v>40.99</v>
      </c>
    </row>
    <row r="905" spans="1:10" x14ac:dyDescent="0.25">
      <c r="A905" t="s">
        <v>19</v>
      </c>
      <c r="B905" t="s">
        <v>96</v>
      </c>
      <c r="C905" t="s">
        <v>9</v>
      </c>
      <c r="D905">
        <v>17.399999999999999</v>
      </c>
      <c r="E905" s="1">
        <v>4842570</v>
      </c>
      <c r="F905" s="1">
        <v>842607</v>
      </c>
      <c r="G905" s="4">
        <f t="shared" si="43"/>
        <v>196696.87919509551</v>
      </c>
      <c r="H905" s="4">
        <f t="shared" si="44"/>
        <v>503559.67977778229</v>
      </c>
      <c r="I905" s="17">
        <f t="shared" si="42"/>
        <v>-1.5600796608385548</v>
      </c>
      <c r="J905">
        <v>41.31</v>
      </c>
    </row>
    <row r="906" spans="1:10" x14ac:dyDescent="0.25">
      <c r="A906" t="s">
        <v>20</v>
      </c>
      <c r="B906" t="s">
        <v>96</v>
      </c>
      <c r="C906" t="s">
        <v>9</v>
      </c>
      <c r="D906">
        <v>20.92</v>
      </c>
      <c r="E906" s="1">
        <v>5677441</v>
      </c>
      <c r="F906" s="1">
        <v>1187721</v>
      </c>
      <c r="G906" s="4">
        <f t="shared" si="43"/>
        <v>648833.96375852858</v>
      </c>
      <c r="H906" s="4">
        <f t="shared" si="44"/>
        <v>570507.36446856486</v>
      </c>
      <c r="I906" s="17">
        <f t="shared" si="42"/>
        <v>0.12071901852399625</v>
      </c>
      <c r="J906">
        <v>50.54</v>
      </c>
    </row>
    <row r="907" spans="1:10" x14ac:dyDescent="0.25">
      <c r="A907" t="s">
        <v>21</v>
      </c>
      <c r="B907" t="s">
        <v>96</v>
      </c>
      <c r="C907" t="s">
        <v>9</v>
      </c>
      <c r="D907">
        <v>12.27</v>
      </c>
      <c r="E907" s="1">
        <v>5589822</v>
      </c>
      <c r="F907" s="1">
        <v>685871</v>
      </c>
      <c r="G907" s="4">
        <f t="shared" si="43"/>
        <v>1026054.8891275586</v>
      </c>
      <c r="H907" s="4">
        <f t="shared" si="44"/>
        <v>543886.3154795228</v>
      </c>
      <c r="I907" s="17">
        <f t="shared" si="42"/>
        <v>0.46992473673413082</v>
      </c>
      <c r="J907">
        <v>44.81</v>
      </c>
    </row>
    <row r="908" spans="1:10" x14ac:dyDescent="0.25">
      <c r="A908" t="s">
        <v>22</v>
      </c>
      <c r="B908" t="s">
        <v>96</v>
      </c>
      <c r="C908" t="s">
        <v>9</v>
      </c>
      <c r="D908">
        <v>7.67</v>
      </c>
      <c r="E908" s="1">
        <v>5489803</v>
      </c>
      <c r="F908" s="1">
        <v>421068</v>
      </c>
      <c r="G908" s="4">
        <f t="shared" si="43"/>
        <v>787926.16673826752</v>
      </c>
      <c r="H908" s="4">
        <f t="shared" si="44"/>
        <v>523871.54927178932</v>
      </c>
      <c r="I908" s="17">
        <f t="shared" si="42"/>
        <v>0.335126092536779</v>
      </c>
      <c r="J908">
        <v>41.78</v>
      </c>
    </row>
    <row r="909" spans="1:10" x14ac:dyDescent="0.25">
      <c r="A909" t="s">
        <v>23</v>
      </c>
      <c r="B909" t="s">
        <v>96</v>
      </c>
      <c r="C909" t="s">
        <v>9</v>
      </c>
      <c r="D909">
        <v>11.64</v>
      </c>
      <c r="E909" s="1">
        <v>5006907</v>
      </c>
      <c r="F909" s="1">
        <v>582804</v>
      </c>
      <c r="G909" s="4">
        <f t="shared" si="43"/>
        <v>531125.45002148021</v>
      </c>
      <c r="H909" s="4">
        <f t="shared" si="44"/>
        <v>424542.5894432856</v>
      </c>
      <c r="I909" s="17">
        <f t="shared" si="42"/>
        <v>0.2006736084175294</v>
      </c>
      <c r="J909">
        <v>39.78</v>
      </c>
    </row>
    <row r="910" spans="1:10" x14ac:dyDescent="0.25">
      <c r="A910" t="s">
        <v>24</v>
      </c>
      <c r="B910" t="s">
        <v>96</v>
      </c>
      <c r="C910" t="s">
        <v>9</v>
      </c>
      <c r="D910">
        <v>4.05</v>
      </c>
      <c r="E910" s="1">
        <v>5612425</v>
      </c>
      <c r="F910" s="1">
        <v>227303</v>
      </c>
      <c r="G910" s="4">
        <f t="shared" si="43"/>
        <v>567300.43500644411</v>
      </c>
      <c r="H910" s="4">
        <f t="shared" si="44"/>
        <v>290390.92355673236</v>
      </c>
      <c r="I910" s="17">
        <f t="shared" si="42"/>
        <v>0.48811792546319177</v>
      </c>
      <c r="J910">
        <v>41.03</v>
      </c>
    </row>
    <row r="911" spans="1:10" x14ac:dyDescent="0.25">
      <c r="A911" t="s">
        <v>25</v>
      </c>
      <c r="B911" t="s">
        <v>96</v>
      </c>
      <c r="C911" t="s">
        <v>9</v>
      </c>
      <c r="D911">
        <v>10.23</v>
      </c>
      <c r="E911" s="1">
        <v>5074510</v>
      </c>
      <c r="F911" s="1">
        <v>519122</v>
      </c>
      <c r="G911" s="4">
        <f t="shared" si="43"/>
        <v>329302.2305019332</v>
      </c>
      <c r="H911" s="4">
        <f t="shared" si="44"/>
        <v>290318.12599365663</v>
      </c>
      <c r="I911" s="17">
        <f t="shared" si="42"/>
        <v>0.1183839673629168</v>
      </c>
      <c r="J911">
        <v>39.61</v>
      </c>
    </row>
    <row r="912" spans="1:10" x14ac:dyDescent="0.25">
      <c r="A912" t="s">
        <v>26</v>
      </c>
      <c r="B912" t="s">
        <v>96</v>
      </c>
      <c r="C912" t="s">
        <v>9</v>
      </c>
      <c r="D912">
        <v>4.76</v>
      </c>
      <c r="E912" s="1">
        <v>5265340</v>
      </c>
      <c r="F912" s="1">
        <v>250630</v>
      </c>
      <c r="G912" s="4">
        <f t="shared" si="43"/>
        <v>462176.06915057992</v>
      </c>
      <c r="H912" s="4">
        <f t="shared" si="44"/>
        <v>226789.530351486</v>
      </c>
      <c r="I912" s="17">
        <f t="shared" si="42"/>
        <v>0.50930057722742772</v>
      </c>
      <c r="J912">
        <v>38.71</v>
      </c>
    </row>
    <row r="913" spans="1:10" x14ac:dyDescent="0.25">
      <c r="A913" t="s">
        <v>27</v>
      </c>
      <c r="B913" t="s">
        <v>96</v>
      </c>
      <c r="C913" t="s">
        <v>9</v>
      </c>
      <c r="D913">
        <v>8.52</v>
      </c>
      <c r="E913" s="1">
        <v>4912673</v>
      </c>
      <c r="F913" s="1">
        <v>418560</v>
      </c>
      <c r="G913" s="4">
        <f t="shared" si="43"/>
        <v>314093.82074517396</v>
      </c>
      <c r="H913" s="4">
        <f t="shared" si="44"/>
        <v>255852.52267424317</v>
      </c>
      <c r="I913" s="17">
        <f t="shared" si="42"/>
        <v>0.18542643702049227</v>
      </c>
      <c r="J913">
        <v>37.57</v>
      </c>
    </row>
    <row r="914" spans="1:10" x14ac:dyDescent="0.25">
      <c r="A914" t="s">
        <v>28</v>
      </c>
      <c r="B914" t="s">
        <v>96</v>
      </c>
      <c r="C914" t="s">
        <v>9</v>
      </c>
      <c r="D914">
        <v>4.41</v>
      </c>
      <c r="E914" s="1">
        <v>5648257</v>
      </c>
      <c r="F914" s="1">
        <v>249088</v>
      </c>
      <c r="G914" s="4">
        <f t="shared" si="43"/>
        <v>387220.14622355218</v>
      </c>
      <c r="H914" s="4">
        <f t="shared" si="44"/>
        <v>174829.88576848313</v>
      </c>
      <c r="I914" s="17">
        <f t="shared" si="42"/>
        <v>0.54850002647447649</v>
      </c>
      <c r="J914">
        <v>41.3</v>
      </c>
    </row>
    <row r="915" spans="1:10" x14ac:dyDescent="0.25">
      <c r="A915" t="s">
        <v>29</v>
      </c>
      <c r="B915" t="s">
        <v>96</v>
      </c>
      <c r="C915" t="s">
        <v>9</v>
      </c>
      <c r="D915">
        <v>5.54</v>
      </c>
      <c r="E915" s="1">
        <v>5029347</v>
      </c>
      <c r="F915" s="1">
        <v>278626</v>
      </c>
      <c r="G915" s="4">
        <f t="shared" si="43"/>
        <v>290527.64386706561</v>
      </c>
      <c r="H915" s="4">
        <f t="shared" si="44"/>
        <v>157845.29535961067</v>
      </c>
      <c r="I915" s="17">
        <f t="shared" si="42"/>
        <v>0.45669440174913384</v>
      </c>
      <c r="J915">
        <v>37.17</v>
      </c>
    </row>
    <row r="916" spans="1:10" x14ac:dyDescent="0.25">
      <c r="A916" t="s">
        <v>30</v>
      </c>
      <c r="B916" t="s">
        <v>96</v>
      </c>
      <c r="C916" t="s">
        <v>9</v>
      </c>
      <c r="D916">
        <v>11.6</v>
      </c>
      <c r="E916" s="1">
        <v>5465402</v>
      </c>
      <c r="F916" s="1">
        <v>633987</v>
      </c>
      <c r="G916" s="4">
        <f t="shared" si="43"/>
        <v>282196.49316011963</v>
      </c>
      <c r="H916" s="4">
        <f t="shared" si="44"/>
        <v>100225.28216500516</v>
      </c>
      <c r="I916" s="17">
        <f t="shared" si="42"/>
        <v>0.64483866882025054</v>
      </c>
      <c r="J916">
        <v>43.13</v>
      </c>
    </row>
    <row r="917" spans="1:10" x14ac:dyDescent="0.25">
      <c r="A917" t="s">
        <v>31</v>
      </c>
      <c r="B917" t="s">
        <v>96</v>
      </c>
      <c r="C917" t="s">
        <v>9</v>
      </c>
      <c r="D917">
        <v>11.52</v>
      </c>
      <c r="E917" s="1">
        <v>5253238</v>
      </c>
      <c r="F917" s="1">
        <v>605173</v>
      </c>
      <c r="G917" s="4">
        <f t="shared" si="43"/>
        <v>528449.84794803581</v>
      </c>
      <c r="H917" s="4">
        <f t="shared" si="44"/>
        <v>218310.7110288172</v>
      </c>
      <c r="I917" s="17">
        <f t="shared" si="42"/>
        <v>0.58688471218883875</v>
      </c>
      <c r="J917">
        <v>41.38</v>
      </c>
    </row>
    <row r="918" spans="1:10" x14ac:dyDescent="0.25">
      <c r="A918" t="s">
        <v>32</v>
      </c>
      <c r="B918" t="s">
        <v>96</v>
      </c>
      <c r="C918" t="s">
        <v>9</v>
      </c>
      <c r="D918">
        <v>13.42</v>
      </c>
      <c r="E918" s="1">
        <v>5048010</v>
      </c>
      <c r="F918" s="1">
        <v>677443</v>
      </c>
      <c r="G918" s="4">
        <f t="shared" si="43"/>
        <v>582156.05438441073</v>
      </c>
      <c r="H918" s="4">
        <f t="shared" si="44"/>
        <v>207994.11200815855</v>
      </c>
      <c r="I918" s="17">
        <f t="shared" si="42"/>
        <v>0.64271760047553261</v>
      </c>
      <c r="J918">
        <v>40.6</v>
      </c>
    </row>
    <row r="919" spans="1:10" x14ac:dyDescent="0.25">
      <c r="A919" t="s">
        <v>33</v>
      </c>
      <c r="B919" t="s">
        <v>96</v>
      </c>
      <c r="C919" t="s">
        <v>9</v>
      </c>
      <c r="D919">
        <v>6.56</v>
      </c>
      <c r="E919" s="1">
        <v>5041669</v>
      </c>
      <c r="F919" s="1">
        <v>330733</v>
      </c>
      <c r="G919" s="4">
        <f t="shared" si="43"/>
        <v>648856.91631532321</v>
      </c>
      <c r="H919" s="4">
        <f t="shared" si="44"/>
        <v>215036.89975459018</v>
      </c>
      <c r="I919" s="17">
        <f t="shared" si="42"/>
        <v>0.6685911880608062</v>
      </c>
      <c r="J919">
        <v>37.54</v>
      </c>
    </row>
    <row r="920" spans="1:10" x14ac:dyDescent="0.25">
      <c r="A920" t="s">
        <v>34</v>
      </c>
      <c r="B920" t="s">
        <v>96</v>
      </c>
      <c r="C920" t="s">
        <v>9</v>
      </c>
      <c r="D920">
        <v>7.42</v>
      </c>
      <c r="E920" s="1">
        <v>5522167</v>
      </c>
      <c r="F920" s="1">
        <v>409745</v>
      </c>
      <c r="G920" s="4">
        <f t="shared" si="43"/>
        <v>426170.17489459692</v>
      </c>
      <c r="H920" s="4">
        <f t="shared" si="44"/>
        <v>196781.4948933087</v>
      </c>
      <c r="I920" s="17">
        <f t="shared" si="42"/>
        <v>0.53825606181385655</v>
      </c>
      <c r="J920">
        <v>41.46</v>
      </c>
    </row>
    <row r="921" spans="1:10" x14ac:dyDescent="0.25">
      <c r="A921" t="s">
        <v>35</v>
      </c>
      <c r="B921" t="s">
        <v>96</v>
      </c>
      <c r="C921" t="s">
        <v>9</v>
      </c>
      <c r="D921">
        <v>11.21</v>
      </c>
      <c r="E921" s="1">
        <v>5069678</v>
      </c>
      <c r="F921" s="1">
        <v>568311</v>
      </c>
      <c r="G921" s="4">
        <f t="shared" si="43"/>
        <v>414672.55246837909</v>
      </c>
      <c r="H921" s="4">
        <f t="shared" si="44"/>
        <v>191965.46087501012</v>
      </c>
      <c r="I921" s="17">
        <f t="shared" si="42"/>
        <v>0.53706735656286664</v>
      </c>
      <c r="J921">
        <v>39.65</v>
      </c>
    </row>
    <row r="922" spans="1:10" x14ac:dyDescent="0.25">
      <c r="A922" t="s">
        <v>36</v>
      </c>
      <c r="B922" t="s">
        <v>96</v>
      </c>
      <c r="C922" t="s">
        <v>9</v>
      </c>
      <c r="D922">
        <v>5.91</v>
      </c>
      <c r="E922" s="1">
        <v>5061784</v>
      </c>
      <c r="F922" s="1">
        <v>299151</v>
      </c>
      <c r="G922" s="4">
        <f t="shared" si="43"/>
        <v>522219.46574051364</v>
      </c>
      <c r="H922" s="4">
        <f t="shared" si="44"/>
        <v>204187.32009443641</v>
      </c>
      <c r="I922" s="17">
        <f t="shared" si="42"/>
        <v>0.60900094023707774</v>
      </c>
      <c r="J922">
        <v>37.32</v>
      </c>
    </row>
    <row r="923" spans="1:10" x14ac:dyDescent="0.25">
      <c r="A923" t="s">
        <v>37</v>
      </c>
      <c r="B923" t="s">
        <v>96</v>
      </c>
      <c r="C923" t="s">
        <v>9</v>
      </c>
      <c r="D923">
        <v>4.97</v>
      </c>
      <c r="E923" s="1">
        <v>5195194</v>
      </c>
      <c r="F923" s="1">
        <v>258201</v>
      </c>
      <c r="G923" s="4">
        <f t="shared" si="43"/>
        <v>366071.53972215403</v>
      </c>
      <c r="H923" s="4">
        <f t="shared" si="44"/>
        <v>156667.4815632049</v>
      </c>
      <c r="I923" s="17">
        <f t="shared" si="42"/>
        <v>0.57203042421130434</v>
      </c>
      <c r="J923">
        <v>37.89</v>
      </c>
    </row>
    <row r="924" spans="1:10" x14ac:dyDescent="0.25">
      <c r="A924" t="s">
        <v>38</v>
      </c>
      <c r="B924" t="s">
        <v>96</v>
      </c>
      <c r="C924" t="s">
        <v>9</v>
      </c>
      <c r="D924">
        <v>8.99</v>
      </c>
      <c r="E924" s="1">
        <v>5543620</v>
      </c>
      <c r="F924" s="1">
        <v>498371</v>
      </c>
      <c r="G924" s="4">
        <f t="shared" si="43"/>
        <v>290562.16191664618</v>
      </c>
      <c r="H924" s="4">
        <f t="shared" si="44"/>
        <v>168325.44500431512</v>
      </c>
      <c r="I924" s="17">
        <f t="shared" si="42"/>
        <v>0.42069041648787436</v>
      </c>
      <c r="J924">
        <v>42.18</v>
      </c>
    </row>
    <row r="925" spans="1:10" x14ac:dyDescent="0.25">
      <c r="A925" t="s">
        <v>39</v>
      </c>
      <c r="B925" t="s">
        <v>96</v>
      </c>
      <c r="C925" t="s">
        <v>9</v>
      </c>
      <c r="D925">
        <v>8.3800000000000008</v>
      </c>
      <c r="E925" s="1">
        <v>5003177</v>
      </c>
      <c r="F925" s="1">
        <v>419266</v>
      </c>
      <c r="G925" s="4">
        <f t="shared" si="43"/>
        <v>436028.34857499378</v>
      </c>
      <c r="H925" s="4">
        <f t="shared" si="44"/>
        <v>186708.42413893118</v>
      </c>
      <c r="I925" s="17">
        <f t="shared" si="42"/>
        <v>0.57179751098954368</v>
      </c>
      <c r="J925">
        <v>37.78</v>
      </c>
    </row>
    <row r="926" spans="1:10" x14ac:dyDescent="0.25">
      <c r="A926" t="s">
        <v>41</v>
      </c>
      <c r="B926" t="s">
        <v>96</v>
      </c>
      <c r="C926" t="s">
        <v>9</v>
      </c>
      <c r="D926">
        <v>3.68</v>
      </c>
      <c r="E926" s="1">
        <v>5269194</v>
      </c>
      <c r="F926" s="1">
        <v>193906</v>
      </c>
      <c r="G926" s="4">
        <f t="shared" si="43"/>
        <v>424294.7045724981</v>
      </c>
      <c r="H926" s="4">
        <f t="shared" si="44"/>
        <v>135525.57305450016</v>
      </c>
      <c r="I926" s="17">
        <f t="shared" si="42"/>
        <v>0.68058622557863369</v>
      </c>
      <c r="J926">
        <v>37.78</v>
      </c>
    </row>
    <row r="927" spans="1:10" x14ac:dyDescent="0.25">
      <c r="A927" t="s">
        <v>42</v>
      </c>
      <c r="B927" t="s">
        <v>96</v>
      </c>
      <c r="C927" t="s">
        <v>9</v>
      </c>
      <c r="D927">
        <v>8.2799999999999994</v>
      </c>
      <c r="E927" s="1">
        <v>5380921</v>
      </c>
      <c r="F927" s="1">
        <v>445540</v>
      </c>
      <c r="G927" s="4">
        <f t="shared" si="43"/>
        <v>263022.61137174943</v>
      </c>
      <c r="H927" s="4">
        <f t="shared" si="44"/>
        <v>179391.97744036844</v>
      </c>
      <c r="I927" s="17">
        <f t="shared" si="42"/>
        <v>0.31795986472501253</v>
      </c>
      <c r="J927">
        <v>40.479999999999997</v>
      </c>
    </row>
    <row r="928" spans="1:10" x14ac:dyDescent="0.25">
      <c r="A928" t="s">
        <v>43</v>
      </c>
      <c r="B928" t="s">
        <v>96</v>
      </c>
      <c r="C928" t="s">
        <v>9</v>
      </c>
      <c r="D928">
        <v>6.8</v>
      </c>
      <c r="E928" s="1">
        <v>5050544</v>
      </c>
      <c r="F928" s="1">
        <v>343437</v>
      </c>
      <c r="G928" s="4">
        <f t="shared" si="43"/>
        <v>390784.78341152484</v>
      </c>
      <c r="H928" s="4">
        <f t="shared" si="44"/>
        <v>169973.0651956551</v>
      </c>
      <c r="I928" s="17">
        <f t="shared" si="42"/>
        <v>0.56504686873475041</v>
      </c>
      <c r="J928">
        <v>37.35</v>
      </c>
    </row>
    <row r="929" spans="1:10" x14ac:dyDescent="0.25">
      <c r="A929" t="s">
        <v>44</v>
      </c>
      <c r="B929" t="s">
        <v>96</v>
      </c>
      <c r="C929" t="s">
        <v>9</v>
      </c>
      <c r="D929">
        <v>9.31</v>
      </c>
      <c r="E929" s="1">
        <v>4921237</v>
      </c>
      <c r="F929" s="1">
        <v>458167</v>
      </c>
      <c r="G929" s="4">
        <f t="shared" si="43"/>
        <v>357641.33502345742</v>
      </c>
      <c r="H929" s="4">
        <f t="shared" si="44"/>
        <v>171885.00510540404</v>
      </c>
      <c r="I929" s="17">
        <f t="shared" si="42"/>
        <v>0.51939278748601514</v>
      </c>
      <c r="J929">
        <v>37.369999999999997</v>
      </c>
    </row>
    <row r="930" spans="1:10" x14ac:dyDescent="0.25">
      <c r="A930" t="s">
        <v>45</v>
      </c>
      <c r="B930" t="s">
        <v>96</v>
      </c>
      <c r="C930" t="s">
        <v>9</v>
      </c>
      <c r="D930">
        <v>6.84</v>
      </c>
      <c r="E930" s="1">
        <v>5222669</v>
      </c>
      <c r="F930" s="1">
        <v>357231</v>
      </c>
      <c r="G930" s="4">
        <f t="shared" si="43"/>
        <v>428009.3005070372</v>
      </c>
      <c r="H930" s="4">
        <f t="shared" si="44"/>
        <v>123369.11967024891</v>
      </c>
      <c r="I930" s="17">
        <f t="shared" si="42"/>
        <v>0.71176065677988565</v>
      </c>
      <c r="J930">
        <v>38.57</v>
      </c>
    </row>
    <row r="931" spans="1:10" x14ac:dyDescent="0.25">
      <c r="A931" t="s">
        <v>46</v>
      </c>
      <c r="B931" t="s">
        <v>96</v>
      </c>
      <c r="C931" t="s">
        <v>9</v>
      </c>
      <c r="D931">
        <v>8.6300000000000008</v>
      </c>
      <c r="E931" s="1">
        <v>5449506</v>
      </c>
      <c r="F931" s="1">
        <v>470292</v>
      </c>
      <c r="G931" s="4">
        <f t="shared" si="43"/>
        <v>378464.49015211116</v>
      </c>
      <c r="H931" s="4">
        <f t="shared" si="44"/>
        <v>76063.109182715751</v>
      </c>
      <c r="I931" s="17">
        <f t="shared" si="42"/>
        <v>0.79902180742995266</v>
      </c>
      <c r="J931">
        <v>41</v>
      </c>
    </row>
    <row r="932" spans="1:10" x14ac:dyDescent="0.25">
      <c r="A932" t="s">
        <v>47</v>
      </c>
      <c r="B932" t="s">
        <v>96</v>
      </c>
      <c r="C932" t="s">
        <v>9</v>
      </c>
      <c r="D932">
        <v>6.47</v>
      </c>
      <c r="E932" s="1">
        <v>4834731</v>
      </c>
      <c r="F932" s="1">
        <v>312807</v>
      </c>
      <c r="G932" s="4">
        <f t="shared" si="43"/>
        <v>442743.74704563332</v>
      </c>
      <c r="H932" s="4">
        <f t="shared" si="44"/>
        <v>88595.087724065655</v>
      </c>
      <c r="I932" s="17">
        <f t="shared" si="42"/>
        <v>0.79989533829614046</v>
      </c>
      <c r="J932">
        <v>35.5</v>
      </c>
    </row>
    <row r="933" spans="1:10" x14ac:dyDescent="0.25">
      <c r="A933" t="s">
        <v>48</v>
      </c>
      <c r="B933" t="s">
        <v>96</v>
      </c>
      <c r="C933" t="s">
        <v>9</v>
      </c>
      <c r="D933">
        <v>9.9700000000000006</v>
      </c>
      <c r="E933" s="1">
        <v>5119786</v>
      </c>
      <c r="F933" s="1">
        <v>510443</v>
      </c>
      <c r="G933" s="4">
        <f t="shared" si="43"/>
        <v>351788.02411369001</v>
      </c>
      <c r="H933" s="4">
        <f t="shared" si="44"/>
        <v>100540.89983737875</v>
      </c>
      <c r="I933" s="17">
        <f t="shared" si="42"/>
        <v>0.71420033387809079</v>
      </c>
      <c r="J933">
        <v>39.020000000000003</v>
      </c>
    </row>
    <row r="934" spans="1:10" x14ac:dyDescent="0.25">
      <c r="A934" t="s">
        <v>49</v>
      </c>
      <c r="B934" t="s">
        <v>96</v>
      </c>
      <c r="C934" t="s">
        <v>9</v>
      </c>
      <c r="D934">
        <v>6.63</v>
      </c>
      <c r="E934" s="1">
        <v>5184353</v>
      </c>
      <c r="F934" s="1">
        <v>343723</v>
      </c>
      <c r="G934" s="4">
        <f t="shared" si="43"/>
        <v>462846.507234107</v>
      </c>
      <c r="H934" s="4">
        <f t="shared" si="44"/>
        <v>129726.95835375496</v>
      </c>
      <c r="I934" s="17">
        <f t="shared" si="42"/>
        <v>0.71971926691424881</v>
      </c>
      <c r="J934">
        <v>38.07</v>
      </c>
    </row>
    <row r="935" spans="1:10" x14ac:dyDescent="0.25">
      <c r="A935" t="s">
        <v>50</v>
      </c>
      <c r="B935" t="s">
        <v>96</v>
      </c>
      <c r="C935" t="s">
        <v>9</v>
      </c>
      <c r="D935">
        <v>9</v>
      </c>
      <c r="E935" s="1">
        <v>5605625</v>
      </c>
      <c r="F935" s="1">
        <v>504506</v>
      </c>
      <c r="G935" s="4">
        <f t="shared" si="43"/>
        <v>379460.05217023205</v>
      </c>
      <c r="H935" s="4">
        <f t="shared" si="44"/>
        <v>136925.00329504086</v>
      </c>
      <c r="I935" s="17">
        <f t="shared" si="42"/>
        <v>0.63915831847929527</v>
      </c>
      <c r="J935">
        <v>42.19</v>
      </c>
    </row>
    <row r="936" spans="1:10" x14ac:dyDescent="0.25">
      <c r="A936" t="s">
        <v>51</v>
      </c>
      <c r="B936" t="s">
        <v>96</v>
      </c>
      <c r="C936" t="s">
        <v>9</v>
      </c>
      <c r="D936">
        <v>4.95</v>
      </c>
      <c r="E936" s="1">
        <v>4855392</v>
      </c>
      <c r="F936" s="1">
        <v>240342</v>
      </c>
      <c r="G936" s="4">
        <f t="shared" si="43"/>
        <v>466992.21565106953</v>
      </c>
      <c r="H936" s="4">
        <f t="shared" si="44"/>
        <v>135398.54802013817</v>
      </c>
      <c r="I936" s="17">
        <f t="shared" si="42"/>
        <v>0.71006251607134674</v>
      </c>
      <c r="J936">
        <v>34.96</v>
      </c>
    </row>
    <row r="937" spans="1:10" x14ac:dyDescent="0.25">
      <c r="A937" t="s">
        <v>52</v>
      </c>
      <c r="B937" t="s">
        <v>96</v>
      </c>
      <c r="C937" t="s">
        <v>9</v>
      </c>
      <c r="D937">
        <v>10.32</v>
      </c>
      <c r="E937" s="1">
        <v>5233449</v>
      </c>
      <c r="F937" s="1">
        <v>540092</v>
      </c>
      <c r="G937" s="4">
        <f t="shared" si="43"/>
        <v>308337.06469532085</v>
      </c>
      <c r="H937" s="4">
        <f t="shared" si="44"/>
        <v>164516.68537372909</v>
      </c>
      <c r="I937" s="17">
        <f t="shared" si="42"/>
        <v>0.46643882876587006</v>
      </c>
      <c r="J937">
        <v>39.9</v>
      </c>
    </row>
    <row r="938" spans="1:10" x14ac:dyDescent="0.25">
      <c r="A938" t="s">
        <v>53</v>
      </c>
      <c r="B938" t="s">
        <v>96</v>
      </c>
      <c r="C938" t="s">
        <v>9</v>
      </c>
      <c r="D938">
        <v>5.35</v>
      </c>
      <c r="E938" s="1">
        <v>5400501</v>
      </c>
      <c r="F938" s="1">
        <v>288927</v>
      </c>
      <c r="G938" s="4">
        <f t="shared" si="43"/>
        <v>470565.51940859621</v>
      </c>
      <c r="H938" s="4">
        <f t="shared" si="44"/>
        <v>200596.74254699601</v>
      </c>
      <c r="I938" s="17">
        <f t="shared" si="42"/>
        <v>0.57371134459850626</v>
      </c>
      <c r="J938">
        <v>38.97</v>
      </c>
    </row>
    <row r="939" spans="1:10" x14ac:dyDescent="0.25">
      <c r="A939" t="s">
        <v>54</v>
      </c>
      <c r="B939" t="s">
        <v>96</v>
      </c>
      <c r="C939" t="s">
        <v>9</v>
      </c>
      <c r="D939">
        <v>9.14</v>
      </c>
      <c r="E939" s="1">
        <v>5328825</v>
      </c>
      <c r="F939" s="1">
        <v>487055</v>
      </c>
      <c r="G939" s="4">
        <f t="shared" si="43"/>
        <v>343418.55582257884</v>
      </c>
      <c r="H939" s="4">
        <f t="shared" si="44"/>
        <v>214532.99825877551</v>
      </c>
      <c r="I939" s="17">
        <f t="shared" si="42"/>
        <v>0.37530167015899335</v>
      </c>
      <c r="J939">
        <v>40.020000000000003</v>
      </c>
    </row>
    <row r="940" spans="1:10" x14ac:dyDescent="0.25">
      <c r="A940" t="s">
        <v>55</v>
      </c>
      <c r="B940" t="s">
        <v>96</v>
      </c>
      <c r="C940" t="s">
        <v>9</v>
      </c>
      <c r="D940">
        <v>5</v>
      </c>
      <c r="E940" s="1">
        <v>4557907</v>
      </c>
      <c r="F940" s="1">
        <v>227895</v>
      </c>
      <c r="G940" s="4">
        <f t="shared" si="43"/>
        <v>443964.06674677366</v>
      </c>
      <c r="H940" s="4">
        <f t="shared" si="44"/>
        <v>189151.02419932108</v>
      </c>
      <c r="I940" s="17">
        <f t="shared" si="42"/>
        <v>0.57394969916065697</v>
      </c>
      <c r="J940">
        <v>32.71</v>
      </c>
    </row>
    <row r="941" spans="1:10" x14ac:dyDescent="0.25">
      <c r="A941" t="s">
        <v>56</v>
      </c>
      <c r="B941" t="s">
        <v>96</v>
      </c>
      <c r="C941" t="s">
        <v>9</v>
      </c>
      <c r="D941">
        <v>10.77</v>
      </c>
      <c r="E941" s="1">
        <v>5065808</v>
      </c>
      <c r="F941" s="1">
        <v>545588</v>
      </c>
      <c r="G941" s="4">
        <f t="shared" si="43"/>
        <v>292715.72002403205</v>
      </c>
      <c r="H941" s="4">
        <f t="shared" si="44"/>
        <v>182856.79408916525</v>
      </c>
      <c r="I941" s="17">
        <f t="shared" si="42"/>
        <v>0.37530927934395647</v>
      </c>
      <c r="J941">
        <v>38.67</v>
      </c>
    </row>
    <row r="942" spans="1:10" x14ac:dyDescent="0.25">
      <c r="A942" t="s">
        <v>57</v>
      </c>
      <c r="B942" t="s">
        <v>96</v>
      </c>
      <c r="C942" t="s">
        <v>9</v>
      </c>
      <c r="D942">
        <v>4.1100000000000003</v>
      </c>
      <c r="E942" s="1">
        <v>5307026</v>
      </c>
      <c r="F942" s="1">
        <v>218119</v>
      </c>
      <c r="G942" s="4">
        <f t="shared" si="43"/>
        <v>469726.31600720959</v>
      </c>
      <c r="H942" s="4">
        <f t="shared" si="44"/>
        <v>209174.29708339684</v>
      </c>
      <c r="I942" s="17">
        <f t="shared" si="42"/>
        <v>0.55468899664504567</v>
      </c>
      <c r="J942">
        <v>37.659999999999997</v>
      </c>
    </row>
    <row r="943" spans="1:10" x14ac:dyDescent="0.25">
      <c r="A943" t="s">
        <v>58</v>
      </c>
      <c r="B943" t="s">
        <v>96</v>
      </c>
      <c r="C943" t="s">
        <v>9</v>
      </c>
      <c r="D943">
        <v>8.91</v>
      </c>
      <c r="E943" s="1">
        <v>5203579</v>
      </c>
      <c r="F943" s="1">
        <v>463639</v>
      </c>
      <c r="G943" s="4">
        <f t="shared" si="43"/>
        <v>293601.19480216282</v>
      </c>
      <c r="H943" s="4">
        <f t="shared" si="44"/>
        <v>240787.92401434772</v>
      </c>
      <c r="I943" s="17">
        <f t="shared" si="42"/>
        <v>0.17988098046876902</v>
      </c>
      <c r="J943">
        <v>38.840000000000003</v>
      </c>
    </row>
    <row r="944" spans="1:10" x14ac:dyDescent="0.25">
      <c r="A944" t="s">
        <v>59</v>
      </c>
      <c r="B944" t="s">
        <v>96</v>
      </c>
      <c r="C944" t="s">
        <v>9</v>
      </c>
      <c r="D944">
        <v>8.85</v>
      </c>
      <c r="E944" s="1">
        <v>4141953</v>
      </c>
      <c r="F944" s="1">
        <v>366563</v>
      </c>
      <c r="G944" s="4">
        <f t="shared" si="43"/>
        <v>412627.65844064881</v>
      </c>
      <c r="H944" s="4">
        <f t="shared" si="44"/>
        <v>228154.54312453346</v>
      </c>
      <c r="I944" s="17">
        <f t="shared" si="42"/>
        <v>0.44706919553878971</v>
      </c>
      <c r="J944">
        <v>30.87</v>
      </c>
    </row>
    <row r="945" spans="1:10" x14ac:dyDescent="0.25">
      <c r="A945" t="s">
        <v>60</v>
      </c>
      <c r="B945" t="s">
        <v>96</v>
      </c>
      <c r="C945" t="s">
        <v>9</v>
      </c>
      <c r="D945">
        <v>10.71</v>
      </c>
      <c r="E945" s="1">
        <v>1754170</v>
      </c>
      <c r="F945" s="1">
        <v>187872</v>
      </c>
      <c r="G945" s="4">
        <f t="shared" si="43"/>
        <v>380382.39753219462</v>
      </c>
      <c r="H945" s="4">
        <f t="shared" si="44"/>
        <v>177333.06649926957</v>
      </c>
      <c r="I945" s="17">
        <f t="shared" si="42"/>
        <v>0.53380317372793118</v>
      </c>
      <c r="J945">
        <v>13.33</v>
      </c>
    </row>
    <row r="946" spans="1:10" x14ac:dyDescent="0.25">
      <c r="A946" t="s">
        <v>61</v>
      </c>
      <c r="B946" t="s">
        <v>96</v>
      </c>
      <c r="C946" t="s">
        <v>9</v>
      </c>
      <c r="D946">
        <v>15</v>
      </c>
      <c r="E946" s="1">
        <v>4590028</v>
      </c>
      <c r="F946" s="1">
        <v>688504</v>
      </c>
      <c r="G946" s="4">
        <f t="shared" si="43"/>
        <v>245625.11925965839</v>
      </c>
      <c r="H946" s="4">
        <f t="shared" si="44"/>
        <v>150659.72820869647</v>
      </c>
      <c r="I946" s="17">
        <f t="shared" si="42"/>
        <v>0.38662735854214847</v>
      </c>
      <c r="J946">
        <v>36.61</v>
      </c>
    </row>
    <row r="947" spans="1:10" x14ac:dyDescent="0.25">
      <c r="A947" t="s">
        <v>62</v>
      </c>
      <c r="B947" t="s">
        <v>96</v>
      </c>
      <c r="C947" t="s">
        <v>9</v>
      </c>
      <c r="D947">
        <v>10.31</v>
      </c>
      <c r="E947" s="1">
        <v>4945465</v>
      </c>
      <c r="F947" s="1">
        <v>509877</v>
      </c>
      <c r="G947" s="4">
        <f t="shared" si="43"/>
        <v>555640.3357778975</v>
      </c>
      <c r="H947" s="4">
        <f t="shared" si="44"/>
        <v>280073.74559871131</v>
      </c>
      <c r="I947" s="17">
        <f t="shared" si="42"/>
        <v>0.49594417905854954</v>
      </c>
      <c r="J947">
        <v>37.35</v>
      </c>
    </row>
    <row r="948" spans="1:10" x14ac:dyDescent="0.25">
      <c r="A948" t="s">
        <v>63</v>
      </c>
      <c r="B948" t="s">
        <v>96</v>
      </c>
      <c r="C948" t="s">
        <v>9</v>
      </c>
      <c r="D948">
        <v>9.3800000000000008</v>
      </c>
      <c r="E948" s="1">
        <v>5178313</v>
      </c>
      <c r="F948" s="1">
        <v>485726</v>
      </c>
      <c r="G948" s="4">
        <f t="shared" si="43"/>
        <v>523606.0007333692</v>
      </c>
      <c r="H948" s="4">
        <f t="shared" si="44"/>
        <v>280057.2792991593</v>
      </c>
      <c r="I948" s="17">
        <f t="shared" si="42"/>
        <v>0.46513737637286906</v>
      </c>
      <c r="J948">
        <v>38.67</v>
      </c>
    </row>
    <row r="949" spans="1:10" x14ac:dyDescent="0.25">
      <c r="A949" t="s">
        <v>64</v>
      </c>
      <c r="B949" t="s">
        <v>96</v>
      </c>
      <c r="C949" t="s">
        <v>9</v>
      </c>
      <c r="D949">
        <v>14.89</v>
      </c>
      <c r="E949" s="1">
        <v>4849146</v>
      </c>
      <c r="F949" s="1">
        <v>722038</v>
      </c>
      <c r="G949" s="4">
        <f t="shared" si="43"/>
        <v>497090.0002200107</v>
      </c>
      <c r="H949" s="4">
        <f t="shared" si="44"/>
        <v>257986.35646282948</v>
      </c>
      <c r="I949" s="17">
        <f t="shared" si="42"/>
        <v>0.4810067465677334</v>
      </c>
      <c r="J949">
        <v>38.520000000000003</v>
      </c>
    </row>
    <row r="950" spans="1:10" x14ac:dyDescent="0.25">
      <c r="A950" t="s">
        <v>65</v>
      </c>
      <c r="B950" t="s">
        <v>96</v>
      </c>
      <c r="C950" t="s">
        <v>9</v>
      </c>
      <c r="D950">
        <v>6.61</v>
      </c>
      <c r="E950" s="1">
        <v>5089965</v>
      </c>
      <c r="F950" s="1">
        <v>336447</v>
      </c>
      <c r="G950" s="4">
        <f t="shared" si="43"/>
        <v>654553.60006600316</v>
      </c>
      <c r="H950" s="4">
        <f t="shared" si="44"/>
        <v>134326.4431178745</v>
      </c>
      <c r="I950" s="17">
        <f t="shared" si="42"/>
        <v>0.79478159908626367</v>
      </c>
      <c r="J950">
        <v>36.82</v>
      </c>
    </row>
    <row r="951" spans="1:10" x14ac:dyDescent="0.25">
      <c r="A951" t="s">
        <v>66</v>
      </c>
      <c r="B951" t="s">
        <v>96</v>
      </c>
      <c r="C951" t="s">
        <v>9</v>
      </c>
      <c r="D951">
        <v>3.59</v>
      </c>
      <c r="E951" s="1">
        <v>4918738</v>
      </c>
      <c r="F951" s="1">
        <v>176583</v>
      </c>
      <c r="G951" s="4">
        <f t="shared" si="43"/>
        <v>431878.98001980095</v>
      </c>
      <c r="H951" s="4">
        <f t="shared" si="44"/>
        <v>226000.22571237269</v>
      </c>
      <c r="I951" s="17">
        <f t="shared" si="42"/>
        <v>0.47670473403912611</v>
      </c>
      <c r="J951">
        <v>34.43</v>
      </c>
    </row>
    <row r="952" spans="1:10" x14ac:dyDescent="0.25">
      <c r="A952" t="s">
        <v>67</v>
      </c>
      <c r="B952" t="s">
        <v>96</v>
      </c>
      <c r="C952" t="s">
        <v>9</v>
      </c>
      <c r="D952">
        <v>6.85</v>
      </c>
      <c r="E952" s="1">
        <v>4676120</v>
      </c>
      <c r="F952" s="1">
        <v>320314</v>
      </c>
      <c r="G952" s="4">
        <f t="shared" si="43"/>
        <v>253171.79400594026</v>
      </c>
      <c r="H952" s="4">
        <f t="shared" si="44"/>
        <v>268929.63703345699</v>
      </c>
      <c r="I952" s="17">
        <f t="shared" si="42"/>
        <v>-6.2241700697302012E-2</v>
      </c>
      <c r="J952">
        <v>33.85</v>
      </c>
    </row>
    <row r="953" spans="1:10" x14ac:dyDescent="0.25">
      <c r="A953" t="s">
        <v>68</v>
      </c>
      <c r="B953" t="s">
        <v>96</v>
      </c>
      <c r="C953" t="s">
        <v>9</v>
      </c>
      <c r="D953">
        <v>6.39</v>
      </c>
      <c r="E953" s="1">
        <v>4988245</v>
      </c>
      <c r="F953" s="1">
        <v>318749</v>
      </c>
      <c r="G953" s="4">
        <f t="shared" si="43"/>
        <v>300171.33820178208</v>
      </c>
      <c r="H953" s="4">
        <f t="shared" si="44"/>
        <v>238660.09458751962</v>
      </c>
      <c r="I953" s="17">
        <f t="shared" si="42"/>
        <v>0.20492044304680812</v>
      </c>
      <c r="J953">
        <v>35.9</v>
      </c>
    </row>
    <row r="954" spans="1:10" x14ac:dyDescent="0.25">
      <c r="A954" t="s">
        <v>69</v>
      </c>
      <c r="B954" t="s">
        <v>96</v>
      </c>
      <c r="C954" t="s">
        <v>9</v>
      </c>
      <c r="D954">
        <v>5.4</v>
      </c>
      <c r="E954" s="1">
        <v>5128313</v>
      </c>
      <c r="F954" s="1">
        <v>276929</v>
      </c>
      <c r="G954" s="4">
        <f t="shared" si="43"/>
        <v>313175.70146053459</v>
      </c>
      <c r="H954" s="4">
        <f t="shared" si="44"/>
        <v>152784.42629830691</v>
      </c>
      <c r="I954" s="17">
        <f t="shared" si="42"/>
        <v>0.51214469837290266</v>
      </c>
      <c r="J954">
        <v>36.479999999999997</v>
      </c>
    </row>
    <row r="955" spans="1:10" x14ac:dyDescent="0.25">
      <c r="A955" t="s">
        <v>70</v>
      </c>
      <c r="B955" t="s">
        <v>96</v>
      </c>
      <c r="C955" t="s">
        <v>9</v>
      </c>
      <c r="D955">
        <v>4.43</v>
      </c>
      <c r="E955" s="1">
        <v>4966612</v>
      </c>
      <c r="F955" s="1">
        <v>220021</v>
      </c>
      <c r="G955" s="4">
        <f t="shared" si="43"/>
        <v>287803.01043816039</v>
      </c>
      <c r="H955" s="4">
        <f t="shared" si="44"/>
        <v>45339.565908842567</v>
      </c>
      <c r="I955" s="17">
        <f t="shared" si="42"/>
        <v>0.84246319786642887</v>
      </c>
      <c r="J955">
        <v>34.950000000000003</v>
      </c>
    </row>
    <row r="956" spans="1:10" x14ac:dyDescent="0.25">
      <c r="A956" t="s">
        <v>71</v>
      </c>
      <c r="B956" t="s">
        <v>96</v>
      </c>
      <c r="C956" t="s">
        <v>9</v>
      </c>
      <c r="D956">
        <v>6.63</v>
      </c>
      <c r="E956" s="1">
        <v>4889337</v>
      </c>
      <c r="F956" s="1">
        <v>324163</v>
      </c>
      <c r="G956" s="4">
        <f t="shared" si="43"/>
        <v>240355.60313144809</v>
      </c>
      <c r="H956" s="4">
        <f t="shared" si="44"/>
        <v>45655.791248927628</v>
      </c>
      <c r="I956" s="17">
        <f t="shared" si="42"/>
        <v>0.81004898303136741</v>
      </c>
      <c r="J956">
        <v>35.18</v>
      </c>
    </row>
    <row r="957" spans="1:10" x14ac:dyDescent="0.25">
      <c r="A957" t="s">
        <v>72</v>
      </c>
      <c r="B957" t="s">
        <v>96</v>
      </c>
      <c r="C957" t="s">
        <v>9</v>
      </c>
      <c r="D957">
        <v>8.5</v>
      </c>
      <c r="E957" s="1">
        <v>5080147</v>
      </c>
      <c r="F957" s="1">
        <v>431812</v>
      </c>
      <c r="G957" s="4">
        <f t="shared" si="43"/>
        <v>299020.78093943442</v>
      </c>
      <c r="H957" s="4">
        <f t="shared" si="44"/>
        <v>65655.423933571466</v>
      </c>
      <c r="I957" s="17">
        <f t="shared" si="42"/>
        <v>0.7804319026680967</v>
      </c>
      <c r="J957">
        <v>37.270000000000003</v>
      </c>
    </row>
    <row r="958" spans="1:10" x14ac:dyDescent="0.25">
      <c r="A958" t="s">
        <v>73</v>
      </c>
      <c r="B958" t="s">
        <v>96</v>
      </c>
      <c r="C958" t="s">
        <v>9</v>
      </c>
      <c r="D958">
        <v>21.82</v>
      </c>
      <c r="E958" s="1">
        <v>4110493</v>
      </c>
      <c r="F958" s="1">
        <v>896910</v>
      </c>
      <c r="G958" s="4">
        <f t="shared" si="43"/>
        <v>391974.63428183028</v>
      </c>
      <c r="H958" s="4">
        <f t="shared" si="44"/>
        <v>98744.769597369828</v>
      </c>
      <c r="I958" s="17">
        <f t="shared" si="42"/>
        <v>0.74808377644566615</v>
      </c>
      <c r="J958">
        <v>35.26</v>
      </c>
    </row>
    <row r="959" spans="1:10" x14ac:dyDescent="0.25">
      <c r="A959" t="s">
        <v>74</v>
      </c>
      <c r="B959" t="s">
        <v>96</v>
      </c>
      <c r="C959" t="s">
        <v>9</v>
      </c>
      <c r="D959">
        <v>12.98</v>
      </c>
      <c r="E959" s="1">
        <v>3920661</v>
      </c>
      <c r="F959" s="1">
        <v>508902</v>
      </c>
      <c r="G959" s="4">
        <f t="shared" si="43"/>
        <v>745429.3902845491</v>
      </c>
      <c r="H959" s="4">
        <f t="shared" si="44"/>
        <v>305295.98271317838</v>
      </c>
      <c r="I959" s="17">
        <f t="shared" si="42"/>
        <v>0.59044278815376561</v>
      </c>
      <c r="J959">
        <v>30.18</v>
      </c>
    </row>
    <row r="960" spans="1:10" x14ac:dyDescent="0.25">
      <c r="A960" t="s">
        <v>75</v>
      </c>
      <c r="B960" t="s">
        <v>96</v>
      </c>
      <c r="C960" t="s">
        <v>9</v>
      </c>
      <c r="D960">
        <v>8.4</v>
      </c>
      <c r="E960" s="1">
        <v>4585176</v>
      </c>
      <c r="F960" s="1">
        <v>385155</v>
      </c>
      <c r="G960" s="4">
        <f t="shared" si="43"/>
        <v>579860.21708536474</v>
      </c>
      <c r="H960" s="4">
        <f t="shared" si="44"/>
        <v>330927.2013436149</v>
      </c>
      <c r="I960" s="17">
        <f t="shared" si="42"/>
        <v>0.4292983177790638</v>
      </c>
      <c r="J960">
        <v>33.5</v>
      </c>
    </row>
    <row r="961" spans="1:10" x14ac:dyDescent="0.25">
      <c r="A961" t="s">
        <v>76</v>
      </c>
      <c r="B961" t="s">
        <v>96</v>
      </c>
      <c r="C961" t="s">
        <v>9</v>
      </c>
      <c r="D961">
        <v>8.33</v>
      </c>
      <c r="E961" s="1">
        <v>4996330</v>
      </c>
      <c r="F961" s="1">
        <v>416194</v>
      </c>
      <c r="G961" s="4">
        <f t="shared" si="43"/>
        <v>443566.5651256094</v>
      </c>
      <c r="H961" s="4">
        <f t="shared" si="44"/>
        <v>340986.3396423285</v>
      </c>
      <c r="I961" s="17">
        <f t="shared" si="42"/>
        <v>0.23126230322213798</v>
      </c>
      <c r="J961">
        <v>36.450000000000003</v>
      </c>
    </row>
    <row r="962" spans="1:10" x14ac:dyDescent="0.25">
      <c r="A962" t="s">
        <v>77</v>
      </c>
      <c r="B962" t="s">
        <v>96</v>
      </c>
      <c r="C962" t="s">
        <v>9</v>
      </c>
      <c r="D962">
        <v>10.86</v>
      </c>
      <c r="E962" s="1">
        <v>4874637</v>
      </c>
      <c r="F962" s="1">
        <v>529386</v>
      </c>
      <c r="G962" s="4">
        <f t="shared" si="43"/>
        <v>424405.76953768276</v>
      </c>
      <c r="H962" s="4">
        <f t="shared" si="44"/>
        <v>177580.57817662583</v>
      </c>
      <c r="I962" s="17">
        <f t="shared" si="42"/>
        <v>0.58157831273107008</v>
      </c>
      <c r="J962">
        <v>36.53</v>
      </c>
    </row>
    <row r="963" spans="1:10" x14ac:dyDescent="0.25">
      <c r="A963" t="s">
        <v>78</v>
      </c>
      <c r="B963" t="s">
        <v>96</v>
      </c>
      <c r="C963" t="s">
        <v>9</v>
      </c>
      <c r="D963">
        <v>6.16</v>
      </c>
      <c r="E963" s="1">
        <v>5171670</v>
      </c>
      <c r="F963" s="1">
        <v>318575</v>
      </c>
      <c r="G963" s="4">
        <f t="shared" si="43"/>
        <v>497891.93086130475</v>
      </c>
      <c r="H963" s="4">
        <f t="shared" si="44"/>
        <v>128685.95840227477</v>
      </c>
      <c r="I963" s="17">
        <f t="shared" ref="I963:I1026" si="45">(G963-H963)/G963</f>
        <v>0.74153837323762095</v>
      </c>
      <c r="J963">
        <v>36.79</v>
      </c>
    </row>
    <row r="964" spans="1:10" x14ac:dyDescent="0.25">
      <c r="A964" t="s">
        <v>79</v>
      </c>
      <c r="B964" t="s">
        <v>96</v>
      </c>
      <c r="C964" t="s">
        <v>9</v>
      </c>
      <c r="D964">
        <v>7.94</v>
      </c>
      <c r="E964" s="1">
        <v>4947253</v>
      </c>
      <c r="F964" s="1">
        <v>392812</v>
      </c>
      <c r="G964" s="4">
        <f t="shared" ref="G964:G1027" si="46">0.7*F963+0.3*G963</f>
        <v>372370.0792583914</v>
      </c>
      <c r="H964" s="4">
        <f t="shared" si="44"/>
        <v>121002.29722749746</v>
      </c>
      <c r="I964" s="17">
        <f t="shared" si="45"/>
        <v>0.67504828135363493</v>
      </c>
      <c r="J964">
        <v>35.840000000000003</v>
      </c>
    </row>
    <row r="965" spans="1:10" x14ac:dyDescent="0.25">
      <c r="A965" t="s">
        <v>80</v>
      </c>
      <c r="B965" t="s">
        <v>96</v>
      </c>
      <c r="C965" t="s">
        <v>9</v>
      </c>
      <c r="D965">
        <v>6.79</v>
      </c>
      <c r="E965" s="1">
        <v>5198200</v>
      </c>
      <c r="F965" s="1">
        <v>352958</v>
      </c>
      <c r="G965" s="4">
        <f t="shared" si="46"/>
        <v>386679.4237775174</v>
      </c>
      <c r="H965" s="4">
        <f t="shared" si="44"/>
        <v>120544.98828935942</v>
      </c>
      <c r="I965" s="17">
        <f t="shared" si="45"/>
        <v>0.68825600516380969</v>
      </c>
      <c r="J965">
        <v>37.159999999999997</v>
      </c>
    </row>
    <row r="966" spans="1:10" x14ac:dyDescent="0.25">
      <c r="A966" t="s">
        <v>81</v>
      </c>
      <c r="B966" t="s">
        <v>96</v>
      </c>
      <c r="C966" t="s">
        <v>9</v>
      </c>
      <c r="D966">
        <v>4.43</v>
      </c>
      <c r="E966" s="1">
        <v>4956720</v>
      </c>
      <c r="F966" s="1">
        <v>219583</v>
      </c>
      <c r="G966" s="4">
        <f t="shared" si="46"/>
        <v>363074.42713325517</v>
      </c>
      <c r="H966" s="4">
        <f t="shared" ref="H966:H1029" si="47">SQRT(SUMXMY2(F963:F965,G963:G965)/3)</f>
        <v>106002.46575545162</v>
      </c>
      <c r="I966" s="17">
        <f t="shared" si="45"/>
        <v>0.70804204914011548</v>
      </c>
      <c r="J966">
        <v>34.520000000000003</v>
      </c>
    </row>
    <row r="967" spans="1:10" x14ac:dyDescent="0.25">
      <c r="A967" t="s">
        <v>82</v>
      </c>
      <c r="B967" t="s">
        <v>96</v>
      </c>
      <c r="C967" t="s">
        <v>9</v>
      </c>
      <c r="D967">
        <v>5.75</v>
      </c>
      <c r="E967" s="1">
        <v>5198445</v>
      </c>
      <c r="F967" s="1">
        <v>298911</v>
      </c>
      <c r="G967" s="4">
        <f t="shared" si="46"/>
        <v>262630.42813997652</v>
      </c>
      <c r="H967" s="4">
        <f t="shared" si="47"/>
        <v>85916.230918896428</v>
      </c>
      <c r="I967" s="17">
        <f t="shared" si="45"/>
        <v>0.67286261714844064</v>
      </c>
      <c r="J967">
        <v>36.68</v>
      </c>
    </row>
    <row r="968" spans="1:10" x14ac:dyDescent="0.25">
      <c r="A968" t="s">
        <v>83</v>
      </c>
      <c r="B968" t="s">
        <v>96</v>
      </c>
      <c r="C968" t="s">
        <v>9</v>
      </c>
      <c r="D968">
        <v>7.76</v>
      </c>
      <c r="E968" s="1">
        <v>5050788</v>
      </c>
      <c r="F968" s="1">
        <v>391941</v>
      </c>
      <c r="G968" s="4">
        <f t="shared" si="46"/>
        <v>288026.82844199293</v>
      </c>
      <c r="H968" s="4">
        <f t="shared" si="47"/>
        <v>87641.702358355105</v>
      </c>
      <c r="I968" s="17">
        <f t="shared" si="45"/>
        <v>0.69571687876289035</v>
      </c>
      <c r="J968">
        <v>36.380000000000003</v>
      </c>
    </row>
    <row r="969" spans="1:10" x14ac:dyDescent="0.25">
      <c r="A969" t="s">
        <v>84</v>
      </c>
      <c r="B969" t="s">
        <v>96</v>
      </c>
      <c r="C969" t="s">
        <v>9</v>
      </c>
      <c r="D969">
        <v>5.15</v>
      </c>
      <c r="E969" s="1">
        <v>5008391</v>
      </c>
      <c r="F969" s="1">
        <v>257932</v>
      </c>
      <c r="G969" s="4">
        <f t="shared" si="46"/>
        <v>360766.74853259791</v>
      </c>
      <c r="H969" s="4">
        <f t="shared" si="47"/>
        <v>104409.8089354564</v>
      </c>
      <c r="I969" s="17">
        <f t="shared" si="45"/>
        <v>0.71058915667771916</v>
      </c>
      <c r="J969">
        <v>35.049999999999997</v>
      </c>
    </row>
    <row r="970" spans="1:10" x14ac:dyDescent="0.25">
      <c r="A970" t="s">
        <v>7</v>
      </c>
      <c r="B970" t="s">
        <v>97</v>
      </c>
      <c r="C970" t="s">
        <v>9</v>
      </c>
      <c r="D970">
        <v>2.8</v>
      </c>
      <c r="E970" s="1">
        <v>18423858</v>
      </c>
      <c r="F970" s="1">
        <v>515868</v>
      </c>
      <c r="G970" s="4">
        <f t="shared" si="46"/>
        <v>288782.42455977935</v>
      </c>
      <c r="H970" s="4">
        <f t="shared" si="47"/>
        <v>86966.316182071139</v>
      </c>
      <c r="I970" s="17">
        <f t="shared" si="45"/>
        <v>0.69885176940860305</v>
      </c>
      <c r="J970">
        <v>49.24</v>
      </c>
    </row>
    <row r="971" spans="1:10" x14ac:dyDescent="0.25">
      <c r="A971" t="s">
        <v>10</v>
      </c>
      <c r="B971" t="s">
        <v>97</v>
      </c>
      <c r="C971" t="s">
        <v>9</v>
      </c>
      <c r="D971">
        <v>4.33</v>
      </c>
      <c r="E971" s="1">
        <v>15217606</v>
      </c>
      <c r="F971" s="1">
        <v>658922</v>
      </c>
      <c r="G971" s="4">
        <f t="shared" si="46"/>
        <v>447742.32736793376</v>
      </c>
      <c r="H971" s="4">
        <f t="shared" si="47"/>
        <v>155928.40144263406</v>
      </c>
      <c r="I971" s="17">
        <f t="shared" si="45"/>
        <v>0.65174522954024994</v>
      </c>
      <c r="J971">
        <v>41.24</v>
      </c>
    </row>
    <row r="972" spans="1:10" x14ac:dyDescent="0.25">
      <c r="A972" t="s">
        <v>11</v>
      </c>
      <c r="B972" t="s">
        <v>97</v>
      </c>
      <c r="C972" t="s">
        <v>9</v>
      </c>
      <c r="D972">
        <v>2.91</v>
      </c>
      <c r="E972" s="1">
        <v>14149192</v>
      </c>
      <c r="F972" s="1">
        <v>411741</v>
      </c>
      <c r="G972" s="4">
        <f t="shared" si="46"/>
        <v>595568.09821038006</v>
      </c>
      <c r="H972" s="4">
        <f t="shared" si="47"/>
        <v>188626.34864705891</v>
      </c>
      <c r="I972" s="17">
        <f t="shared" si="45"/>
        <v>0.68328332357985355</v>
      </c>
      <c r="J972">
        <v>37.700000000000003</v>
      </c>
    </row>
    <row r="973" spans="1:10" x14ac:dyDescent="0.25">
      <c r="A973" t="s">
        <v>12</v>
      </c>
      <c r="B973" t="s">
        <v>97</v>
      </c>
      <c r="C973" t="s">
        <v>9</v>
      </c>
      <c r="D973">
        <v>7.98</v>
      </c>
      <c r="E973" s="1">
        <v>15794944</v>
      </c>
      <c r="F973" s="1">
        <v>1260437</v>
      </c>
      <c r="G973" s="4">
        <f t="shared" si="46"/>
        <v>466889.12946311396</v>
      </c>
      <c r="H973" s="4">
        <f t="shared" si="47"/>
        <v>208132.26142884203</v>
      </c>
      <c r="I973" s="17">
        <f t="shared" si="45"/>
        <v>0.55421480541177326</v>
      </c>
      <c r="J973">
        <v>44.31</v>
      </c>
    </row>
    <row r="974" spans="1:10" x14ac:dyDescent="0.25">
      <c r="A974" t="s">
        <v>13</v>
      </c>
      <c r="B974" t="s">
        <v>97</v>
      </c>
      <c r="C974" t="s">
        <v>9</v>
      </c>
      <c r="D974">
        <v>5.26</v>
      </c>
      <c r="E974" s="1">
        <v>18212768</v>
      </c>
      <c r="F974" s="1">
        <v>957992</v>
      </c>
      <c r="G974" s="4">
        <f t="shared" si="46"/>
        <v>1022372.6388389341</v>
      </c>
      <c r="H974" s="4">
        <f t="shared" si="47"/>
        <v>485835.18433142937</v>
      </c>
      <c r="I974" s="17">
        <f t="shared" si="45"/>
        <v>0.52479637475121399</v>
      </c>
      <c r="J974">
        <v>49.52</v>
      </c>
    </row>
    <row r="975" spans="1:10" x14ac:dyDescent="0.25">
      <c r="A975" t="s">
        <v>14</v>
      </c>
      <c r="B975" t="s">
        <v>97</v>
      </c>
      <c r="C975" t="s">
        <v>9</v>
      </c>
      <c r="D975">
        <v>2.63</v>
      </c>
      <c r="E975" s="1">
        <v>15859289</v>
      </c>
      <c r="F975" s="1">
        <v>417099</v>
      </c>
      <c r="G975" s="4">
        <f t="shared" si="46"/>
        <v>977306.19165168016</v>
      </c>
      <c r="H975" s="4">
        <f t="shared" si="47"/>
        <v>471753.99363347015</v>
      </c>
      <c r="I975" s="17">
        <f t="shared" si="45"/>
        <v>0.51729151246224059</v>
      </c>
      <c r="J975">
        <v>41.86</v>
      </c>
    </row>
    <row r="976" spans="1:10" x14ac:dyDescent="0.25">
      <c r="A976" t="s">
        <v>15</v>
      </c>
      <c r="B976" t="s">
        <v>97</v>
      </c>
      <c r="C976" t="s">
        <v>9</v>
      </c>
      <c r="D976">
        <v>10.64</v>
      </c>
      <c r="E976" s="1">
        <v>13779381</v>
      </c>
      <c r="F976" s="1">
        <v>1466126</v>
      </c>
      <c r="G976" s="4">
        <f t="shared" si="46"/>
        <v>585161.15749550401</v>
      </c>
      <c r="H976" s="4">
        <f t="shared" si="47"/>
        <v>562048.39265825925</v>
      </c>
      <c r="I976" s="17">
        <f t="shared" si="45"/>
        <v>3.9498118665578619E-2</v>
      </c>
      <c r="J976">
        <v>39.549999999999997</v>
      </c>
    </row>
    <row r="977" spans="1:10" x14ac:dyDescent="0.25">
      <c r="A977" t="s">
        <v>16</v>
      </c>
      <c r="B977" t="s">
        <v>97</v>
      </c>
      <c r="C977" t="s">
        <v>9</v>
      </c>
      <c r="D977">
        <v>8.34</v>
      </c>
      <c r="E977" s="1">
        <v>15138404</v>
      </c>
      <c r="F977" s="1">
        <v>1262543</v>
      </c>
      <c r="G977" s="4">
        <f t="shared" si="46"/>
        <v>1201836.5472486513</v>
      </c>
      <c r="H977" s="4">
        <f t="shared" si="47"/>
        <v>603897.34722730902</v>
      </c>
      <c r="I977" s="17">
        <f t="shared" si="45"/>
        <v>0.49752123230916606</v>
      </c>
      <c r="J977">
        <v>42.27</v>
      </c>
    </row>
    <row r="978" spans="1:10" x14ac:dyDescent="0.25">
      <c r="A978" t="s">
        <v>17</v>
      </c>
      <c r="B978" t="s">
        <v>97</v>
      </c>
      <c r="C978" t="s">
        <v>9</v>
      </c>
      <c r="D978">
        <v>7.11</v>
      </c>
      <c r="E978" s="1">
        <v>16795529</v>
      </c>
      <c r="F978" s="1">
        <v>1194162</v>
      </c>
      <c r="G978" s="4">
        <f t="shared" si="46"/>
        <v>1244331.0641745953</v>
      </c>
      <c r="H978" s="4">
        <f t="shared" si="47"/>
        <v>603770.49301669956</v>
      </c>
      <c r="I978" s="17">
        <f t="shared" si="45"/>
        <v>0.51478307469789009</v>
      </c>
      <c r="J978">
        <v>46.17</v>
      </c>
    </row>
    <row r="979" spans="1:10" x14ac:dyDescent="0.25">
      <c r="A979" t="s">
        <v>18</v>
      </c>
      <c r="B979" t="s">
        <v>97</v>
      </c>
      <c r="C979" t="s">
        <v>9</v>
      </c>
      <c r="D979">
        <v>5.78</v>
      </c>
      <c r="E979" s="1">
        <v>16819538</v>
      </c>
      <c r="F979" s="1">
        <v>972169</v>
      </c>
      <c r="G979" s="4">
        <f t="shared" si="46"/>
        <v>1209212.7192523784</v>
      </c>
      <c r="H979" s="4">
        <f t="shared" si="47"/>
        <v>510653.58843178541</v>
      </c>
      <c r="I979" s="17">
        <f t="shared" si="45"/>
        <v>0.57769747183315456</v>
      </c>
      <c r="J979">
        <v>45.49</v>
      </c>
    </row>
    <row r="980" spans="1:10" x14ac:dyDescent="0.25">
      <c r="A980" t="s">
        <v>19</v>
      </c>
      <c r="B980" t="s">
        <v>97</v>
      </c>
      <c r="C980" t="s">
        <v>9</v>
      </c>
      <c r="D980">
        <v>6.17</v>
      </c>
      <c r="E980" s="1">
        <v>14078543</v>
      </c>
      <c r="F980" s="1">
        <v>868646</v>
      </c>
      <c r="G980" s="4">
        <f t="shared" si="46"/>
        <v>1043282.1157757135</v>
      </c>
      <c r="H980" s="4">
        <f t="shared" si="47"/>
        <v>144212.7285676809</v>
      </c>
      <c r="I980" s="17">
        <f t="shared" si="45"/>
        <v>0.8617701517288503</v>
      </c>
      <c r="J980">
        <v>38.15</v>
      </c>
    </row>
    <row r="981" spans="1:10" x14ac:dyDescent="0.25">
      <c r="A981" t="s">
        <v>20</v>
      </c>
      <c r="B981" t="s">
        <v>97</v>
      </c>
      <c r="C981" t="s">
        <v>9</v>
      </c>
      <c r="D981">
        <v>1.37</v>
      </c>
      <c r="E981" s="1">
        <v>14801361</v>
      </c>
      <c r="F981" s="1">
        <v>202779</v>
      </c>
      <c r="G981" s="4">
        <f t="shared" si="46"/>
        <v>921036.83473271399</v>
      </c>
      <c r="H981" s="4">
        <f t="shared" si="47"/>
        <v>172437.84655191319</v>
      </c>
      <c r="I981" s="17">
        <f t="shared" si="45"/>
        <v>0.81277855559169376</v>
      </c>
      <c r="J981">
        <v>38.07</v>
      </c>
    </row>
    <row r="982" spans="1:10" x14ac:dyDescent="0.25">
      <c r="A982" t="s">
        <v>21</v>
      </c>
      <c r="B982" t="s">
        <v>97</v>
      </c>
      <c r="C982" t="s">
        <v>9</v>
      </c>
      <c r="D982">
        <v>2.35</v>
      </c>
      <c r="E982" s="1">
        <v>16322654</v>
      </c>
      <c r="F982" s="1">
        <v>383582</v>
      </c>
      <c r="G982" s="4">
        <f t="shared" si="46"/>
        <v>418256.35041981417</v>
      </c>
      <c r="H982" s="4">
        <f t="shared" si="47"/>
        <v>448174.74825680646</v>
      </c>
      <c r="I982" s="17">
        <f t="shared" si="45"/>
        <v>-7.1531245866231205E-2</v>
      </c>
      <c r="J982">
        <v>42.31</v>
      </c>
    </row>
    <row r="983" spans="1:10" x14ac:dyDescent="0.25">
      <c r="A983" t="s">
        <v>22</v>
      </c>
      <c r="B983" t="s">
        <v>97</v>
      </c>
      <c r="C983" t="s">
        <v>9</v>
      </c>
      <c r="D983">
        <v>4.09</v>
      </c>
      <c r="E983" s="1">
        <v>16490043</v>
      </c>
      <c r="F983" s="1">
        <v>674443</v>
      </c>
      <c r="G983" s="4">
        <f t="shared" si="46"/>
        <v>393984.3051259442</v>
      </c>
      <c r="H983" s="4">
        <f t="shared" si="47"/>
        <v>427237.01488564524</v>
      </c>
      <c r="I983" s="17">
        <f t="shared" si="45"/>
        <v>-8.4401102599940409E-2</v>
      </c>
      <c r="J983">
        <v>43.44</v>
      </c>
    </row>
    <row r="984" spans="1:10" x14ac:dyDescent="0.25">
      <c r="A984" t="s">
        <v>23</v>
      </c>
      <c r="B984" t="s">
        <v>97</v>
      </c>
      <c r="C984" t="s">
        <v>9</v>
      </c>
      <c r="D984">
        <v>2.44</v>
      </c>
      <c r="E984" s="1">
        <v>16427527</v>
      </c>
      <c r="F984" s="1">
        <v>400832</v>
      </c>
      <c r="G984" s="4">
        <f t="shared" si="46"/>
        <v>590305.3915377832</v>
      </c>
      <c r="H984" s="4">
        <f t="shared" si="47"/>
        <v>445628.28578028333</v>
      </c>
      <c r="I984" s="17">
        <f t="shared" si="45"/>
        <v>0.24508857251092825</v>
      </c>
      <c r="J984">
        <v>42.45</v>
      </c>
    </row>
    <row r="985" spans="1:10" x14ac:dyDescent="0.25">
      <c r="A985" t="s">
        <v>24</v>
      </c>
      <c r="B985" t="s">
        <v>97</v>
      </c>
      <c r="C985" t="s">
        <v>9</v>
      </c>
      <c r="D985">
        <v>1.65</v>
      </c>
      <c r="E985" s="1">
        <v>14367717</v>
      </c>
      <c r="F985" s="1">
        <v>237067</v>
      </c>
      <c r="G985" s="4">
        <f t="shared" si="46"/>
        <v>457674.01746133494</v>
      </c>
      <c r="H985" s="4">
        <f t="shared" si="47"/>
        <v>196434.51513445468</v>
      </c>
      <c r="I985" s="17">
        <f t="shared" si="45"/>
        <v>0.57079819338651927</v>
      </c>
      <c r="J985">
        <v>36.75</v>
      </c>
    </row>
    <row r="986" spans="1:10" x14ac:dyDescent="0.25">
      <c r="A986" t="s">
        <v>25</v>
      </c>
      <c r="B986" t="s">
        <v>97</v>
      </c>
      <c r="C986" t="s">
        <v>9</v>
      </c>
      <c r="D986">
        <v>1.44</v>
      </c>
      <c r="E986" s="1">
        <v>16411533</v>
      </c>
      <c r="F986" s="1">
        <v>236326</v>
      </c>
      <c r="G986" s="4">
        <f t="shared" si="46"/>
        <v>303249.10523840046</v>
      </c>
      <c r="H986" s="4">
        <f t="shared" si="47"/>
        <v>233255.72646380667</v>
      </c>
      <c r="I986" s="17">
        <f t="shared" si="45"/>
        <v>0.23081149314379087</v>
      </c>
      <c r="J986">
        <v>41.8</v>
      </c>
    </row>
    <row r="987" spans="1:10" x14ac:dyDescent="0.25">
      <c r="A987" t="s">
        <v>26</v>
      </c>
      <c r="B987" t="s">
        <v>97</v>
      </c>
      <c r="C987" t="s">
        <v>9</v>
      </c>
      <c r="D987">
        <v>1.72</v>
      </c>
      <c r="E987" s="1">
        <v>17532197</v>
      </c>
      <c r="F987" s="1">
        <v>301554</v>
      </c>
      <c r="G987" s="4">
        <f t="shared" si="46"/>
        <v>256402.93157152011</v>
      </c>
      <c r="H987" s="4">
        <f t="shared" si="47"/>
        <v>172284.96187882629</v>
      </c>
      <c r="I987" s="17">
        <f t="shared" si="45"/>
        <v>0.3280694537192928</v>
      </c>
      <c r="J987">
        <v>44.68</v>
      </c>
    </row>
    <row r="988" spans="1:10" x14ac:dyDescent="0.25">
      <c r="A988" t="s">
        <v>27</v>
      </c>
      <c r="B988" t="s">
        <v>97</v>
      </c>
      <c r="C988" t="s">
        <v>9</v>
      </c>
      <c r="D988">
        <v>0.86</v>
      </c>
      <c r="E988" s="1">
        <v>16826553</v>
      </c>
      <c r="F988" s="1">
        <v>144708</v>
      </c>
      <c r="G988" s="4">
        <f t="shared" si="46"/>
        <v>288008.67947145604</v>
      </c>
      <c r="H988" s="4">
        <f t="shared" si="47"/>
        <v>135627.89431402503</v>
      </c>
      <c r="I988" s="17">
        <f t="shared" si="45"/>
        <v>0.52908400343029649</v>
      </c>
      <c r="J988">
        <v>42.42</v>
      </c>
    </row>
    <row r="989" spans="1:10" x14ac:dyDescent="0.25">
      <c r="A989" t="s">
        <v>28</v>
      </c>
      <c r="B989" t="s">
        <v>97</v>
      </c>
      <c r="C989" t="s">
        <v>9</v>
      </c>
      <c r="D989">
        <v>0.63</v>
      </c>
      <c r="E989" s="1">
        <v>15348329</v>
      </c>
      <c r="F989" s="1">
        <v>96694</v>
      </c>
      <c r="G989" s="4">
        <f t="shared" si="46"/>
        <v>187698.2038414368</v>
      </c>
      <c r="H989" s="4">
        <f t="shared" si="47"/>
        <v>94960.352660051896</v>
      </c>
      <c r="I989" s="17">
        <f t="shared" si="45"/>
        <v>0.4940795877819254</v>
      </c>
      <c r="J989">
        <v>38.520000000000003</v>
      </c>
    </row>
    <row r="990" spans="1:10" x14ac:dyDescent="0.25">
      <c r="A990" t="s">
        <v>29</v>
      </c>
      <c r="B990" t="s">
        <v>97</v>
      </c>
      <c r="C990" t="s">
        <v>9</v>
      </c>
      <c r="D990">
        <v>0.82</v>
      </c>
      <c r="E990" s="1">
        <v>16286314</v>
      </c>
      <c r="F990" s="1">
        <v>133548</v>
      </c>
      <c r="G990" s="4">
        <f t="shared" si="46"/>
        <v>123995.26115243105</v>
      </c>
      <c r="H990" s="4">
        <f t="shared" si="47"/>
        <v>101415.75951502481</v>
      </c>
      <c r="I990" s="17">
        <f t="shared" si="45"/>
        <v>0.18209971435641067</v>
      </c>
      <c r="J990">
        <v>40.86</v>
      </c>
    </row>
    <row r="991" spans="1:10" x14ac:dyDescent="0.25">
      <c r="A991" t="s">
        <v>30</v>
      </c>
      <c r="B991" t="s">
        <v>97</v>
      </c>
      <c r="C991" t="s">
        <v>9</v>
      </c>
      <c r="D991">
        <v>0.18</v>
      </c>
      <c r="E991" s="1">
        <v>15574666</v>
      </c>
      <c r="F991" s="1">
        <v>28034</v>
      </c>
      <c r="G991" s="4">
        <f t="shared" si="46"/>
        <v>130682.17834572931</v>
      </c>
      <c r="H991" s="4">
        <f t="shared" si="47"/>
        <v>98163.307254263156</v>
      </c>
      <c r="I991" s="17">
        <f t="shared" si="45"/>
        <v>0.24883937123725536</v>
      </c>
      <c r="J991">
        <v>38.74</v>
      </c>
    </row>
    <row r="992" spans="1:10" x14ac:dyDescent="0.25">
      <c r="A992" t="s">
        <v>31</v>
      </c>
      <c r="B992" t="s">
        <v>97</v>
      </c>
      <c r="C992" t="s">
        <v>9</v>
      </c>
      <c r="D992">
        <v>3.41</v>
      </c>
      <c r="E992" s="1">
        <v>15958810</v>
      </c>
      <c r="F992" s="1">
        <v>544195</v>
      </c>
      <c r="G992" s="4">
        <f t="shared" si="46"/>
        <v>58828.453503718789</v>
      </c>
      <c r="H992" s="4">
        <f t="shared" si="47"/>
        <v>79392.838581323536</v>
      </c>
      <c r="I992" s="17">
        <f t="shared" si="45"/>
        <v>-0.34956528436201012</v>
      </c>
      <c r="J992">
        <v>40.94</v>
      </c>
    </row>
    <row r="993" spans="1:10" x14ac:dyDescent="0.25">
      <c r="A993" t="s">
        <v>32</v>
      </c>
      <c r="B993" t="s">
        <v>97</v>
      </c>
      <c r="C993" t="s">
        <v>9</v>
      </c>
      <c r="D993">
        <v>1.5</v>
      </c>
      <c r="E993" s="1">
        <v>16740051</v>
      </c>
      <c r="F993" s="1">
        <v>251101</v>
      </c>
      <c r="G993" s="4">
        <f t="shared" si="46"/>
        <v>398585.03605111566</v>
      </c>
      <c r="H993" s="4">
        <f t="shared" si="47"/>
        <v>286477.79890415777</v>
      </c>
      <c r="I993" s="17">
        <f t="shared" si="45"/>
        <v>0.28126303550588122</v>
      </c>
      <c r="J993">
        <v>42.02</v>
      </c>
    </row>
    <row r="994" spans="1:10" x14ac:dyDescent="0.25">
      <c r="A994" t="s">
        <v>33</v>
      </c>
      <c r="B994" t="s">
        <v>97</v>
      </c>
      <c r="C994" t="s">
        <v>9</v>
      </c>
      <c r="D994">
        <v>2</v>
      </c>
      <c r="E994" s="1">
        <v>15316143</v>
      </c>
      <c r="F994" s="1">
        <v>306323</v>
      </c>
      <c r="G994" s="4">
        <f t="shared" si="46"/>
        <v>295346.21081533469</v>
      </c>
      <c r="H994" s="4">
        <f t="shared" si="47"/>
        <v>298813.69550571707</v>
      </c>
      <c r="I994" s="17">
        <f t="shared" si="45"/>
        <v>-1.174040689673999E-2</v>
      </c>
      <c r="J994">
        <v>38.549999999999997</v>
      </c>
    </row>
    <row r="995" spans="1:10" x14ac:dyDescent="0.25">
      <c r="A995" t="s">
        <v>34</v>
      </c>
      <c r="B995" t="s">
        <v>97</v>
      </c>
      <c r="C995" t="s">
        <v>9</v>
      </c>
      <c r="D995">
        <v>2.0299999999999998</v>
      </c>
      <c r="E995" s="1">
        <v>15927347</v>
      </c>
      <c r="F995" s="1">
        <v>323325</v>
      </c>
      <c r="G995" s="4">
        <f t="shared" si="46"/>
        <v>303029.9632446004</v>
      </c>
      <c r="H995" s="4">
        <f t="shared" si="47"/>
        <v>292946.36326379958</v>
      </c>
      <c r="I995" s="17">
        <f t="shared" si="45"/>
        <v>3.3275917248689751E-2</v>
      </c>
      <c r="J995">
        <v>40.03</v>
      </c>
    </row>
    <row r="996" spans="1:10" x14ac:dyDescent="0.25">
      <c r="A996" t="s">
        <v>35</v>
      </c>
      <c r="B996" t="s">
        <v>97</v>
      </c>
      <c r="C996" t="s">
        <v>9</v>
      </c>
      <c r="D996">
        <v>4.2699999999999996</v>
      </c>
      <c r="E996" s="1">
        <v>16238450</v>
      </c>
      <c r="F996" s="1">
        <v>693382</v>
      </c>
      <c r="G996" s="4">
        <f t="shared" si="46"/>
        <v>317236.48897338012</v>
      </c>
      <c r="H996" s="4">
        <f t="shared" si="47"/>
        <v>86185.68966217534</v>
      </c>
      <c r="I996" s="17">
        <f t="shared" si="45"/>
        <v>0.72832352942410938</v>
      </c>
      <c r="J996">
        <v>41.67</v>
      </c>
    </row>
    <row r="997" spans="1:10" x14ac:dyDescent="0.25">
      <c r="A997" t="s">
        <v>36</v>
      </c>
      <c r="B997" t="s">
        <v>97</v>
      </c>
      <c r="C997" t="s">
        <v>9</v>
      </c>
      <c r="D997">
        <v>2.76</v>
      </c>
      <c r="E997" s="1">
        <v>16261153</v>
      </c>
      <c r="F997" s="1">
        <v>448808</v>
      </c>
      <c r="G997" s="4">
        <f t="shared" si="46"/>
        <v>580538.34669201402</v>
      </c>
      <c r="H997" s="4">
        <f t="shared" si="47"/>
        <v>217575.9054392931</v>
      </c>
      <c r="I997" s="17">
        <f t="shared" si="45"/>
        <v>0.62521699612253001</v>
      </c>
      <c r="J997">
        <v>40.99</v>
      </c>
    </row>
    <row r="998" spans="1:10" x14ac:dyDescent="0.25">
      <c r="A998" t="s">
        <v>37</v>
      </c>
      <c r="B998" t="s">
        <v>97</v>
      </c>
      <c r="C998" t="s">
        <v>9</v>
      </c>
      <c r="D998">
        <v>1.58</v>
      </c>
      <c r="E998" s="1">
        <v>15357946</v>
      </c>
      <c r="F998" s="1">
        <v>242656</v>
      </c>
      <c r="G998" s="4">
        <f t="shared" si="46"/>
        <v>488327.10400760418</v>
      </c>
      <c r="H998" s="4">
        <f t="shared" si="47"/>
        <v>230398.36387004302</v>
      </c>
      <c r="I998" s="17">
        <f t="shared" si="45"/>
        <v>0.5281884581478089</v>
      </c>
      <c r="J998">
        <v>38.17</v>
      </c>
    </row>
    <row r="999" spans="1:10" x14ac:dyDescent="0.25">
      <c r="A999" t="s">
        <v>38</v>
      </c>
      <c r="B999" t="s">
        <v>97</v>
      </c>
      <c r="C999" t="s">
        <v>9</v>
      </c>
      <c r="D999">
        <v>2</v>
      </c>
      <c r="E999" s="1">
        <v>15520250</v>
      </c>
      <c r="F999" s="1">
        <v>310405</v>
      </c>
      <c r="G999" s="4">
        <f t="shared" si="46"/>
        <v>316357.33120228123</v>
      </c>
      <c r="H999" s="4">
        <f t="shared" si="47"/>
        <v>270303.91602132481</v>
      </c>
      <c r="I999" s="17">
        <f t="shared" si="45"/>
        <v>0.14557404124612977</v>
      </c>
      <c r="J999">
        <v>38.659999999999997</v>
      </c>
    </row>
    <row r="1000" spans="1:10" x14ac:dyDescent="0.25">
      <c r="A1000" t="s">
        <v>39</v>
      </c>
      <c r="B1000" t="s">
        <v>97</v>
      </c>
      <c r="C1000" t="s">
        <v>9</v>
      </c>
      <c r="D1000">
        <v>3.62</v>
      </c>
      <c r="E1000" s="1">
        <v>15474298</v>
      </c>
      <c r="F1000" s="1">
        <v>560170</v>
      </c>
      <c r="G1000" s="4">
        <f t="shared" si="46"/>
        <v>312190.69936068438</v>
      </c>
      <c r="H1000" s="4">
        <f t="shared" si="47"/>
        <v>160978.88663906098</v>
      </c>
      <c r="I1000" s="17">
        <f t="shared" si="45"/>
        <v>0.48435719908146052</v>
      </c>
      <c r="J1000">
        <v>39.1</v>
      </c>
    </row>
    <row r="1001" spans="1:10" x14ac:dyDescent="0.25">
      <c r="A1001" t="s">
        <v>40</v>
      </c>
      <c r="B1001" t="s">
        <v>97</v>
      </c>
      <c r="C1001" t="s">
        <v>9</v>
      </c>
      <c r="D1001">
        <v>6.41</v>
      </c>
      <c r="E1001" s="1">
        <v>16271156</v>
      </c>
      <c r="F1001" s="1">
        <v>1042981</v>
      </c>
      <c r="G1001" s="4">
        <f t="shared" si="46"/>
        <v>485776.20980820531</v>
      </c>
      <c r="H1001" s="4">
        <f t="shared" si="47"/>
        <v>201563.43512371881</v>
      </c>
      <c r="I1001" s="17">
        <f t="shared" si="45"/>
        <v>0.58506935693022044</v>
      </c>
      <c r="J1001">
        <v>42.25</v>
      </c>
    </row>
    <row r="1002" spans="1:10" x14ac:dyDescent="0.25">
      <c r="A1002" t="s">
        <v>41</v>
      </c>
      <c r="B1002" t="s">
        <v>97</v>
      </c>
      <c r="C1002" t="s">
        <v>9</v>
      </c>
      <c r="D1002">
        <v>3.66</v>
      </c>
      <c r="E1002" s="1">
        <v>15114646</v>
      </c>
      <c r="F1002" s="1">
        <v>553196</v>
      </c>
      <c r="G1002" s="4">
        <f t="shared" si="46"/>
        <v>875819.56294246158</v>
      </c>
      <c r="H1002" s="4">
        <f t="shared" si="47"/>
        <v>352139.33890104154</v>
      </c>
      <c r="I1002" s="17">
        <f t="shared" si="45"/>
        <v>0.59793163592056475</v>
      </c>
      <c r="J1002">
        <v>38.04</v>
      </c>
    </row>
    <row r="1003" spans="1:10" x14ac:dyDescent="0.25">
      <c r="A1003" t="s">
        <v>42</v>
      </c>
      <c r="B1003" t="s">
        <v>97</v>
      </c>
      <c r="C1003" t="s">
        <v>9</v>
      </c>
      <c r="D1003">
        <v>7.31</v>
      </c>
      <c r="E1003" s="1">
        <v>15128954</v>
      </c>
      <c r="F1003" s="1">
        <v>1105927</v>
      </c>
      <c r="G1003" s="4">
        <f t="shared" si="46"/>
        <v>649983.06888273847</v>
      </c>
      <c r="H1003" s="4">
        <f t="shared" si="47"/>
        <v>398353.64318819973</v>
      </c>
      <c r="I1003" s="17">
        <f t="shared" si="45"/>
        <v>0.38713227734849576</v>
      </c>
      <c r="J1003">
        <v>39.49</v>
      </c>
    </row>
    <row r="1004" spans="1:10" x14ac:dyDescent="0.25">
      <c r="A1004" t="s">
        <v>43</v>
      </c>
      <c r="B1004" t="s">
        <v>97</v>
      </c>
      <c r="C1004" t="s">
        <v>9</v>
      </c>
      <c r="D1004">
        <v>5.97</v>
      </c>
      <c r="E1004" s="1">
        <v>15004515</v>
      </c>
      <c r="F1004" s="1">
        <v>895770</v>
      </c>
      <c r="G1004" s="4">
        <f t="shared" si="46"/>
        <v>969143.82066482143</v>
      </c>
      <c r="H1004" s="4">
        <f t="shared" si="47"/>
        <v>455502.65637755708</v>
      </c>
      <c r="I1004" s="17">
        <f t="shared" si="45"/>
        <v>0.52999477821043373</v>
      </c>
      <c r="J1004">
        <v>38.53</v>
      </c>
    </row>
    <row r="1005" spans="1:10" x14ac:dyDescent="0.25">
      <c r="A1005" t="s">
        <v>44</v>
      </c>
      <c r="B1005" t="s">
        <v>97</v>
      </c>
      <c r="C1005" t="s">
        <v>9</v>
      </c>
      <c r="D1005">
        <v>6.98</v>
      </c>
      <c r="E1005" s="1">
        <v>15588737</v>
      </c>
      <c r="F1005" s="1">
        <v>1088094</v>
      </c>
      <c r="G1005" s="4">
        <f t="shared" si="46"/>
        <v>917782.1461994464</v>
      </c>
      <c r="H1005" s="4">
        <f t="shared" si="47"/>
        <v>325245.82971823221</v>
      </c>
      <c r="I1005" s="17">
        <f t="shared" si="45"/>
        <v>0.64561761081855706</v>
      </c>
      <c r="J1005">
        <v>40.380000000000003</v>
      </c>
    </row>
    <row r="1006" spans="1:10" x14ac:dyDescent="0.25">
      <c r="A1006" t="s">
        <v>45</v>
      </c>
      <c r="B1006" t="s">
        <v>97</v>
      </c>
      <c r="C1006" t="s">
        <v>9</v>
      </c>
      <c r="D1006">
        <v>4.67</v>
      </c>
      <c r="E1006" s="1">
        <v>15262970</v>
      </c>
      <c r="F1006" s="1">
        <v>712781</v>
      </c>
      <c r="G1006" s="4">
        <f t="shared" si="46"/>
        <v>1037000.4438598338</v>
      </c>
      <c r="H1006" s="4">
        <f t="shared" si="47"/>
        <v>284179.93913868297</v>
      </c>
      <c r="I1006" s="17">
        <f t="shared" si="45"/>
        <v>0.725959674538872</v>
      </c>
      <c r="J1006">
        <v>38.49</v>
      </c>
    </row>
    <row r="1007" spans="1:10" x14ac:dyDescent="0.25">
      <c r="A1007" t="s">
        <v>46</v>
      </c>
      <c r="B1007" t="s">
        <v>97</v>
      </c>
      <c r="C1007" t="s">
        <v>9</v>
      </c>
      <c r="D1007">
        <v>6.33</v>
      </c>
      <c r="E1007" s="1">
        <v>16047857</v>
      </c>
      <c r="F1007" s="1">
        <v>1015829</v>
      </c>
      <c r="G1007" s="4">
        <f t="shared" si="46"/>
        <v>810046.83315795008</v>
      </c>
      <c r="H1007" s="4">
        <f t="shared" si="47"/>
        <v>215644.84141037273</v>
      </c>
      <c r="I1007" s="17">
        <f t="shared" si="45"/>
        <v>0.73378719280996874</v>
      </c>
      <c r="J1007">
        <v>41.1</v>
      </c>
    </row>
    <row r="1008" spans="1:10" x14ac:dyDescent="0.25">
      <c r="A1008" t="s">
        <v>47</v>
      </c>
      <c r="B1008" t="s">
        <v>97</v>
      </c>
      <c r="C1008" t="s">
        <v>9</v>
      </c>
      <c r="D1008">
        <v>4.0599999999999996</v>
      </c>
      <c r="E1008" s="1">
        <v>15705488</v>
      </c>
      <c r="F1008" s="1">
        <v>637643</v>
      </c>
      <c r="G1008" s="4">
        <f t="shared" si="46"/>
        <v>954094.34994738491</v>
      </c>
      <c r="H1008" s="4">
        <f t="shared" si="47"/>
        <v>242535.68501148466</v>
      </c>
      <c r="I1008" s="17">
        <f t="shared" si="45"/>
        <v>0.74579486292434316</v>
      </c>
      <c r="J1008">
        <v>39.19</v>
      </c>
    </row>
    <row r="1009" spans="1:10" x14ac:dyDescent="0.25">
      <c r="A1009" t="s">
        <v>48</v>
      </c>
      <c r="B1009" t="s">
        <v>97</v>
      </c>
      <c r="C1009" t="s">
        <v>9</v>
      </c>
      <c r="D1009">
        <v>6.3</v>
      </c>
      <c r="E1009" s="1">
        <v>15708503</v>
      </c>
      <c r="F1009" s="1">
        <v>989636</v>
      </c>
      <c r="G1009" s="4">
        <f t="shared" si="46"/>
        <v>732578.40498421551</v>
      </c>
      <c r="H1009" s="4">
        <f t="shared" si="47"/>
        <v>287289.63599505374</v>
      </c>
      <c r="I1009" s="17">
        <f t="shared" si="45"/>
        <v>0.6078376948591</v>
      </c>
      <c r="J1009">
        <v>40.049999999999997</v>
      </c>
    </row>
    <row r="1010" spans="1:10" x14ac:dyDescent="0.25">
      <c r="A1010" t="s">
        <v>49</v>
      </c>
      <c r="B1010" t="s">
        <v>97</v>
      </c>
      <c r="C1010" t="s">
        <v>9</v>
      </c>
      <c r="D1010">
        <v>3.63</v>
      </c>
      <c r="E1010" s="1">
        <v>15349833</v>
      </c>
      <c r="F1010" s="1">
        <v>557199</v>
      </c>
      <c r="G1010" s="4">
        <f t="shared" si="46"/>
        <v>912518.72149526456</v>
      </c>
      <c r="H1010" s="4">
        <f t="shared" si="47"/>
        <v>263670.4788361353</v>
      </c>
      <c r="I1010" s="17">
        <f t="shared" si="45"/>
        <v>0.71105197885246496</v>
      </c>
      <c r="J1010">
        <v>37.97</v>
      </c>
    </row>
    <row r="1011" spans="1:10" x14ac:dyDescent="0.25">
      <c r="A1011" t="s">
        <v>50</v>
      </c>
      <c r="B1011" t="s">
        <v>97</v>
      </c>
      <c r="C1011" t="s">
        <v>9</v>
      </c>
      <c r="D1011">
        <v>4.25</v>
      </c>
      <c r="E1011" s="1">
        <v>16294789</v>
      </c>
      <c r="F1011" s="1">
        <v>692529</v>
      </c>
      <c r="G1011" s="4">
        <f t="shared" si="46"/>
        <v>663794.9164485794</v>
      </c>
      <c r="H1011" s="4">
        <f t="shared" si="47"/>
        <v>312235.04422272107</v>
      </c>
      <c r="I1011" s="17">
        <f t="shared" si="45"/>
        <v>0.52962121811171137</v>
      </c>
      <c r="J1011">
        <v>40.479999999999997</v>
      </c>
    </row>
    <row r="1012" spans="1:10" x14ac:dyDescent="0.25">
      <c r="A1012" t="s">
        <v>51</v>
      </c>
      <c r="B1012" t="s">
        <v>97</v>
      </c>
      <c r="C1012" t="s">
        <v>9</v>
      </c>
      <c r="D1012">
        <v>3.92</v>
      </c>
      <c r="E1012" s="1">
        <v>16274702</v>
      </c>
      <c r="F1012" s="1">
        <v>637968</v>
      </c>
      <c r="G1012" s="4">
        <f t="shared" si="46"/>
        <v>683908.7749345738</v>
      </c>
      <c r="H1012" s="4">
        <f t="shared" si="47"/>
        <v>253742.88771399512</v>
      </c>
      <c r="I1012" s="17">
        <f t="shared" si="45"/>
        <v>0.62898138317019037</v>
      </c>
      <c r="J1012">
        <v>40.200000000000003</v>
      </c>
    </row>
    <row r="1013" spans="1:10" x14ac:dyDescent="0.25">
      <c r="A1013" t="s">
        <v>52</v>
      </c>
      <c r="B1013" t="s">
        <v>97</v>
      </c>
      <c r="C1013" t="s">
        <v>9</v>
      </c>
      <c r="D1013">
        <v>4.9400000000000004</v>
      </c>
      <c r="E1013" s="1">
        <v>16559144</v>
      </c>
      <c r="F1013" s="1">
        <v>818022</v>
      </c>
      <c r="G1013" s="4">
        <f t="shared" si="46"/>
        <v>651750.23248037207</v>
      </c>
      <c r="H1013" s="4">
        <f t="shared" si="47"/>
        <v>207515.70771277498</v>
      </c>
      <c r="I1013" s="17">
        <f t="shared" si="45"/>
        <v>0.68160240323500854</v>
      </c>
      <c r="J1013">
        <v>41.25</v>
      </c>
    </row>
    <row r="1014" spans="1:10" x14ac:dyDescent="0.25">
      <c r="A1014" t="s">
        <v>53</v>
      </c>
      <c r="B1014" t="s">
        <v>97</v>
      </c>
      <c r="C1014" t="s">
        <v>9</v>
      </c>
      <c r="D1014">
        <v>3.32</v>
      </c>
      <c r="E1014" s="1">
        <v>16205452</v>
      </c>
      <c r="F1014" s="1">
        <v>538021</v>
      </c>
      <c r="G1014" s="4">
        <f t="shared" si="46"/>
        <v>768140.46974411153</v>
      </c>
      <c r="H1014" s="4">
        <f t="shared" si="47"/>
        <v>100966.17095712533</v>
      </c>
      <c r="I1014" s="17">
        <f t="shared" si="45"/>
        <v>0.86855767280330909</v>
      </c>
      <c r="J1014">
        <v>39.61</v>
      </c>
    </row>
    <row r="1015" spans="1:10" x14ac:dyDescent="0.25">
      <c r="A1015" t="s">
        <v>54</v>
      </c>
      <c r="B1015" t="s">
        <v>97</v>
      </c>
      <c r="C1015" t="s">
        <v>9</v>
      </c>
      <c r="D1015">
        <v>2.98</v>
      </c>
      <c r="E1015" s="1">
        <v>17060636</v>
      </c>
      <c r="F1015" s="1">
        <v>508407</v>
      </c>
      <c r="G1015" s="4">
        <f t="shared" si="46"/>
        <v>607056.84092323342</v>
      </c>
      <c r="H1015" s="4">
        <f t="shared" si="47"/>
        <v>166043.99600808759</v>
      </c>
      <c r="I1015" s="17">
        <f t="shared" si="45"/>
        <v>0.72647702024811711</v>
      </c>
      <c r="J1015">
        <v>41.46</v>
      </c>
    </row>
    <row r="1016" spans="1:10" x14ac:dyDescent="0.25">
      <c r="A1016" t="s">
        <v>55</v>
      </c>
      <c r="B1016" t="s">
        <v>97</v>
      </c>
      <c r="C1016" t="s">
        <v>9</v>
      </c>
      <c r="D1016">
        <v>2.72</v>
      </c>
      <c r="E1016" s="1">
        <v>16306425</v>
      </c>
      <c r="F1016" s="1">
        <v>443535</v>
      </c>
      <c r="G1016" s="4">
        <f t="shared" si="46"/>
        <v>538001.95227697003</v>
      </c>
      <c r="H1016" s="4">
        <f t="shared" si="47"/>
        <v>173525.27399353244</v>
      </c>
      <c r="I1016" s="17">
        <f t="shared" si="45"/>
        <v>0.67746348640720278</v>
      </c>
      <c r="J1016">
        <v>39.44</v>
      </c>
    </row>
    <row r="1017" spans="1:10" x14ac:dyDescent="0.25">
      <c r="A1017" t="s">
        <v>56</v>
      </c>
      <c r="B1017" t="s">
        <v>97</v>
      </c>
      <c r="C1017" t="s">
        <v>9</v>
      </c>
      <c r="D1017">
        <v>2.94</v>
      </c>
      <c r="E1017" s="1">
        <v>16854646</v>
      </c>
      <c r="F1017" s="1">
        <v>495527</v>
      </c>
      <c r="G1017" s="4">
        <f t="shared" si="46"/>
        <v>471875.08568309096</v>
      </c>
      <c r="H1017" s="4">
        <f t="shared" si="47"/>
        <v>154500.01784464801</v>
      </c>
      <c r="I1017" s="17">
        <f t="shared" si="45"/>
        <v>0.6725828030929154</v>
      </c>
      <c r="J1017">
        <v>40.770000000000003</v>
      </c>
    </row>
    <row r="1018" spans="1:10" x14ac:dyDescent="0.25">
      <c r="A1018" t="s">
        <v>57</v>
      </c>
      <c r="B1018" t="s">
        <v>97</v>
      </c>
      <c r="C1018" t="s">
        <v>9</v>
      </c>
      <c r="D1018">
        <v>3.66</v>
      </c>
      <c r="E1018" s="1">
        <v>16183702</v>
      </c>
      <c r="F1018" s="1">
        <v>592323</v>
      </c>
      <c r="G1018" s="4">
        <f t="shared" si="46"/>
        <v>488431.42570492724</v>
      </c>
      <c r="H1018" s="4">
        <f t="shared" si="47"/>
        <v>80031.67963903003</v>
      </c>
      <c r="I1018" s="17">
        <f t="shared" si="45"/>
        <v>0.83614551515901225</v>
      </c>
      <c r="J1018">
        <v>39.35</v>
      </c>
    </row>
    <row r="1019" spans="1:10" x14ac:dyDescent="0.25">
      <c r="A1019" t="s">
        <v>58</v>
      </c>
      <c r="B1019" t="s">
        <v>97</v>
      </c>
      <c r="C1019" t="s">
        <v>9</v>
      </c>
      <c r="D1019">
        <v>4.42</v>
      </c>
      <c r="E1019" s="1">
        <v>16178044</v>
      </c>
      <c r="F1019" s="1">
        <v>715070</v>
      </c>
      <c r="G1019" s="4">
        <f t="shared" si="46"/>
        <v>561155.52771147818</v>
      </c>
      <c r="H1019" s="4">
        <f t="shared" si="47"/>
        <v>82212.888958813026</v>
      </c>
      <c r="I1019" s="17">
        <f t="shared" si="45"/>
        <v>0.85349357727242536</v>
      </c>
      <c r="J1019">
        <v>39.57</v>
      </c>
    </row>
    <row r="1020" spans="1:10" x14ac:dyDescent="0.25">
      <c r="A1020" t="s">
        <v>59</v>
      </c>
      <c r="B1020" t="s">
        <v>97</v>
      </c>
      <c r="C1020" t="s">
        <v>9</v>
      </c>
      <c r="D1020">
        <v>1.19</v>
      </c>
      <c r="E1020" s="1">
        <v>16480441</v>
      </c>
      <c r="F1020" s="1">
        <v>196117</v>
      </c>
      <c r="G1020" s="4">
        <f t="shared" si="46"/>
        <v>668895.65831344342</v>
      </c>
      <c r="H1020" s="4">
        <f t="shared" si="47"/>
        <v>108077.96112100003</v>
      </c>
      <c r="I1020" s="17">
        <f t="shared" si="45"/>
        <v>0.83842328803044075</v>
      </c>
      <c r="J1020">
        <v>38.9</v>
      </c>
    </row>
    <row r="1021" spans="1:10" x14ac:dyDescent="0.25">
      <c r="A1021" t="s">
        <v>60</v>
      </c>
      <c r="B1021" t="s">
        <v>97</v>
      </c>
      <c r="C1021" t="s">
        <v>9</v>
      </c>
      <c r="D1021">
        <v>12.5</v>
      </c>
      <c r="E1021" s="1">
        <v>14238959</v>
      </c>
      <c r="F1021" s="1">
        <v>1779870</v>
      </c>
      <c r="G1021" s="4">
        <f t="shared" si="46"/>
        <v>337950.59749403305</v>
      </c>
      <c r="H1021" s="4">
        <f t="shared" si="47"/>
        <v>293259.14805056097</v>
      </c>
      <c r="I1021" s="17">
        <f t="shared" si="45"/>
        <v>0.13224255194359041</v>
      </c>
      <c r="J1021">
        <v>37.880000000000003</v>
      </c>
    </row>
    <row r="1022" spans="1:10" x14ac:dyDescent="0.25">
      <c r="A1022" t="s">
        <v>61</v>
      </c>
      <c r="B1022" t="s">
        <v>97</v>
      </c>
      <c r="C1022" t="s">
        <v>9</v>
      </c>
      <c r="D1022">
        <v>22.41</v>
      </c>
      <c r="E1022" s="1">
        <v>13113588</v>
      </c>
      <c r="F1022" s="1">
        <v>2938755</v>
      </c>
      <c r="G1022" s="4">
        <f t="shared" si="46"/>
        <v>1347294.1792482098</v>
      </c>
      <c r="H1022" s="4">
        <f t="shared" si="47"/>
        <v>880594.66420135251</v>
      </c>
      <c r="I1022" s="17">
        <f t="shared" si="45"/>
        <v>0.34639763329733647</v>
      </c>
      <c r="J1022">
        <v>39.25</v>
      </c>
    </row>
    <row r="1023" spans="1:10" x14ac:dyDescent="0.25">
      <c r="A1023" t="s">
        <v>62</v>
      </c>
      <c r="B1023" t="s">
        <v>97</v>
      </c>
      <c r="C1023" t="s">
        <v>9</v>
      </c>
      <c r="D1023">
        <v>5.09</v>
      </c>
      <c r="E1023" s="1">
        <v>16745326</v>
      </c>
      <c r="F1023" s="1">
        <v>852337</v>
      </c>
      <c r="G1023" s="4">
        <f t="shared" si="46"/>
        <v>2461316.7537744627</v>
      </c>
      <c r="H1023" s="4">
        <f t="shared" si="47"/>
        <v>1269566.6934125971</v>
      </c>
      <c r="I1023" s="17">
        <f t="shared" si="45"/>
        <v>0.48419207261084973</v>
      </c>
      <c r="J1023">
        <v>40.89</v>
      </c>
    </row>
    <row r="1024" spans="1:10" x14ac:dyDescent="0.25">
      <c r="A1024" t="s">
        <v>63</v>
      </c>
      <c r="B1024" t="s">
        <v>97</v>
      </c>
      <c r="C1024" t="s">
        <v>9</v>
      </c>
      <c r="D1024">
        <v>3.12</v>
      </c>
      <c r="E1024" s="1">
        <v>17564717</v>
      </c>
      <c r="F1024" s="1">
        <v>548019</v>
      </c>
      <c r="G1024" s="4">
        <f t="shared" si="46"/>
        <v>1335030.9261323386</v>
      </c>
      <c r="H1024" s="4">
        <f t="shared" si="47"/>
        <v>1549268.1019723751</v>
      </c>
      <c r="I1024" s="17">
        <f t="shared" si="45"/>
        <v>-0.16047356780018115</v>
      </c>
      <c r="J1024">
        <v>41.92</v>
      </c>
    </row>
    <row r="1025" spans="1:10" x14ac:dyDescent="0.25">
      <c r="A1025" t="s">
        <v>64</v>
      </c>
      <c r="B1025" t="s">
        <v>97</v>
      </c>
      <c r="C1025" t="s">
        <v>9</v>
      </c>
      <c r="D1025">
        <v>4.1900000000000004</v>
      </c>
      <c r="E1025" s="1">
        <v>16678710</v>
      </c>
      <c r="F1025" s="1">
        <v>698838</v>
      </c>
      <c r="G1025" s="4">
        <f t="shared" si="46"/>
        <v>784122.57783970155</v>
      </c>
      <c r="H1025" s="4">
        <f t="shared" si="47"/>
        <v>1383347.5297165478</v>
      </c>
      <c r="I1025" s="17">
        <f t="shared" si="45"/>
        <v>-0.76419805883888992</v>
      </c>
      <c r="J1025">
        <v>40.17</v>
      </c>
    </row>
    <row r="1026" spans="1:10" x14ac:dyDescent="0.25">
      <c r="A1026" t="s">
        <v>65</v>
      </c>
      <c r="B1026" t="s">
        <v>97</v>
      </c>
      <c r="C1026" t="s">
        <v>9</v>
      </c>
      <c r="D1026">
        <v>1.97</v>
      </c>
      <c r="E1026" s="1">
        <v>16614381</v>
      </c>
      <c r="F1026" s="1">
        <v>327303</v>
      </c>
      <c r="G1026" s="4">
        <f t="shared" si="46"/>
        <v>724423.37335191038</v>
      </c>
      <c r="H1026" s="4">
        <f t="shared" si="47"/>
        <v>1035290.1492090612</v>
      </c>
      <c r="I1026" s="17">
        <f t="shared" si="45"/>
        <v>-0.42912306158589103</v>
      </c>
      <c r="J1026">
        <v>39.020000000000003</v>
      </c>
    </row>
    <row r="1027" spans="1:10" x14ac:dyDescent="0.25">
      <c r="A1027" t="s">
        <v>66</v>
      </c>
      <c r="B1027" t="s">
        <v>97</v>
      </c>
      <c r="C1027" t="s">
        <v>9</v>
      </c>
      <c r="D1027">
        <v>2.36</v>
      </c>
      <c r="E1027" s="1">
        <v>16604835</v>
      </c>
      <c r="F1027" s="1">
        <v>391874</v>
      </c>
      <c r="G1027" s="4">
        <f t="shared" si="46"/>
        <v>446439.11200557312</v>
      </c>
      <c r="H1027" s="4">
        <f t="shared" si="47"/>
        <v>511326.97367502871</v>
      </c>
      <c r="I1027" s="17">
        <f t="shared" ref="I1027:I1090" si="48">(G1027-H1027)/G1027</f>
        <v>-0.14534537840547798</v>
      </c>
      <c r="J1027">
        <v>39.07</v>
      </c>
    </row>
    <row r="1028" spans="1:10" x14ac:dyDescent="0.25">
      <c r="A1028" t="s">
        <v>67</v>
      </c>
      <c r="B1028" t="s">
        <v>97</v>
      </c>
      <c r="C1028" t="s">
        <v>9</v>
      </c>
      <c r="D1028">
        <v>3.43</v>
      </c>
      <c r="E1028" s="1">
        <v>17833203</v>
      </c>
      <c r="F1028" s="1">
        <v>611679</v>
      </c>
      <c r="G1028" s="4">
        <f t="shared" ref="G1028:G1091" si="49">0.7*F1027+0.3*G1027</f>
        <v>408243.53360167192</v>
      </c>
      <c r="H1028" s="4">
        <f t="shared" si="47"/>
        <v>236611.77879713816</v>
      </c>
      <c r="I1028" s="17">
        <f t="shared" si="48"/>
        <v>0.42041512155829247</v>
      </c>
      <c r="J1028">
        <v>42.33</v>
      </c>
    </row>
    <row r="1029" spans="1:10" x14ac:dyDescent="0.25">
      <c r="A1029" t="s">
        <v>68</v>
      </c>
      <c r="B1029" t="s">
        <v>97</v>
      </c>
      <c r="C1029" t="s">
        <v>9</v>
      </c>
      <c r="D1029">
        <v>4.7</v>
      </c>
      <c r="E1029" s="1">
        <v>17361870</v>
      </c>
      <c r="F1029" s="1">
        <v>816008</v>
      </c>
      <c r="G1029" s="4">
        <f t="shared" si="49"/>
        <v>550648.36008050153</v>
      </c>
      <c r="H1029" s="4">
        <f t="shared" si="47"/>
        <v>259530.30097212584</v>
      </c>
      <c r="I1029" s="17">
        <f t="shared" si="48"/>
        <v>0.52868233198009695</v>
      </c>
      <c r="J1029">
        <v>41.67</v>
      </c>
    </row>
    <row r="1030" spans="1:10" x14ac:dyDescent="0.25">
      <c r="A1030" t="s">
        <v>69</v>
      </c>
      <c r="B1030" t="s">
        <v>97</v>
      </c>
      <c r="C1030" t="s">
        <v>9</v>
      </c>
      <c r="D1030">
        <v>5.53</v>
      </c>
      <c r="E1030" s="1">
        <v>16425899</v>
      </c>
      <c r="F1030" s="1">
        <v>908352</v>
      </c>
      <c r="G1030" s="4">
        <f t="shared" si="49"/>
        <v>736400.10802415037</v>
      </c>
      <c r="H1030" s="4">
        <f t="shared" ref="H1030:H1093" si="50">SQRT(SUMXMY2(F1027:F1029,G1027:G1029)/3)</f>
        <v>195600.85116983505</v>
      </c>
      <c r="I1030" s="17">
        <f t="shared" si="48"/>
        <v>0.73438237034666443</v>
      </c>
      <c r="J1030">
        <v>39.69</v>
      </c>
    </row>
    <row r="1031" spans="1:10" x14ac:dyDescent="0.25">
      <c r="A1031" t="s">
        <v>70</v>
      </c>
      <c r="B1031" t="s">
        <v>97</v>
      </c>
      <c r="C1031" t="s">
        <v>9</v>
      </c>
      <c r="D1031">
        <v>1.45</v>
      </c>
      <c r="E1031" s="1">
        <v>16110846</v>
      </c>
      <c r="F1031" s="1">
        <v>233607</v>
      </c>
      <c r="G1031" s="4">
        <f t="shared" si="49"/>
        <v>856766.43240724504</v>
      </c>
      <c r="H1031" s="4">
        <f t="shared" si="50"/>
        <v>217078.46556870121</v>
      </c>
      <c r="I1031" s="17">
        <f t="shared" si="48"/>
        <v>0.74663051987368501</v>
      </c>
      <c r="J1031">
        <v>37.24</v>
      </c>
    </row>
    <row r="1032" spans="1:10" x14ac:dyDescent="0.25">
      <c r="A1032" t="s">
        <v>71</v>
      </c>
      <c r="B1032" t="s">
        <v>97</v>
      </c>
      <c r="C1032" t="s">
        <v>9</v>
      </c>
      <c r="D1032">
        <v>0.98</v>
      </c>
      <c r="E1032" s="1">
        <v>17514181</v>
      </c>
      <c r="F1032" s="1">
        <v>171639</v>
      </c>
      <c r="G1032" s="4">
        <f t="shared" si="49"/>
        <v>420554.82972217351</v>
      </c>
      <c r="H1032" s="4">
        <f t="shared" si="50"/>
        <v>403448.00154435431</v>
      </c>
      <c r="I1032" s="17">
        <f t="shared" si="48"/>
        <v>4.06768082752023E-2</v>
      </c>
      <c r="J1032">
        <v>40.200000000000003</v>
      </c>
    </row>
    <row r="1033" spans="1:10" x14ac:dyDescent="0.25">
      <c r="A1033" t="s">
        <v>72</v>
      </c>
      <c r="B1033" t="s">
        <v>97</v>
      </c>
      <c r="C1033" t="s">
        <v>9</v>
      </c>
      <c r="D1033">
        <v>1.0900000000000001</v>
      </c>
      <c r="E1033" s="1">
        <v>16536975</v>
      </c>
      <c r="F1033" s="1">
        <v>180253</v>
      </c>
      <c r="G1033" s="4">
        <f t="shared" si="49"/>
        <v>246313.74891665205</v>
      </c>
      <c r="H1033" s="4">
        <f t="shared" si="50"/>
        <v>399939.2544034957</v>
      </c>
      <c r="I1033" s="17">
        <f t="shared" si="48"/>
        <v>-0.62369845841949989</v>
      </c>
      <c r="J1033">
        <v>37.92</v>
      </c>
    </row>
    <row r="1034" spans="1:10" x14ac:dyDescent="0.25">
      <c r="A1034" t="s">
        <v>73</v>
      </c>
      <c r="B1034" t="s">
        <v>97</v>
      </c>
      <c r="C1034" t="s">
        <v>9</v>
      </c>
      <c r="D1034">
        <v>4.75</v>
      </c>
      <c r="E1034" s="1">
        <v>15844700</v>
      </c>
      <c r="F1034" s="1">
        <v>752623</v>
      </c>
      <c r="G1034" s="4">
        <f t="shared" si="49"/>
        <v>200071.22467499561</v>
      </c>
      <c r="H1034" s="4">
        <f t="shared" si="50"/>
        <v>389294.57185693661</v>
      </c>
      <c r="I1034" s="17">
        <f t="shared" si="48"/>
        <v>-0.94577992157204827</v>
      </c>
      <c r="J1034">
        <v>37.65</v>
      </c>
    </row>
    <row r="1035" spans="1:10" x14ac:dyDescent="0.25">
      <c r="A1035" t="s">
        <v>74</v>
      </c>
      <c r="B1035" t="s">
        <v>97</v>
      </c>
      <c r="C1035" t="s">
        <v>9</v>
      </c>
      <c r="D1035">
        <v>1.4</v>
      </c>
      <c r="E1035" s="1">
        <v>16156443</v>
      </c>
      <c r="F1035" s="1">
        <v>226190</v>
      </c>
      <c r="G1035" s="4">
        <f t="shared" si="49"/>
        <v>586857.4674024987</v>
      </c>
      <c r="H1035" s="4">
        <f t="shared" si="50"/>
        <v>351964.28665823524</v>
      </c>
      <c r="I1035" s="17">
        <f t="shared" si="48"/>
        <v>0.40025592889518602</v>
      </c>
      <c r="J1035">
        <v>37.01</v>
      </c>
    </row>
    <row r="1036" spans="1:10" x14ac:dyDescent="0.25">
      <c r="A1036" t="s">
        <v>75</v>
      </c>
      <c r="B1036" t="s">
        <v>97</v>
      </c>
      <c r="C1036" t="s">
        <v>9</v>
      </c>
      <c r="D1036">
        <v>1.47</v>
      </c>
      <c r="E1036" s="1">
        <v>17718555</v>
      </c>
      <c r="F1036" s="1">
        <v>260463</v>
      </c>
      <c r="G1036" s="4">
        <f t="shared" si="49"/>
        <v>334390.24022074963</v>
      </c>
      <c r="H1036" s="4">
        <f t="shared" si="50"/>
        <v>382865.73321238678</v>
      </c>
      <c r="I1036" s="17">
        <f t="shared" si="48"/>
        <v>-0.14496682965279062</v>
      </c>
      <c r="J1036">
        <v>40.520000000000003</v>
      </c>
    </row>
    <row r="1037" spans="1:10" x14ac:dyDescent="0.25">
      <c r="A1037" t="s">
        <v>76</v>
      </c>
      <c r="B1037" t="s">
        <v>97</v>
      </c>
      <c r="C1037" t="s">
        <v>9</v>
      </c>
      <c r="D1037">
        <v>3.42</v>
      </c>
      <c r="E1037" s="1">
        <v>17144098</v>
      </c>
      <c r="F1037" s="1">
        <v>586328</v>
      </c>
      <c r="G1037" s="4">
        <f t="shared" si="49"/>
        <v>282641.17206622486</v>
      </c>
      <c r="H1037" s="4">
        <f t="shared" si="50"/>
        <v>383344.80706191174</v>
      </c>
      <c r="I1037" s="17">
        <f t="shared" si="48"/>
        <v>-0.35629499502673762</v>
      </c>
      <c r="J1037">
        <v>39.909999999999997</v>
      </c>
    </row>
    <row r="1038" spans="1:10" x14ac:dyDescent="0.25">
      <c r="A1038" t="s">
        <v>77</v>
      </c>
      <c r="B1038" t="s">
        <v>97</v>
      </c>
      <c r="C1038" t="s">
        <v>9</v>
      </c>
      <c r="D1038">
        <v>3.05</v>
      </c>
      <c r="E1038" s="1">
        <v>16829442</v>
      </c>
      <c r="F1038" s="1">
        <v>513298</v>
      </c>
      <c r="G1038" s="4">
        <f t="shared" si="49"/>
        <v>495221.95161986741</v>
      </c>
      <c r="H1038" s="4">
        <f t="shared" si="50"/>
        <v>275543.06883538625</v>
      </c>
      <c r="I1038" s="17">
        <f t="shared" si="48"/>
        <v>0.44359681970056686</v>
      </c>
      <c r="J1038">
        <v>38.950000000000003</v>
      </c>
    </row>
    <row r="1039" spans="1:10" x14ac:dyDescent="0.25">
      <c r="A1039" t="s">
        <v>78</v>
      </c>
      <c r="B1039" t="s">
        <v>97</v>
      </c>
      <c r="C1039" t="s">
        <v>9</v>
      </c>
      <c r="D1039">
        <v>1.1599999999999999</v>
      </c>
      <c r="E1039" s="1">
        <v>16354585</v>
      </c>
      <c r="F1039" s="1">
        <v>189713</v>
      </c>
      <c r="G1039" s="4">
        <f t="shared" si="49"/>
        <v>507875.18548596022</v>
      </c>
      <c r="H1039" s="4">
        <f t="shared" si="50"/>
        <v>180755.51612807068</v>
      </c>
      <c r="I1039" s="17">
        <f t="shared" si="48"/>
        <v>0.64409460967242416</v>
      </c>
      <c r="J1039">
        <v>37.04</v>
      </c>
    </row>
    <row r="1040" spans="1:10" x14ac:dyDescent="0.25">
      <c r="A1040" t="s">
        <v>79</v>
      </c>
      <c r="B1040" t="s">
        <v>97</v>
      </c>
      <c r="C1040" t="s">
        <v>9</v>
      </c>
      <c r="D1040">
        <v>0.94</v>
      </c>
      <c r="E1040" s="1">
        <v>17614485</v>
      </c>
      <c r="F1040" s="1">
        <v>165576</v>
      </c>
      <c r="G1040" s="4">
        <f t="shared" si="49"/>
        <v>285161.65564578807</v>
      </c>
      <c r="H1040" s="4">
        <f t="shared" si="50"/>
        <v>254151.92914129258</v>
      </c>
      <c r="I1040" s="17">
        <f t="shared" si="48"/>
        <v>0.10874437670895711</v>
      </c>
      <c r="J1040">
        <v>39.72</v>
      </c>
    </row>
    <row r="1041" spans="1:10" x14ac:dyDescent="0.25">
      <c r="A1041" t="s">
        <v>80</v>
      </c>
      <c r="B1041" t="s">
        <v>97</v>
      </c>
      <c r="C1041" t="s">
        <v>9</v>
      </c>
      <c r="D1041">
        <v>3.35</v>
      </c>
      <c r="E1041" s="1">
        <v>17340069</v>
      </c>
      <c r="F1041" s="1">
        <v>580892</v>
      </c>
      <c r="G1041" s="4">
        <f t="shared" si="49"/>
        <v>201451.69669373642</v>
      </c>
      <c r="H1041" s="4">
        <f t="shared" si="50"/>
        <v>196515.1807829584</v>
      </c>
      <c r="I1041" s="17">
        <f t="shared" si="48"/>
        <v>2.4504712503280235E-2</v>
      </c>
      <c r="J1041">
        <v>39.99</v>
      </c>
    </row>
    <row r="1042" spans="1:10" x14ac:dyDescent="0.25">
      <c r="A1042" t="s">
        <v>81</v>
      </c>
      <c r="B1042" t="s">
        <v>97</v>
      </c>
      <c r="C1042" t="s">
        <v>9</v>
      </c>
      <c r="D1042">
        <v>2.82</v>
      </c>
      <c r="E1042" s="1">
        <v>16521800</v>
      </c>
      <c r="F1042" s="1">
        <v>465915</v>
      </c>
      <c r="G1042" s="4">
        <f t="shared" si="49"/>
        <v>467059.90900812089</v>
      </c>
      <c r="H1042" s="4">
        <f t="shared" si="50"/>
        <v>294110.43792119133</v>
      </c>
      <c r="I1042" s="17">
        <f t="shared" si="48"/>
        <v>0.37029397674961317</v>
      </c>
      <c r="J1042">
        <v>37.81</v>
      </c>
    </row>
    <row r="1043" spans="1:10" x14ac:dyDescent="0.25">
      <c r="A1043" t="s">
        <v>82</v>
      </c>
      <c r="B1043" t="s">
        <v>97</v>
      </c>
      <c r="C1043" t="s">
        <v>9</v>
      </c>
      <c r="D1043">
        <v>1.88</v>
      </c>
      <c r="E1043" s="1">
        <v>15856775</v>
      </c>
      <c r="F1043" s="1">
        <v>298107</v>
      </c>
      <c r="G1043" s="4">
        <f t="shared" si="49"/>
        <v>466258.47270243627</v>
      </c>
      <c r="H1043" s="4">
        <f t="shared" si="50"/>
        <v>229693.26185590727</v>
      </c>
      <c r="I1043" s="17">
        <f t="shared" si="48"/>
        <v>0.50736924838147379</v>
      </c>
      <c r="J1043">
        <v>35.869999999999997</v>
      </c>
    </row>
    <row r="1044" spans="1:10" x14ac:dyDescent="0.25">
      <c r="A1044" t="s">
        <v>83</v>
      </c>
      <c r="B1044" t="s">
        <v>97</v>
      </c>
      <c r="C1044" t="s">
        <v>9</v>
      </c>
      <c r="D1044">
        <v>1.19</v>
      </c>
      <c r="E1044" s="1">
        <v>17233257</v>
      </c>
      <c r="F1044" s="1">
        <v>205076</v>
      </c>
      <c r="G1044" s="4">
        <f t="shared" si="49"/>
        <v>348552.44181073084</v>
      </c>
      <c r="H1044" s="4">
        <f t="shared" si="50"/>
        <v>239618.56658850145</v>
      </c>
      <c r="I1044" s="17">
        <f t="shared" si="48"/>
        <v>0.31253223949979414</v>
      </c>
      <c r="J1044">
        <v>38.630000000000003</v>
      </c>
    </row>
    <row r="1045" spans="1:10" x14ac:dyDescent="0.25">
      <c r="A1045" t="s">
        <v>84</v>
      </c>
      <c r="B1045" t="s">
        <v>97</v>
      </c>
      <c r="C1045" t="s">
        <v>9</v>
      </c>
      <c r="D1045">
        <v>1.24</v>
      </c>
      <c r="E1045" s="1">
        <v>17152188</v>
      </c>
      <c r="F1045" s="1">
        <v>212687</v>
      </c>
      <c r="G1045" s="4">
        <f t="shared" si="49"/>
        <v>248118.93254321924</v>
      </c>
      <c r="H1045" s="4">
        <f t="shared" si="50"/>
        <v>127621.46886176463</v>
      </c>
      <c r="I1045" s="17">
        <f t="shared" si="48"/>
        <v>0.48564397100356477</v>
      </c>
      <c r="J1045">
        <v>38.39</v>
      </c>
    </row>
    <row r="1046" spans="1:10" x14ac:dyDescent="0.25">
      <c r="A1046" t="s">
        <v>7</v>
      </c>
      <c r="B1046" t="s">
        <v>98</v>
      </c>
      <c r="C1046" t="s">
        <v>9</v>
      </c>
      <c r="D1046">
        <v>4.41</v>
      </c>
      <c r="E1046" s="1">
        <v>23349301</v>
      </c>
      <c r="F1046" s="1">
        <v>1029704</v>
      </c>
      <c r="G1046" s="4">
        <f t="shared" si="49"/>
        <v>223316.57976296576</v>
      </c>
      <c r="H1046" s="4">
        <f t="shared" si="50"/>
        <v>129248.89292938313</v>
      </c>
      <c r="I1046" s="17">
        <f t="shared" si="48"/>
        <v>0.42123019676115681</v>
      </c>
      <c r="J1046">
        <v>49.81</v>
      </c>
    </row>
    <row r="1047" spans="1:10" x14ac:dyDescent="0.25">
      <c r="A1047" t="s">
        <v>10</v>
      </c>
      <c r="B1047" t="s">
        <v>98</v>
      </c>
      <c r="C1047" t="s">
        <v>9</v>
      </c>
      <c r="D1047">
        <v>2.27</v>
      </c>
      <c r="E1047" s="1">
        <v>24009199</v>
      </c>
      <c r="F1047" s="1">
        <v>545009</v>
      </c>
      <c r="G1047" s="4">
        <f t="shared" si="49"/>
        <v>787787.77392888966</v>
      </c>
      <c r="H1047" s="4">
        <f t="shared" si="50"/>
        <v>473322.15340609703</v>
      </c>
      <c r="I1047" s="17">
        <f t="shared" si="48"/>
        <v>0.3991755532768374</v>
      </c>
      <c r="J1047">
        <v>50.02</v>
      </c>
    </row>
    <row r="1048" spans="1:10" x14ac:dyDescent="0.25">
      <c r="A1048" t="s">
        <v>11</v>
      </c>
      <c r="B1048" t="s">
        <v>98</v>
      </c>
      <c r="C1048" t="s">
        <v>9</v>
      </c>
      <c r="D1048">
        <v>4.2300000000000004</v>
      </c>
      <c r="E1048" s="1">
        <v>24256813</v>
      </c>
      <c r="F1048" s="1">
        <v>1026063</v>
      </c>
      <c r="G1048" s="4">
        <f t="shared" si="49"/>
        <v>617842.63217866689</v>
      </c>
      <c r="H1048" s="4">
        <f t="shared" si="50"/>
        <v>486640.73895455338</v>
      </c>
      <c r="I1048" s="17">
        <f t="shared" si="48"/>
        <v>0.21235487224548261</v>
      </c>
      <c r="J1048">
        <v>51.47</v>
      </c>
    </row>
    <row r="1049" spans="1:10" x14ac:dyDescent="0.25">
      <c r="A1049" t="s">
        <v>12</v>
      </c>
      <c r="B1049" t="s">
        <v>98</v>
      </c>
      <c r="C1049" t="s">
        <v>9</v>
      </c>
      <c r="D1049">
        <v>8.48</v>
      </c>
      <c r="E1049" s="1">
        <v>24355586</v>
      </c>
      <c r="F1049" s="1">
        <v>2065354</v>
      </c>
      <c r="G1049" s="4">
        <f t="shared" si="49"/>
        <v>903596.88965360005</v>
      </c>
      <c r="H1049" s="4">
        <f t="shared" si="50"/>
        <v>540322.76566608425</v>
      </c>
      <c r="I1049" s="17">
        <f t="shared" si="48"/>
        <v>0.40203118021663331</v>
      </c>
      <c r="J1049">
        <v>53.98</v>
      </c>
    </row>
    <row r="1050" spans="1:10" x14ac:dyDescent="0.25">
      <c r="A1050" t="s">
        <v>13</v>
      </c>
      <c r="B1050" t="s">
        <v>98</v>
      </c>
      <c r="C1050" t="s">
        <v>9</v>
      </c>
      <c r="D1050">
        <v>6.75</v>
      </c>
      <c r="E1050" s="1">
        <v>25381354</v>
      </c>
      <c r="F1050" s="1">
        <v>1713241</v>
      </c>
      <c r="G1050" s="4">
        <f t="shared" si="49"/>
        <v>1716826.8668960799</v>
      </c>
      <c r="H1050" s="4">
        <f t="shared" si="50"/>
        <v>724629.78713616624</v>
      </c>
      <c r="I1050" s="17">
        <f t="shared" si="48"/>
        <v>0.57792494915561665</v>
      </c>
      <c r="J1050">
        <v>55.12</v>
      </c>
    </row>
    <row r="1051" spans="1:10" x14ac:dyDescent="0.25">
      <c r="A1051" t="s">
        <v>14</v>
      </c>
      <c r="B1051" t="s">
        <v>98</v>
      </c>
      <c r="C1051" t="s">
        <v>9</v>
      </c>
      <c r="D1051">
        <v>6.23</v>
      </c>
      <c r="E1051" s="1">
        <v>25770672</v>
      </c>
      <c r="F1051" s="1">
        <v>1605513</v>
      </c>
      <c r="G1051" s="4">
        <f t="shared" si="49"/>
        <v>1714316.7600688238</v>
      </c>
      <c r="H1051" s="4">
        <f t="shared" si="50"/>
        <v>710946.85937979887</v>
      </c>
      <c r="I1051" s="17">
        <f t="shared" si="48"/>
        <v>0.58528850913686636</v>
      </c>
      <c r="J1051">
        <v>55.56</v>
      </c>
    </row>
    <row r="1052" spans="1:10" x14ac:dyDescent="0.25">
      <c r="A1052" t="s">
        <v>15</v>
      </c>
      <c r="B1052" t="s">
        <v>98</v>
      </c>
      <c r="C1052" t="s">
        <v>9</v>
      </c>
      <c r="D1052">
        <v>6.72</v>
      </c>
      <c r="E1052" s="1">
        <v>26924026</v>
      </c>
      <c r="F1052" s="1">
        <v>1809295</v>
      </c>
      <c r="G1052" s="4">
        <f t="shared" si="49"/>
        <v>1638154.128020647</v>
      </c>
      <c r="H1052" s="4">
        <f t="shared" si="50"/>
        <v>673679.12740090338</v>
      </c>
      <c r="I1052" s="17">
        <f t="shared" si="48"/>
        <v>0.58875717743671774</v>
      </c>
      <c r="J1052">
        <v>58.24</v>
      </c>
    </row>
    <row r="1053" spans="1:10" x14ac:dyDescent="0.25">
      <c r="A1053" t="s">
        <v>16</v>
      </c>
      <c r="B1053" t="s">
        <v>98</v>
      </c>
      <c r="C1053" t="s">
        <v>9</v>
      </c>
      <c r="D1053">
        <v>6.16</v>
      </c>
      <c r="E1053" s="1">
        <v>24478824</v>
      </c>
      <c r="F1053" s="1">
        <v>1507896</v>
      </c>
      <c r="G1053" s="4">
        <f t="shared" si="49"/>
        <v>1757952.7384061941</v>
      </c>
      <c r="H1053" s="4">
        <f t="shared" si="50"/>
        <v>117104.39033666198</v>
      </c>
      <c r="I1053" s="17">
        <f t="shared" si="48"/>
        <v>0.93338592797276676</v>
      </c>
      <c r="J1053">
        <v>52.54</v>
      </c>
    </row>
    <row r="1054" spans="1:10" x14ac:dyDescent="0.25">
      <c r="A1054" t="s">
        <v>17</v>
      </c>
      <c r="B1054" t="s">
        <v>98</v>
      </c>
      <c r="C1054" t="s">
        <v>9</v>
      </c>
      <c r="D1054">
        <v>3.69</v>
      </c>
      <c r="E1054" s="1">
        <v>26376296</v>
      </c>
      <c r="F1054" s="1">
        <v>973285</v>
      </c>
      <c r="G1054" s="4">
        <f t="shared" si="49"/>
        <v>1582913.0215218582</v>
      </c>
      <c r="H1054" s="4">
        <f t="shared" si="50"/>
        <v>185881.52919652101</v>
      </c>
      <c r="I1054" s="17">
        <f t="shared" si="48"/>
        <v>0.88256996646738739</v>
      </c>
      <c r="J1054">
        <v>55.06</v>
      </c>
    </row>
    <row r="1055" spans="1:10" x14ac:dyDescent="0.25">
      <c r="A1055" t="s">
        <v>18</v>
      </c>
      <c r="B1055" t="s">
        <v>98</v>
      </c>
      <c r="C1055" t="s">
        <v>9</v>
      </c>
      <c r="D1055">
        <v>2.62</v>
      </c>
      <c r="E1055" s="1">
        <v>26704911</v>
      </c>
      <c r="F1055" s="1">
        <v>699669</v>
      </c>
      <c r="G1055" s="4">
        <f t="shared" si="49"/>
        <v>1156173.4064565576</v>
      </c>
      <c r="H1055" s="4">
        <f t="shared" si="50"/>
        <v>393049.57071123243</v>
      </c>
      <c r="I1055" s="17">
        <f t="shared" si="48"/>
        <v>0.66004271632933376</v>
      </c>
      <c r="J1055">
        <v>55.04</v>
      </c>
    </row>
    <row r="1056" spans="1:10" x14ac:dyDescent="0.25">
      <c r="A1056" t="s">
        <v>19</v>
      </c>
      <c r="B1056" t="s">
        <v>98</v>
      </c>
      <c r="C1056" t="s">
        <v>9</v>
      </c>
      <c r="D1056">
        <v>5.44</v>
      </c>
      <c r="E1056" s="1">
        <v>25674138</v>
      </c>
      <c r="F1056" s="1">
        <v>1396673</v>
      </c>
      <c r="G1056" s="4">
        <f t="shared" si="49"/>
        <v>836620.32193696732</v>
      </c>
      <c r="H1056" s="4">
        <f t="shared" si="50"/>
        <v>462807.00447063713</v>
      </c>
      <c r="I1056" s="17">
        <f t="shared" si="48"/>
        <v>0.44681357560245116</v>
      </c>
      <c r="J1056">
        <v>54.39</v>
      </c>
    </row>
    <row r="1057" spans="1:10" x14ac:dyDescent="0.25">
      <c r="A1057" t="s">
        <v>20</v>
      </c>
      <c r="B1057" t="s">
        <v>98</v>
      </c>
      <c r="C1057" t="s">
        <v>9</v>
      </c>
      <c r="D1057">
        <v>4.6100000000000003</v>
      </c>
      <c r="E1057" s="1">
        <v>24664651</v>
      </c>
      <c r="F1057" s="1">
        <v>1137040</v>
      </c>
      <c r="G1057" s="4">
        <f t="shared" si="49"/>
        <v>1228657.1965810901</v>
      </c>
      <c r="H1057" s="4">
        <f t="shared" si="50"/>
        <v>545802.65052015637</v>
      </c>
      <c r="I1057" s="17">
        <f t="shared" si="48"/>
        <v>0.55577304065045297</v>
      </c>
      <c r="J1057">
        <v>51.71</v>
      </c>
    </row>
    <row r="1058" spans="1:10" x14ac:dyDescent="0.25">
      <c r="A1058" t="s">
        <v>21</v>
      </c>
      <c r="B1058" t="s">
        <v>98</v>
      </c>
      <c r="C1058" t="s">
        <v>9</v>
      </c>
      <c r="D1058">
        <v>2.84</v>
      </c>
      <c r="E1058" s="1">
        <v>25807027</v>
      </c>
      <c r="F1058" s="1">
        <v>732920</v>
      </c>
      <c r="G1058" s="4">
        <f t="shared" si="49"/>
        <v>1164525.1589743271</v>
      </c>
      <c r="H1058" s="4">
        <f t="shared" si="50"/>
        <v>420495.33728259377</v>
      </c>
      <c r="I1058" s="17">
        <f t="shared" si="48"/>
        <v>0.63891262112967029</v>
      </c>
      <c r="J1058">
        <v>53.02</v>
      </c>
    </row>
    <row r="1059" spans="1:10" x14ac:dyDescent="0.25">
      <c r="A1059" t="s">
        <v>22</v>
      </c>
      <c r="B1059" t="s">
        <v>98</v>
      </c>
      <c r="C1059" t="s">
        <v>9</v>
      </c>
      <c r="D1059">
        <v>2.59</v>
      </c>
      <c r="E1059" s="1">
        <v>25901602</v>
      </c>
      <c r="F1059" s="1">
        <v>670851</v>
      </c>
      <c r="G1059" s="4">
        <f t="shared" si="49"/>
        <v>862401.54769229807</v>
      </c>
      <c r="H1059" s="4">
        <f t="shared" si="50"/>
        <v>411637.27000366367</v>
      </c>
      <c r="I1059" s="17">
        <f t="shared" si="48"/>
        <v>0.52268491272404993</v>
      </c>
      <c r="J1059">
        <v>52.99</v>
      </c>
    </row>
    <row r="1060" spans="1:10" x14ac:dyDescent="0.25">
      <c r="A1060" t="s">
        <v>23</v>
      </c>
      <c r="B1060" t="s">
        <v>98</v>
      </c>
      <c r="C1060" t="s">
        <v>9</v>
      </c>
      <c r="D1060">
        <v>9.27</v>
      </c>
      <c r="E1060" s="1">
        <v>25629032</v>
      </c>
      <c r="F1060" s="1">
        <v>2375811</v>
      </c>
      <c r="G1060" s="4">
        <f t="shared" si="49"/>
        <v>728316.16430768929</v>
      </c>
      <c r="H1060" s="4">
        <f t="shared" si="50"/>
        <v>277709.88236158231</v>
      </c>
      <c r="I1060" s="17">
        <f t="shared" si="48"/>
        <v>0.61869597851701785</v>
      </c>
      <c r="J1060">
        <v>56.19</v>
      </c>
    </row>
    <row r="1061" spans="1:10" x14ac:dyDescent="0.25">
      <c r="A1061" t="s">
        <v>24</v>
      </c>
      <c r="B1061" t="s">
        <v>98</v>
      </c>
      <c r="C1061" t="s">
        <v>9</v>
      </c>
      <c r="D1061">
        <v>4.25</v>
      </c>
      <c r="E1061" s="1">
        <v>25216698</v>
      </c>
      <c r="F1061" s="1">
        <v>1071710</v>
      </c>
      <c r="G1061" s="4">
        <f t="shared" si="49"/>
        <v>1881562.5492923066</v>
      </c>
      <c r="H1061" s="4">
        <f t="shared" si="50"/>
        <v>989480.31127579079</v>
      </c>
      <c r="I1061" s="17">
        <f t="shared" si="48"/>
        <v>0.47411776895328078</v>
      </c>
      <c r="J1061">
        <v>52.3</v>
      </c>
    </row>
    <row r="1062" spans="1:10" x14ac:dyDescent="0.25">
      <c r="A1062" t="s">
        <v>25</v>
      </c>
      <c r="B1062" t="s">
        <v>98</v>
      </c>
      <c r="C1062" t="s">
        <v>9</v>
      </c>
      <c r="D1062">
        <v>4.55</v>
      </c>
      <c r="E1062" s="1">
        <v>25999202</v>
      </c>
      <c r="F1062" s="1">
        <v>1182964</v>
      </c>
      <c r="G1062" s="4">
        <f t="shared" si="49"/>
        <v>1314665.7647876921</v>
      </c>
      <c r="H1062" s="4">
        <f t="shared" si="50"/>
        <v>1065644.092798545</v>
      </c>
      <c r="I1062" s="17">
        <f t="shared" si="48"/>
        <v>0.18941823744026837</v>
      </c>
      <c r="J1062">
        <v>53.99</v>
      </c>
    </row>
    <row r="1063" spans="1:10" x14ac:dyDescent="0.25">
      <c r="A1063" t="s">
        <v>26</v>
      </c>
      <c r="B1063" t="s">
        <v>98</v>
      </c>
      <c r="C1063" t="s">
        <v>9</v>
      </c>
      <c r="D1063">
        <v>4.49</v>
      </c>
      <c r="E1063" s="1">
        <v>25777081</v>
      </c>
      <c r="F1063" s="1">
        <v>1157391</v>
      </c>
      <c r="G1063" s="4">
        <f t="shared" si="49"/>
        <v>1222474.5294363075</v>
      </c>
      <c r="H1063" s="4">
        <f t="shared" si="50"/>
        <v>1062614.0315398742</v>
      </c>
      <c r="I1063" s="17">
        <f t="shared" si="48"/>
        <v>0.13076795797957955</v>
      </c>
      <c r="J1063">
        <v>53.4</v>
      </c>
    </row>
    <row r="1064" spans="1:10" x14ac:dyDescent="0.25">
      <c r="A1064" t="s">
        <v>27</v>
      </c>
      <c r="B1064" t="s">
        <v>98</v>
      </c>
      <c r="C1064" t="s">
        <v>9</v>
      </c>
      <c r="D1064">
        <v>3.27</v>
      </c>
      <c r="E1064" s="1">
        <v>27783238</v>
      </c>
      <c r="F1064" s="1">
        <v>908512</v>
      </c>
      <c r="G1064" s="4">
        <f t="shared" si="49"/>
        <v>1176916.0588308922</v>
      </c>
      <c r="H1064" s="4">
        <f t="shared" si="50"/>
        <v>475199.03628105391</v>
      </c>
      <c r="I1064" s="17">
        <f t="shared" si="48"/>
        <v>0.59623370527113018</v>
      </c>
      <c r="J1064">
        <v>56.73</v>
      </c>
    </row>
    <row r="1065" spans="1:10" x14ac:dyDescent="0.25">
      <c r="A1065" t="s">
        <v>28</v>
      </c>
      <c r="B1065" t="s">
        <v>98</v>
      </c>
      <c r="C1065" t="s">
        <v>9</v>
      </c>
      <c r="D1065">
        <v>3.22</v>
      </c>
      <c r="E1065" s="1">
        <v>26053589</v>
      </c>
      <c r="F1065" s="1">
        <v>838926</v>
      </c>
      <c r="G1065" s="4">
        <f t="shared" si="49"/>
        <v>989033.21764926752</v>
      </c>
      <c r="H1065" s="4">
        <f t="shared" si="50"/>
        <v>176655.93626121213</v>
      </c>
      <c r="I1065" s="17">
        <f t="shared" si="48"/>
        <v>0.82138523448071077</v>
      </c>
      <c r="J1065">
        <v>53.07</v>
      </c>
    </row>
    <row r="1066" spans="1:10" x14ac:dyDescent="0.25">
      <c r="A1066" t="s">
        <v>29</v>
      </c>
      <c r="B1066" t="s">
        <v>98</v>
      </c>
      <c r="C1066" t="s">
        <v>9</v>
      </c>
      <c r="D1066">
        <v>4.01</v>
      </c>
      <c r="E1066" s="1">
        <v>26670872</v>
      </c>
      <c r="F1066" s="1">
        <v>1069502</v>
      </c>
      <c r="G1066" s="4">
        <f t="shared" si="49"/>
        <v>883958.16529478016</v>
      </c>
      <c r="H1066" s="4">
        <f t="shared" si="50"/>
        <v>181483.49915000383</v>
      </c>
      <c r="I1066" s="17">
        <f t="shared" si="48"/>
        <v>0.79469220798533702</v>
      </c>
      <c r="J1066">
        <v>54.68</v>
      </c>
    </row>
    <row r="1067" spans="1:10" x14ac:dyDescent="0.25">
      <c r="A1067" t="s">
        <v>30</v>
      </c>
      <c r="B1067" t="s">
        <v>98</v>
      </c>
      <c r="C1067" t="s">
        <v>9</v>
      </c>
      <c r="D1067">
        <v>3.61</v>
      </c>
      <c r="E1067" s="1">
        <v>26688647</v>
      </c>
      <c r="F1067" s="1">
        <v>963460</v>
      </c>
      <c r="G1067" s="4">
        <f t="shared" si="49"/>
        <v>1013838.849588434</v>
      </c>
      <c r="H1067" s="4">
        <f t="shared" si="50"/>
        <v>207363.95555031541</v>
      </c>
      <c r="I1067" s="17">
        <f t="shared" si="48"/>
        <v>0.79546655207137262</v>
      </c>
      <c r="J1067">
        <v>54.39</v>
      </c>
    </row>
    <row r="1068" spans="1:10" x14ac:dyDescent="0.25">
      <c r="A1068" t="s">
        <v>31</v>
      </c>
      <c r="B1068" t="s">
        <v>98</v>
      </c>
      <c r="C1068" t="s">
        <v>9</v>
      </c>
      <c r="D1068">
        <v>2.87</v>
      </c>
      <c r="E1068" s="1">
        <v>27085396</v>
      </c>
      <c r="F1068" s="1">
        <v>777351</v>
      </c>
      <c r="G1068" s="4">
        <f t="shared" si="49"/>
        <v>978573.65487653017</v>
      </c>
      <c r="H1068" s="4">
        <f t="shared" si="50"/>
        <v>140826.98590040259</v>
      </c>
      <c r="I1068" s="17">
        <f t="shared" si="48"/>
        <v>0.85608953889304207</v>
      </c>
      <c r="J1068">
        <v>54.68</v>
      </c>
    </row>
    <row r="1069" spans="1:10" x14ac:dyDescent="0.25">
      <c r="A1069" t="s">
        <v>32</v>
      </c>
      <c r="B1069" t="s">
        <v>98</v>
      </c>
      <c r="C1069" t="s">
        <v>9</v>
      </c>
      <c r="D1069">
        <v>2.2999999999999998</v>
      </c>
      <c r="E1069" s="1">
        <v>26885202</v>
      </c>
      <c r="F1069" s="1">
        <v>618360</v>
      </c>
      <c r="G1069" s="4">
        <f t="shared" si="49"/>
        <v>837717.79646295891</v>
      </c>
      <c r="H1069" s="4">
        <f t="shared" si="50"/>
        <v>160680.94672210017</v>
      </c>
      <c r="I1069" s="17">
        <f t="shared" si="48"/>
        <v>0.80819203387998584</v>
      </c>
      <c r="J1069">
        <v>53.87</v>
      </c>
    </row>
    <row r="1070" spans="1:10" x14ac:dyDescent="0.25">
      <c r="A1070" t="s">
        <v>33</v>
      </c>
      <c r="B1070" t="s">
        <v>98</v>
      </c>
      <c r="C1070" t="s">
        <v>9</v>
      </c>
      <c r="D1070">
        <v>3.08</v>
      </c>
      <c r="E1070" s="1">
        <v>26961311</v>
      </c>
      <c r="F1070" s="1">
        <v>830408</v>
      </c>
      <c r="G1070" s="4">
        <f t="shared" si="49"/>
        <v>684167.3389388877</v>
      </c>
      <c r="H1070" s="4">
        <f t="shared" si="50"/>
        <v>174304.7409859125</v>
      </c>
      <c r="I1070" s="17">
        <f t="shared" si="48"/>
        <v>0.74523083598779916</v>
      </c>
      <c r="J1070">
        <v>54.35</v>
      </c>
    </row>
    <row r="1071" spans="1:10" x14ac:dyDescent="0.25">
      <c r="A1071" t="s">
        <v>34</v>
      </c>
      <c r="B1071" t="s">
        <v>98</v>
      </c>
      <c r="C1071" t="s">
        <v>9</v>
      </c>
      <c r="D1071">
        <v>3.5</v>
      </c>
      <c r="E1071" s="1">
        <v>26765446</v>
      </c>
      <c r="F1071" s="1">
        <v>936791</v>
      </c>
      <c r="G1071" s="4">
        <f t="shared" si="49"/>
        <v>786535.80168166629</v>
      </c>
      <c r="H1071" s="4">
        <f t="shared" si="50"/>
        <v>191480.83511780424</v>
      </c>
      <c r="I1071" s="17">
        <f t="shared" si="48"/>
        <v>0.75655166019346431</v>
      </c>
      <c r="J1071">
        <v>54.11</v>
      </c>
    </row>
    <row r="1072" spans="1:10" x14ac:dyDescent="0.25">
      <c r="A1072" t="s">
        <v>35</v>
      </c>
      <c r="B1072" t="s">
        <v>98</v>
      </c>
      <c r="C1072" t="s">
        <v>9</v>
      </c>
      <c r="D1072">
        <v>2.4700000000000002</v>
      </c>
      <c r="E1072" s="1">
        <v>26388024</v>
      </c>
      <c r="F1072" s="1">
        <v>651784</v>
      </c>
      <c r="G1072" s="4">
        <f t="shared" si="49"/>
        <v>891714.44050449983</v>
      </c>
      <c r="H1072" s="4">
        <f t="shared" si="50"/>
        <v>175195.88887714405</v>
      </c>
      <c r="I1072" s="17">
        <f t="shared" si="48"/>
        <v>0.80352915583824736</v>
      </c>
      <c r="J1072">
        <v>52.69</v>
      </c>
    </row>
    <row r="1073" spans="1:10" x14ac:dyDescent="0.25">
      <c r="A1073" t="s">
        <v>36</v>
      </c>
      <c r="B1073" t="s">
        <v>98</v>
      </c>
      <c r="C1073" t="s">
        <v>9</v>
      </c>
      <c r="D1073">
        <v>4.2300000000000004</v>
      </c>
      <c r="E1073" s="1">
        <v>26866134</v>
      </c>
      <c r="F1073" s="1">
        <v>1136437</v>
      </c>
      <c r="G1073" s="4">
        <f t="shared" si="49"/>
        <v>723763.13215134991</v>
      </c>
      <c r="H1073" s="4">
        <f t="shared" si="50"/>
        <v>183965.18860005031</v>
      </c>
      <c r="I1073" s="17">
        <f t="shared" si="48"/>
        <v>0.7458212771169721</v>
      </c>
      <c r="J1073">
        <v>54.53</v>
      </c>
    </row>
    <row r="1074" spans="1:10" x14ac:dyDescent="0.25">
      <c r="A1074" t="s">
        <v>37</v>
      </c>
      <c r="B1074" t="s">
        <v>98</v>
      </c>
      <c r="C1074" t="s">
        <v>9</v>
      </c>
      <c r="D1074">
        <v>3.4</v>
      </c>
      <c r="E1074" s="1">
        <v>25543215</v>
      </c>
      <c r="F1074" s="1">
        <v>868469</v>
      </c>
      <c r="G1074" s="4">
        <f t="shared" si="49"/>
        <v>1012634.8396454048</v>
      </c>
      <c r="H1074" s="4">
        <f t="shared" si="50"/>
        <v>288930.76570205664</v>
      </c>
      <c r="I1074" s="17">
        <f t="shared" si="48"/>
        <v>0.71467427902911984</v>
      </c>
      <c r="J1074">
        <v>51.3</v>
      </c>
    </row>
    <row r="1075" spans="1:10" x14ac:dyDescent="0.25">
      <c r="A1075" t="s">
        <v>38</v>
      </c>
      <c r="B1075" t="s">
        <v>98</v>
      </c>
      <c r="C1075" t="s">
        <v>9</v>
      </c>
      <c r="D1075">
        <v>4.18</v>
      </c>
      <c r="E1075" s="1">
        <v>25435207</v>
      </c>
      <c r="F1075" s="1">
        <v>1063192</v>
      </c>
      <c r="G1075" s="4">
        <f t="shared" si="49"/>
        <v>911718.7518936214</v>
      </c>
      <c r="H1075" s="4">
        <f t="shared" si="50"/>
        <v>287894.73007016123</v>
      </c>
      <c r="I1075" s="17">
        <f t="shared" si="48"/>
        <v>0.68422857435781637</v>
      </c>
      <c r="J1075">
        <v>51.41</v>
      </c>
    </row>
    <row r="1076" spans="1:10" x14ac:dyDescent="0.25">
      <c r="A1076" t="s">
        <v>39</v>
      </c>
      <c r="B1076" t="s">
        <v>98</v>
      </c>
      <c r="C1076" t="s">
        <v>9</v>
      </c>
      <c r="D1076">
        <v>3.23</v>
      </c>
      <c r="E1076" s="1">
        <v>24861163</v>
      </c>
      <c r="F1076" s="1">
        <v>803016</v>
      </c>
      <c r="G1076" s="4">
        <f t="shared" si="49"/>
        <v>1017750.0255680863</v>
      </c>
      <c r="H1076" s="4">
        <f t="shared" si="50"/>
        <v>267100.26545458304</v>
      </c>
      <c r="I1076" s="17">
        <f t="shared" si="48"/>
        <v>0.73755808524250022</v>
      </c>
      <c r="J1076">
        <v>49.67</v>
      </c>
    </row>
    <row r="1077" spans="1:10" x14ac:dyDescent="0.25">
      <c r="A1077" t="s">
        <v>40</v>
      </c>
      <c r="B1077" t="s">
        <v>98</v>
      </c>
      <c r="C1077" t="s">
        <v>9</v>
      </c>
      <c r="D1077">
        <v>3.32</v>
      </c>
      <c r="E1077" s="1">
        <v>24561056</v>
      </c>
      <c r="F1077" s="1">
        <v>815427</v>
      </c>
      <c r="G1077" s="4">
        <f t="shared" si="49"/>
        <v>867436.20767042576</v>
      </c>
      <c r="H1077" s="4">
        <f t="shared" si="50"/>
        <v>173049.73846579166</v>
      </c>
      <c r="I1077" s="17">
        <f t="shared" si="48"/>
        <v>0.80050436339228725</v>
      </c>
      <c r="J1077">
        <v>49.02</v>
      </c>
    </row>
    <row r="1078" spans="1:10" x14ac:dyDescent="0.25">
      <c r="A1078" t="s">
        <v>41</v>
      </c>
      <c r="B1078" t="s">
        <v>98</v>
      </c>
      <c r="C1078" t="s">
        <v>9</v>
      </c>
      <c r="D1078">
        <v>3.28</v>
      </c>
      <c r="E1078" s="1">
        <v>26250561</v>
      </c>
      <c r="F1078" s="1">
        <v>861018</v>
      </c>
      <c r="G1078" s="4">
        <f t="shared" si="49"/>
        <v>831029.76230112766</v>
      </c>
      <c r="H1078" s="4">
        <f t="shared" si="50"/>
        <v>154660.70855378616</v>
      </c>
      <c r="I1078" s="17">
        <f t="shared" si="48"/>
        <v>0.81389269606237746</v>
      </c>
      <c r="J1078">
        <v>52.28</v>
      </c>
    </row>
    <row r="1079" spans="1:10" x14ac:dyDescent="0.25">
      <c r="A1079" t="s">
        <v>42</v>
      </c>
      <c r="B1079" t="s">
        <v>98</v>
      </c>
      <c r="C1079" t="s">
        <v>9</v>
      </c>
      <c r="D1079">
        <v>3.49</v>
      </c>
      <c r="E1079" s="1">
        <v>25376699</v>
      </c>
      <c r="F1079" s="1">
        <v>885647</v>
      </c>
      <c r="G1079" s="4">
        <f t="shared" si="49"/>
        <v>852021.52869033825</v>
      </c>
      <c r="H1079" s="4">
        <f t="shared" si="50"/>
        <v>128730.92586148453</v>
      </c>
      <c r="I1079" s="17">
        <f t="shared" si="48"/>
        <v>0.84891118178743707</v>
      </c>
      <c r="J1079">
        <v>50.56</v>
      </c>
    </row>
    <row r="1080" spans="1:10" x14ac:dyDescent="0.25">
      <c r="A1080" t="s">
        <v>43</v>
      </c>
      <c r="B1080" t="s">
        <v>98</v>
      </c>
      <c r="C1080" t="s">
        <v>9</v>
      </c>
      <c r="D1080">
        <v>3.62</v>
      </c>
      <c r="E1080" s="1">
        <v>25793662</v>
      </c>
      <c r="F1080" s="1">
        <v>933731</v>
      </c>
      <c r="G1080" s="4">
        <f t="shared" si="49"/>
        <v>875559.35860710137</v>
      </c>
      <c r="H1080" s="4">
        <f t="shared" si="50"/>
        <v>39727.926380932709</v>
      </c>
      <c r="I1080" s="17">
        <f t="shared" si="48"/>
        <v>0.95462566188072673</v>
      </c>
      <c r="J1080">
        <v>51.37</v>
      </c>
    </row>
    <row r="1081" spans="1:10" x14ac:dyDescent="0.25">
      <c r="A1081" t="s">
        <v>44</v>
      </c>
      <c r="B1081" t="s">
        <v>98</v>
      </c>
      <c r="C1081" t="s">
        <v>9</v>
      </c>
      <c r="D1081">
        <v>1.94</v>
      </c>
      <c r="E1081" s="1">
        <v>25492138</v>
      </c>
      <c r="F1081" s="1">
        <v>494547</v>
      </c>
      <c r="G1081" s="4">
        <f t="shared" si="49"/>
        <v>916279.50758213038</v>
      </c>
      <c r="H1081" s="4">
        <f t="shared" si="50"/>
        <v>42481.001963328468</v>
      </c>
      <c r="I1081" s="17">
        <f t="shared" si="48"/>
        <v>0.95363750731976216</v>
      </c>
      <c r="J1081">
        <v>49.81</v>
      </c>
    </row>
    <row r="1082" spans="1:10" x14ac:dyDescent="0.25">
      <c r="A1082" t="s">
        <v>45</v>
      </c>
      <c r="B1082" t="s">
        <v>98</v>
      </c>
      <c r="C1082" t="s">
        <v>9</v>
      </c>
      <c r="D1082">
        <v>3.96</v>
      </c>
      <c r="E1082" s="1">
        <v>26357273</v>
      </c>
      <c r="F1082" s="1">
        <v>1043748</v>
      </c>
      <c r="G1082" s="4">
        <f t="shared" si="49"/>
        <v>621066.75227463909</v>
      </c>
      <c r="H1082" s="4">
        <f t="shared" si="50"/>
        <v>246558.25554667096</v>
      </c>
      <c r="I1082" s="17">
        <f t="shared" si="48"/>
        <v>0.60300844531822306</v>
      </c>
      <c r="J1082">
        <v>52.49</v>
      </c>
    </row>
    <row r="1083" spans="1:10" x14ac:dyDescent="0.25">
      <c r="A1083" t="s">
        <v>46</v>
      </c>
      <c r="B1083" t="s">
        <v>98</v>
      </c>
      <c r="C1083" t="s">
        <v>9</v>
      </c>
      <c r="D1083">
        <v>3.01</v>
      </c>
      <c r="E1083" s="1">
        <v>25615962</v>
      </c>
      <c r="F1083" s="1">
        <v>771040</v>
      </c>
      <c r="G1083" s="4">
        <f t="shared" si="49"/>
        <v>916943.62568239169</v>
      </c>
      <c r="H1083" s="4">
        <f t="shared" si="50"/>
        <v>346362.85645380797</v>
      </c>
      <c r="I1083" s="17">
        <f t="shared" si="48"/>
        <v>0.62226373928272427</v>
      </c>
      <c r="J1083">
        <v>50.43</v>
      </c>
    </row>
    <row r="1084" spans="1:10" x14ac:dyDescent="0.25">
      <c r="A1084" t="s">
        <v>47</v>
      </c>
      <c r="B1084" t="s">
        <v>98</v>
      </c>
      <c r="C1084" t="s">
        <v>9</v>
      </c>
      <c r="D1084">
        <v>2.2799999999999998</v>
      </c>
      <c r="E1084" s="1">
        <v>25988958</v>
      </c>
      <c r="F1084" s="1">
        <v>592548</v>
      </c>
      <c r="G1084" s="4">
        <f t="shared" si="49"/>
        <v>814811.08770471741</v>
      </c>
      <c r="H1084" s="4">
        <f t="shared" si="50"/>
        <v>354873.50474849815</v>
      </c>
      <c r="I1084" s="17">
        <f t="shared" si="48"/>
        <v>0.56447143380417264</v>
      </c>
      <c r="J1084">
        <v>50.69</v>
      </c>
    </row>
    <row r="1085" spans="1:10" x14ac:dyDescent="0.25">
      <c r="A1085" t="s">
        <v>48</v>
      </c>
      <c r="B1085" t="s">
        <v>98</v>
      </c>
      <c r="C1085" t="s">
        <v>9</v>
      </c>
      <c r="D1085">
        <v>3.08</v>
      </c>
      <c r="E1085" s="1">
        <v>25247404</v>
      </c>
      <c r="F1085" s="1">
        <v>777620</v>
      </c>
      <c r="G1085" s="4">
        <f t="shared" si="49"/>
        <v>659226.92631141515</v>
      </c>
      <c r="H1085" s="4">
        <f t="shared" si="50"/>
        <v>288298.5636002894</v>
      </c>
      <c r="I1085" s="17">
        <f t="shared" si="48"/>
        <v>0.56267174156035804</v>
      </c>
      <c r="J1085">
        <v>49.56</v>
      </c>
    </row>
    <row r="1086" spans="1:10" x14ac:dyDescent="0.25">
      <c r="A1086" t="s">
        <v>49</v>
      </c>
      <c r="B1086" t="s">
        <v>98</v>
      </c>
      <c r="C1086" t="s">
        <v>9</v>
      </c>
      <c r="D1086">
        <v>3.67</v>
      </c>
      <c r="E1086" s="1">
        <v>23896869</v>
      </c>
      <c r="F1086" s="1">
        <v>877015</v>
      </c>
      <c r="G1086" s="4">
        <f t="shared" si="49"/>
        <v>742102.07789342455</v>
      </c>
      <c r="H1086" s="4">
        <f t="shared" si="50"/>
        <v>168033.39751443567</v>
      </c>
      <c r="I1086" s="17">
        <f t="shared" si="48"/>
        <v>0.7735710456553021</v>
      </c>
      <c r="J1086">
        <v>47.11</v>
      </c>
    </row>
    <row r="1087" spans="1:10" x14ac:dyDescent="0.25">
      <c r="A1087" t="s">
        <v>50</v>
      </c>
      <c r="B1087" t="s">
        <v>98</v>
      </c>
      <c r="C1087" t="s">
        <v>9</v>
      </c>
      <c r="D1087">
        <v>4.34</v>
      </c>
      <c r="E1087" s="1">
        <v>23056509</v>
      </c>
      <c r="F1087" s="1">
        <v>1000652</v>
      </c>
      <c r="G1087" s="4">
        <f t="shared" si="49"/>
        <v>836541.12336802739</v>
      </c>
      <c r="H1087" s="4">
        <f t="shared" si="50"/>
        <v>164943.72434742755</v>
      </c>
      <c r="I1087" s="17">
        <f t="shared" si="48"/>
        <v>0.8028265201316801</v>
      </c>
      <c r="J1087">
        <v>45.69</v>
      </c>
    </row>
    <row r="1088" spans="1:10" x14ac:dyDescent="0.25">
      <c r="A1088" t="s">
        <v>51</v>
      </c>
      <c r="B1088" t="s">
        <v>98</v>
      </c>
      <c r="C1088" t="s">
        <v>9</v>
      </c>
      <c r="D1088">
        <v>3.66</v>
      </c>
      <c r="E1088" s="1">
        <v>24843734</v>
      </c>
      <c r="F1088" s="1">
        <v>909281</v>
      </c>
      <c r="G1088" s="4">
        <f t="shared" si="49"/>
        <v>951418.73701040808</v>
      </c>
      <c r="H1088" s="4">
        <f t="shared" si="50"/>
        <v>140416.9936031962</v>
      </c>
      <c r="I1088" s="17">
        <f t="shared" si="48"/>
        <v>0.85241304575898835</v>
      </c>
      <c r="J1088">
        <v>48.8</v>
      </c>
    </row>
    <row r="1089" spans="1:10" x14ac:dyDescent="0.25">
      <c r="A1089" t="s">
        <v>52</v>
      </c>
      <c r="B1089" t="s">
        <v>98</v>
      </c>
      <c r="C1089" t="s">
        <v>9</v>
      </c>
      <c r="D1089">
        <v>3.76</v>
      </c>
      <c r="E1089" s="1">
        <v>26835377</v>
      </c>
      <c r="F1089" s="1">
        <v>1009010</v>
      </c>
      <c r="G1089" s="4">
        <f t="shared" si="49"/>
        <v>921922.32110312232</v>
      </c>
      <c r="H1089" s="4">
        <f t="shared" si="50"/>
        <v>125045.94523695114</v>
      </c>
      <c r="I1089" s="17">
        <f t="shared" si="48"/>
        <v>0.86436390314606126</v>
      </c>
      <c r="J1089">
        <v>52.67</v>
      </c>
    </row>
    <row r="1090" spans="1:10" x14ac:dyDescent="0.25">
      <c r="A1090" t="s">
        <v>53</v>
      </c>
      <c r="B1090" t="s">
        <v>98</v>
      </c>
      <c r="C1090" t="s">
        <v>9</v>
      </c>
      <c r="D1090">
        <v>4.32</v>
      </c>
      <c r="E1090" s="1">
        <v>24526973</v>
      </c>
      <c r="F1090" s="1">
        <v>1059565</v>
      </c>
      <c r="G1090" s="4">
        <f t="shared" si="49"/>
        <v>982883.69633093663</v>
      </c>
      <c r="H1090" s="4">
        <f t="shared" si="50"/>
        <v>109988.23046871656</v>
      </c>
      <c r="I1090" s="17">
        <f t="shared" si="48"/>
        <v>0.88809639341938618</v>
      </c>
      <c r="J1090">
        <v>48.34</v>
      </c>
    </row>
    <row r="1091" spans="1:10" x14ac:dyDescent="0.25">
      <c r="A1091" t="s">
        <v>54</v>
      </c>
      <c r="B1091" t="s">
        <v>98</v>
      </c>
      <c r="C1091" t="s">
        <v>9</v>
      </c>
      <c r="D1091">
        <v>3.81</v>
      </c>
      <c r="E1091" s="1">
        <v>24330242</v>
      </c>
      <c r="F1091" s="1">
        <v>926982</v>
      </c>
      <c r="G1091" s="4">
        <f t="shared" si="49"/>
        <v>1036560.6088992809</v>
      </c>
      <c r="H1091" s="4">
        <f t="shared" si="50"/>
        <v>71273.826491896965</v>
      </c>
      <c r="I1091" s="17">
        <f t="shared" ref="I1091:I1154" si="51">(G1091-H1091)/G1091</f>
        <v>0.93124007811990617</v>
      </c>
      <c r="J1091">
        <v>47.61</v>
      </c>
    </row>
    <row r="1092" spans="1:10" x14ac:dyDescent="0.25">
      <c r="A1092" t="s">
        <v>55</v>
      </c>
      <c r="B1092" t="s">
        <v>98</v>
      </c>
      <c r="C1092" t="s">
        <v>9</v>
      </c>
      <c r="D1092">
        <v>3.68</v>
      </c>
      <c r="E1092" s="1">
        <v>24881375</v>
      </c>
      <c r="F1092" s="1">
        <v>915635</v>
      </c>
      <c r="G1092" s="4">
        <f t="shared" ref="G1092:G1155" si="52">0.7*F1091+0.3*G1091</f>
        <v>959855.58266978408</v>
      </c>
      <c r="H1092" s="4">
        <f t="shared" si="50"/>
        <v>92144.37526030252</v>
      </c>
      <c r="I1092" s="17">
        <f t="shared" si="51"/>
        <v>0.90400183431344094</v>
      </c>
      <c r="J1092">
        <v>48.53</v>
      </c>
    </row>
    <row r="1093" spans="1:10" x14ac:dyDescent="0.25">
      <c r="A1093" t="s">
        <v>56</v>
      </c>
      <c r="B1093" t="s">
        <v>98</v>
      </c>
      <c r="C1093" t="s">
        <v>9</v>
      </c>
      <c r="D1093">
        <v>3.03</v>
      </c>
      <c r="E1093" s="1">
        <v>26357639</v>
      </c>
      <c r="F1093" s="1">
        <v>798636</v>
      </c>
      <c r="G1093" s="4">
        <f t="shared" si="52"/>
        <v>928901.1748009352</v>
      </c>
      <c r="H1093" s="4">
        <f t="shared" si="50"/>
        <v>81328.457078573032</v>
      </c>
      <c r="I1093" s="17">
        <f t="shared" si="51"/>
        <v>0.91244659896570601</v>
      </c>
      <c r="J1093">
        <v>50.98</v>
      </c>
    </row>
    <row r="1094" spans="1:10" x14ac:dyDescent="0.25">
      <c r="A1094" t="s">
        <v>57</v>
      </c>
      <c r="B1094" t="s">
        <v>98</v>
      </c>
      <c r="C1094" t="s">
        <v>9</v>
      </c>
      <c r="D1094">
        <v>3.8</v>
      </c>
      <c r="E1094" s="1">
        <v>25881398</v>
      </c>
      <c r="F1094" s="1">
        <v>983493</v>
      </c>
      <c r="G1094" s="4">
        <f t="shared" si="52"/>
        <v>837715.55244028056</v>
      </c>
      <c r="H1094" s="4">
        <f t="shared" ref="H1094:H1157" si="53">SQRT(SUMXMY2(F1091:F1093,G1091:G1093)/3)</f>
        <v>101541.36632570815</v>
      </c>
      <c r="I1094" s="17">
        <f t="shared" si="51"/>
        <v>0.8787877746450854</v>
      </c>
      <c r="J1094">
        <v>50.36</v>
      </c>
    </row>
    <row r="1095" spans="1:10" x14ac:dyDescent="0.25">
      <c r="A1095" t="s">
        <v>58</v>
      </c>
      <c r="B1095" t="s">
        <v>98</v>
      </c>
      <c r="C1095" t="s">
        <v>9</v>
      </c>
      <c r="D1095">
        <v>4.24</v>
      </c>
      <c r="E1095" s="1">
        <v>25293535</v>
      </c>
      <c r="F1095" s="1">
        <v>1072446</v>
      </c>
      <c r="G1095" s="4">
        <f t="shared" si="52"/>
        <v>939759.76573208417</v>
      </c>
      <c r="H1095" s="4">
        <f t="shared" si="53"/>
        <v>115723.14651010856</v>
      </c>
      <c r="I1095" s="17">
        <f t="shared" si="51"/>
        <v>0.87685879867397931</v>
      </c>
      <c r="J1095">
        <v>49.36</v>
      </c>
    </row>
    <row r="1096" spans="1:10" x14ac:dyDescent="0.25">
      <c r="A1096" t="s">
        <v>59</v>
      </c>
      <c r="B1096" t="s">
        <v>98</v>
      </c>
      <c r="C1096" t="s">
        <v>9</v>
      </c>
      <c r="D1096">
        <v>5.38</v>
      </c>
      <c r="E1096" s="1">
        <v>23130976</v>
      </c>
      <c r="F1096" s="1">
        <v>1244447</v>
      </c>
      <c r="G1096" s="4">
        <f t="shared" si="52"/>
        <v>1032640.1297196252</v>
      </c>
      <c r="H1096" s="4">
        <f t="shared" si="53"/>
        <v>136413.24073948394</v>
      </c>
      <c r="I1096" s="17">
        <f t="shared" si="51"/>
        <v>0.86789856716441782</v>
      </c>
      <c r="J1096">
        <v>45.6</v>
      </c>
    </row>
    <row r="1097" spans="1:10" x14ac:dyDescent="0.25">
      <c r="A1097" t="s">
        <v>60</v>
      </c>
      <c r="B1097" t="s">
        <v>98</v>
      </c>
      <c r="C1097" t="s">
        <v>9</v>
      </c>
      <c r="D1097">
        <v>25.28</v>
      </c>
      <c r="E1097" s="1">
        <v>15014802</v>
      </c>
      <c r="F1097" s="1">
        <v>3795742</v>
      </c>
      <c r="G1097" s="4">
        <f t="shared" si="52"/>
        <v>1180904.9389158874</v>
      </c>
      <c r="H1097" s="4">
        <f t="shared" si="53"/>
        <v>167051.73976864622</v>
      </c>
      <c r="I1097" s="17">
        <f t="shared" si="51"/>
        <v>0.85853921491597318</v>
      </c>
      <c r="J1097">
        <v>37.42</v>
      </c>
    </row>
    <row r="1098" spans="1:10" x14ac:dyDescent="0.25">
      <c r="A1098" t="s">
        <v>61</v>
      </c>
      <c r="B1098" t="s">
        <v>98</v>
      </c>
      <c r="C1098" t="s">
        <v>9</v>
      </c>
      <c r="D1098">
        <v>15.69</v>
      </c>
      <c r="E1098" s="1">
        <v>18527244</v>
      </c>
      <c r="F1098" s="1">
        <v>2906925</v>
      </c>
      <c r="G1098" s="4">
        <f t="shared" si="52"/>
        <v>3011290.8816747661</v>
      </c>
      <c r="H1098" s="4">
        <f t="shared" si="53"/>
        <v>1516557.5759024303</v>
      </c>
      <c r="I1098" s="17">
        <f t="shared" si="51"/>
        <v>0.49637626005131114</v>
      </c>
      <c r="J1098">
        <v>40.85</v>
      </c>
    </row>
    <row r="1099" spans="1:10" x14ac:dyDescent="0.25">
      <c r="A1099" t="s">
        <v>62</v>
      </c>
      <c r="B1099" t="s">
        <v>98</v>
      </c>
      <c r="C1099" t="s">
        <v>9</v>
      </c>
      <c r="D1099">
        <v>9.1</v>
      </c>
      <c r="E1099" s="1">
        <v>23798442</v>
      </c>
      <c r="F1099" s="1">
        <v>2165658</v>
      </c>
      <c r="G1099" s="4">
        <f t="shared" si="52"/>
        <v>2938234.7645024294</v>
      </c>
      <c r="H1099" s="4">
        <f t="shared" si="53"/>
        <v>1515819.6070745268</v>
      </c>
      <c r="I1099" s="17">
        <f t="shared" si="51"/>
        <v>0.48410534604398064</v>
      </c>
      <c r="J1099">
        <v>48.58</v>
      </c>
    </row>
    <row r="1100" spans="1:10" x14ac:dyDescent="0.25">
      <c r="A1100" t="s">
        <v>63</v>
      </c>
      <c r="B1100" t="s">
        <v>98</v>
      </c>
      <c r="C1100" t="s">
        <v>9</v>
      </c>
      <c r="D1100">
        <v>3.16</v>
      </c>
      <c r="E1100" s="1">
        <v>24668199</v>
      </c>
      <c r="F1100" s="1">
        <v>779515</v>
      </c>
      <c r="G1100" s="4">
        <f t="shared" si="52"/>
        <v>2397431.0293507287</v>
      </c>
      <c r="H1100" s="4">
        <f t="shared" si="53"/>
        <v>1575345.4595025384</v>
      </c>
      <c r="I1100" s="17">
        <f t="shared" si="51"/>
        <v>0.34290269867359946</v>
      </c>
      <c r="J1100">
        <v>47.18</v>
      </c>
    </row>
    <row r="1101" spans="1:10" x14ac:dyDescent="0.25">
      <c r="A1101" t="s">
        <v>64</v>
      </c>
      <c r="B1101" t="s">
        <v>98</v>
      </c>
      <c r="C1101" t="s">
        <v>9</v>
      </c>
      <c r="D1101">
        <v>4.91</v>
      </c>
      <c r="E1101" s="1">
        <v>24114467</v>
      </c>
      <c r="F1101" s="1">
        <v>1184020</v>
      </c>
      <c r="G1101" s="4">
        <f t="shared" si="52"/>
        <v>1264889.8088052184</v>
      </c>
      <c r="H1101" s="4">
        <f t="shared" si="53"/>
        <v>1036889.4785747131</v>
      </c>
      <c r="I1101" s="17">
        <f t="shared" si="51"/>
        <v>0.18025311662987342</v>
      </c>
      <c r="J1101">
        <v>46.88</v>
      </c>
    </row>
    <row r="1102" spans="1:10" x14ac:dyDescent="0.25">
      <c r="A1102" t="s">
        <v>65</v>
      </c>
      <c r="B1102" t="s">
        <v>98</v>
      </c>
      <c r="C1102" t="s">
        <v>9</v>
      </c>
      <c r="D1102">
        <v>3.15</v>
      </c>
      <c r="E1102" s="1">
        <v>25324035</v>
      </c>
      <c r="F1102" s="1">
        <v>797707</v>
      </c>
      <c r="G1102" s="4">
        <f t="shared" si="52"/>
        <v>1208280.9426415656</v>
      </c>
      <c r="H1102" s="4">
        <f t="shared" si="53"/>
        <v>1036189.6642756838</v>
      </c>
      <c r="I1102" s="17">
        <f t="shared" si="51"/>
        <v>0.1424265436063675</v>
      </c>
      <c r="J1102">
        <v>48.25</v>
      </c>
    </row>
    <row r="1103" spans="1:10" x14ac:dyDescent="0.25">
      <c r="A1103" t="s">
        <v>66</v>
      </c>
      <c r="B1103" t="s">
        <v>98</v>
      </c>
      <c r="C1103" t="s">
        <v>9</v>
      </c>
      <c r="D1103">
        <v>3.06</v>
      </c>
      <c r="E1103" s="1">
        <v>26049047</v>
      </c>
      <c r="F1103" s="1">
        <v>797101</v>
      </c>
      <c r="G1103" s="4">
        <f t="shared" si="52"/>
        <v>920879.18279246963</v>
      </c>
      <c r="H1103" s="4">
        <f t="shared" si="53"/>
        <v>964842.50293030741</v>
      </c>
      <c r="I1103" s="17">
        <f t="shared" si="51"/>
        <v>-4.7740595030635422E-2</v>
      </c>
      <c r="J1103">
        <v>49.5</v>
      </c>
    </row>
    <row r="1104" spans="1:10" x14ac:dyDescent="0.25">
      <c r="A1104" t="s">
        <v>67</v>
      </c>
      <c r="B1104" t="s">
        <v>98</v>
      </c>
      <c r="C1104" t="s">
        <v>9</v>
      </c>
      <c r="D1104">
        <v>2.59</v>
      </c>
      <c r="E1104" s="1">
        <v>24566063</v>
      </c>
      <c r="F1104" s="1">
        <v>636261</v>
      </c>
      <c r="G1104" s="4">
        <f t="shared" si="52"/>
        <v>834234.45483774086</v>
      </c>
      <c r="H1104" s="4">
        <f t="shared" si="53"/>
        <v>251947.03602664734</v>
      </c>
      <c r="I1104" s="17">
        <f t="shared" si="51"/>
        <v>0.69799013386991893</v>
      </c>
      <c r="J1104">
        <v>46.38</v>
      </c>
    </row>
    <row r="1105" spans="1:10" x14ac:dyDescent="0.25">
      <c r="A1105" t="s">
        <v>68</v>
      </c>
      <c r="B1105" t="s">
        <v>98</v>
      </c>
      <c r="C1105" t="s">
        <v>9</v>
      </c>
      <c r="D1105">
        <v>3.27</v>
      </c>
      <c r="E1105" s="1">
        <v>25341826</v>
      </c>
      <c r="F1105" s="1">
        <v>828678</v>
      </c>
      <c r="G1105" s="4">
        <f t="shared" si="52"/>
        <v>695653.03645132226</v>
      </c>
      <c r="H1105" s="4">
        <f t="shared" si="53"/>
        <v>272693.65579470102</v>
      </c>
      <c r="I1105" s="17">
        <f t="shared" si="51"/>
        <v>0.60800335583127652</v>
      </c>
      <c r="J1105">
        <v>48.09</v>
      </c>
    </row>
    <row r="1106" spans="1:10" x14ac:dyDescent="0.25">
      <c r="A1106" t="s">
        <v>69</v>
      </c>
      <c r="B1106" t="s">
        <v>98</v>
      </c>
      <c r="C1106" t="s">
        <v>9</v>
      </c>
      <c r="D1106">
        <v>3.23</v>
      </c>
      <c r="E1106" s="1">
        <v>25267672</v>
      </c>
      <c r="F1106" s="1">
        <v>816146</v>
      </c>
      <c r="G1106" s="4">
        <f t="shared" si="52"/>
        <v>788770.51093539665</v>
      </c>
      <c r="H1106" s="4">
        <f t="shared" si="53"/>
        <v>155145.27416040757</v>
      </c>
      <c r="I1106" s="17">
        <f t="shared" si="51"/>
        <v>0.8033074614105159</v>
      </c>
      <c r="J1106">
        <v>47.84</v>
      </c>
    </row>
    <row r="1107" spans="1:10" x14ac:dyDescent="0.25">
      <c r="A1107" t="s">
        <v>70</v>
      </c>
      <c r="B1107" t="s">
        <v>98</v>
      </c>
      <c r="C1107" t="s">
        <v>9</v>
      </c>
      <c r="D1107">
        <v>3.17</v>
      </c>
      <c r="E1107" s="1">
        <v>26170980</v>
      </c>
      <c r="F1107" s="1">
        <v>829620</v>
      </c>
      <c r="G1107" s="4">
        <f t="shared" si="52"/>
        <v>807933.3532806189</v>
      </c>
      <c r="H1107" s="4">
        <f t="shared" si="53"/>
        <v>138610.421865318</v>
      </c>
      <c r="I1107" s="17">
        <f t="shared" si="51"/>
        <v>0.82843829716586226</v>
      </c>
      <c r="J1107">
        <v>49.44</v>
      </c>
    </row>
    <row r="1108" spans="1:10" x14ac:dyDescent="0.25">
      <c r="A1108" t="s">
        <v>71</v>
      </c>
      <c r="B1108" t="s">
        <v>98</v>
      </c>
      <c r="C1108" t="s">
        <v>9</v>
      </c>
      <c r="D1108">
        <v>2.78</v>
      </c>
      <c r="E1108" s="1">
        <v>27136050</v>
      </c>
      <c r="F1108" s="1">
        <v>754382</v>
      </c>
      <c r="G1108" s="4">
        <f t="shared" si="52"/>
        <v>823114.00598418573</v>
      </c>
      <c r="H1108" s="4">
        <f t="shared" si="53"/>
        <v>79404.804587179533</v>
      </c>
      <c r="I1108" s="17">
        <f t="shared" si="51"/>
        <v>0.90353121923586233</v>
      </c>
      <c r="J1108">
        <v>50.97</v>
      </c>
    </row>
    <row r="1109" spans="1:10" x14ac:dyDescent="0.25">
      <c r="A1109" t="s">
        <v>72</v>
      </c>
      <c r="B1109" t="s">
        <v>98</v>
      </c>
      <c r="C1109" t="s">
        <v>9</v>
      </c>
      <c r="D1109">
        <v>5.53</v>
      </c>
      <c r="E1109" s="1">
        <v>23334618</v>
      </c>
      <c r="F1109" s="1">
        <v>1290404</v>
      </c>
      <c r="G1109" s="4">
        <f t="shared" si="52"/>
        <v>775001.60179525567</v>
      </c>
      <c r="H1109" s="4">
        <f t="shared" si="53"/>
        <v>44511.484263680395</v>
      </c>
      <c r="I1109" s="17">
        <f t="shared" si="51"/>
        <v>0.94256594546311701</v>
      </c>
      <c r="J1109">
        <v>45.02</v>
      </c>
    </row>
    <row r="1110" spans="1:10" x14ac:dyDescent="0.25">
      <c r="A1110" t="s">
        <v>73</v>
      </c>
      <c r="B1110" t="s">
        <v>98</v>
      </c>
      <c r="C1110" t="s">
        <v>9</v>
      </c>
      <c r="D1110">
        <v>4.43</v>
      </c>
      <c r="E1110" s="1">
        <v>24326967</v>
      </c>
      <c r="F1110" s="1">
        <v>1077685</v>
      </c>
      <c r="G1110" s="4">
        <f t="shared" si="52"/>
        <v>1135783.2805385767</v>
      </c>
      <c r="H1110" s="4">
        <f t="shared" si="53"/>
        <v>300462.9934882404</v>
      </c>
      <c r="I1110" s="17">
        <f t="shared" si="51"/>
        <v>0.73545746038296678</v>
      </c>
      <c r="J1110">
        <v>46.31</v>
      </c>
    </row>
    <row r="1111" spans="1:10" x14ac:dyDescent="0.25">
      <c r="A1111" t="s">
        <v>74</v>
      </c>
      <c r="B1111" t="s">
        <v>98</v>
      </c>
      <c r="C1111" t="s">
        <v>9</v>
      </c>
      <c r="D1111">
        <v>3.22</v>
      </c>
      <c r="E1111" s="1">
        <v>25826420</v>
      </c>
      <c r="F1111" s="1">
        <v>831611</v>
      </c>
      <c r="G1111" s="4">
        <f t="shared" si="52"/>
        <v>1095114.484161573</v>
      </c>
      <c r="H1111" s="4">
        <f t="shared" si="53"/>
        <v>302070.1524057787</v>
      </c>
      <c r="I1111" s="17">
        <f t="shared" si="51"/>
        <v>0.72416568607706289</v>
      </c>
      <c r="J1111">
        <v>48.46</v>
      </c>
    </row>
    <row r="1112" spans="1:10" x14ac:dyDescent="0.25">
      <c r="A1112" t="s">
        <v>75</v>
      </c>
      <c r="B1112" t="s">
        <v>98</v>
      </c>
      <c r="C1112" t="s">
        <v>9</v>
      </c>
      <c r="D1112">
        <v>3.19</v>
      </c>
      <c r="E1112" s="1">
        <v>26809344</v>
      </c>
      <c r="F1112" s="1">
        <v>855218</v>
      </c>
      <c r="G1112" s="4">
        <f t="shared" si="52"/>
        <v>910662.0452484719</v>
      </c>
      <c r="H1112" s="4">
        <f t="shared" si="53"/>
        <v>335881.49122472218</v>
      </c>
      <c r="I1112" s="17">
        <f t="shared" si="51"/>
        <v>0.63116779382951249</v>
      </c>
      <c r="J1112">
        <v>50.2</v>
      </c>
    </row>
    <row r="1113" spans="1:10" x14ac:dyDescent="0.25">
      <c r="A1113" t="s">
        <v>76</v>
      </c>
      <c r="B1113" t="s">
        <v>98</v>
      </c>
      <c r="C1113" t="s">
        <v>9</v>
      </c>
      <c r="D1113">
        <v>3.38</v>
      </c>
      <c r="E1113" s="1">
        <v>27973080</v>
      </c>
      <c r="F1113" s="1">
        <v>945490</v>
      </c>
      <c r="G1113" s="4">
        <f t="shared" si="52"/>
        <v>871851.2135745415</v>
      </c>
      <c r="H1113" s="4">
        <f t="shared" si="53"/>
        <v>159042.48753120669</v>
      </c>
      <c r="I1113" s="17">
        <f t="shared" si="51"/>
        <v>0.81758070063452537</v>
      </c>
      <c r="J1113">
        <v>52.39</v>
      </c>
    </row>
    <row r="1114" spans="1:10" x14ac:dyDescent="0.25">
      <c r="A1114" t="s">
        <v>77</v>
      </c>
      <c r="B1114" t="s">
        <v>98</v>
      </c>
      <c r="C1114" t="s">
        <v>9</v>
      </c>
      <c r="D1114">
        <v>3.45</v>
      </c>
      <c r="E1114" s="1">
        <v>27331532</v>
      </c>
      <c r="F1114" s="1">
        <v>942938</v>
      </c>
      <c r="G1114" s="4">
        <f t="shared" si="52"/>
        <v>923398.36407236243</v>
      </c>
      <c r="H1114" s="4">
        <f t="shared" si="53"/>
        <v>161173.61155497018</v>
      </c>
      <c r="I1114" s="17">
        <f t="shared" si="51"/>
        <v>0.82545603520005828</v>
      </c>
      <c r="J1114">
        <v>51.13</v>
      </c>
    </row>
    <row r="1115" spans="1:10" x14ac:dyDescent="0.25">
      <c r="A1115" t="s">
        <v>78</v>
      </c>
      <c r="B1115" t="s">
        <v>98</v>
      </c>
      <c r="C1115" t="s">
        <v>9</v>
      </c>
      <c r="D1115">
        <v>3.46</v>
      </c>
      <c r="E1115" s="1">
        <v>26386667</v>
      </c>
      <c r="F1115" s="1">
        <v>912979</v>
      </c>
      <c r="G1115" s="4">
        <f t="shared" si="52"/>
        <v>937076.10922170873</v>
      </c>
      <c r="H1115" s="4">
        <f t="shared" si="53"/>
        <v>54401.318586695779</v>
      </c>
      <c r="I1115" s="17">
        <f t="shared" si="51"/>
        <v>0.94194567756947833</v>
      </c>
      <c r="J1115">
        <v>49.28</v>
      </c>
    </row>
    <row r="1116" spans="1:10" x14ac:dyDescent="0.25">
      <c r="A1116" t="s">
        <v>79</v>
      </c>
      <c r="B1116" t="s">
        <v>98</v>
      </c>
      <c r="C1116" t="s">
        <v>9</v>
      </c>
      <c r="D1116">
        <v>3.62</v>
      </c>
      <c r="E1116" s="1">
        <v>29158698</v>
      </c>
      <c r="F1116" s="1">
        <v>1055545</v>
      </c>
      <c r="G1116" s="4">
        <f t="shared" si="52"/>
        <v>920208.13276651246</v>
      </c>
      <c r="H1116" s="4">
        <f t="shared" si="53"/>
        <v>46134.365033894472</v>
      </c>
      <c r="I1116" s="17">
        <f t="shared" si="51"/>
        <v>0.9498652930884276</v>
      </c>
      <c r="J1116">
        <v>54.46</v>
      </c>
    </row>
    <row r="1117" spans="1:10" x14ac:dyDescent="0.25">
      <c r="A1117" t="s">
        <v>80</v>
      </c>
      <c r="B1117" t="s">
        <v>98</v>
      </c>
      <c r="C1117" t="s">
        <v>9</v>
      </c>
      <c r="D1117">
        <v>2.17</v>
      </c>
      <c r="E1117" s="1">
        <v>30465112</v>
      </c>
      <c r="F1117" s="1">
        <v>661093</v>
      </c>
      <c r="G1117" s="4">
        <f t="shared" si="52"/>
        <v>1014943.9398299537</v>
      </c>
      <c r="H1117" s="4">
        <f t="shared" si="53"/>
        <v>80163.449022610919</v>
      </c>
      <c r="I1117" s="17">
        <f t="shared" si="51"/>
        <v>0.92101687011792821</v>
      </c>
      <c r="J1117">
        <v>55.95</v>
      </c>
    </row>
    <row r="1118" spans="1:10" x14ac:dyDescent="0.25">
      <c r="A1118" t="s">
        <v>81</v>
      </c>
      <c r="B1118" t="s">
        <v>98</v>
      </c>
      <c r="C1118" t="s">
        <v>9</v>
      </c>
      <c r="D1118">
        <v>3.06</v>
      </c>
      <c r="E1118" s="1">
        <v>27519532</v>
      </c>
      <c r="F1118" s="1">
        <v>842098</v>
      </c>
      <c r="G1118" s="4">
        <f t="shared" si="52"/>
        <v>767248.281948986</v>
      </c>
      <c r="H1118" s="4">
        <f t="shared" si="53"/>
        <v>219170.5773470815</v>
      </c>
      <c r="I1118" s="17">
        <f t="shared" si="51"/>
        <v>0.71434204220003183</v>
      </c>
      <c r="J1118">
        <v>50.91</v>
      </c>
    </row>
    <row r="1119" spans="1:10" x14ac:dyDescent="0.25">
      <c r="A1119" t="s">
        <v>82</v>
      </c>
      <c r="B1119" t="s">
        <v>98</v>
      </c>
      <c r="C1119" t="s">
        <v>9</v>
      </c>
      <c r="D1119">
        <v>3.16</v>
      </c>
      <c r="E1119" s="1">
        <v>27059261</v>
      </c>
      <c r="F1119" s="1">
        <v>855073</v>
      </c>
      <c r="G1119" s="4">
        <f t="shared" si="52"/>
        <v>819643.08458469575</v>
      </c>
      <c r="H1119" s="4">
        <f t="shared" si="53"/>
        <v>222956.67407475712</v>
      </c>
      <c r="I1119" s="17">
        <f t="shared" si="51"/>
        <v>0.72798321822268908</v>
      </c>
      <c r="J1119">
        <v>50.03</v>
      </c>
    </row>
    <row r="1120" spans="1:10" x14ac:dyDescent="0.25">
      <c r="A1120" t="s">
        <v>83</v>
      </c>
      <c r="B1120" t="s">
        <v>98</v>
      </c>
      <c r="C1120" t="s">
        <v>9</v>
      </c>
      <c r="D1120">
        <v>2.59</v>
      </c>
      <c r="E1120" s="1">
        <v>28220486</v>
      </c>
      <c r="F1120" s="1">
        <v>730911</v>
      </c>
      <c r="G1120" s="4">
        <f t="shared" si="52"/>
        <v>844444.0253754087</v>
      </c>
      <c r="H1120" s="4">
        <f t="shared" si="53"/>
        <v>209815.98828274378</v>
      </c>
      <c r="I1120" s="17">
        <f t="shared" si="51"/>
        <v>0.75153357478079463</v>
      </c>
      <c r="J1120">
        <v>51.78</v>
      </c>
    </row>
    <row r="1121" spans="1:10" x14ac:dyDescent="0.25">
      <c r="A1121" t="s">
        <v>84</v>
      </c>
      <c r="B1121" t="s">
        <v>98</v>
      </c>
      <c r="C1121" t="s">
        <v>9</v>
      </c>
      <c r="D1121">
        <v>1.77</v>
      </c>
      <c r="E1121" s="1">
        <v>29711668</v>
      </c>
      <c r="F1121" s="1">
        <v>525897</v>
      </c>
      <c r="G1121" s="4">
        <f t="shared" si="52"/>
        <v>764970.90761262248</v>
      </c>
      <c r="H1121" s="4">
        <f t="shared" si="53"/>
        <v>81132.621983073899</v>
      </c>
      <c r="I1121" s="17">
        <f t="shared" si="51"/>
        <v>0.89394025161521695</v>
      </c>
      <c r="J1121">
        <v>53.96</v>
      </c>
    </row>
    <row r="1122" spans="1:10" x14ac:dyDescent="0.25">
      <c r="A1122" t="s">
        <v>33</v>
      </c>
      <c r="B1122" t="s">
        <v>99</v>
      </c>
      <c r="C1122" t="s">
        <v>9</v>
      </c>
      <c r="D1122">
        <v>8.5399999999999991</v>
      </c>
      <c r="E1122" s="1">
        <v>924560</v>
      </c>
      <c r="F1122" s="1">
        <v>78957</v>
      </c>
      <c r="G1122" s="4">
        <f t="shared" si="52"/>
        <v>597619.1722837867</v>
      </c>
      <c r="H1122" s="4">
        <f t="shared" si="53"/>
        <v>154165.88474583425</v>
      </c>
      <c r="I1122" s="17">
        <f t="shared" si="51"/>
        <v>0.74203323471585891</v>
      </c>
      <c r="J1122">
        <v>60.17</v>
      </c>
    </row>
    <row r="1123" spans="1:10" x14ac:dyDescent="0.25">
      <c r="A1123" t="s">
        <v>34</v>
      </c>
      <c r="B1123" t="s">
        <v>99</v>
      </c>
      <c r="C1123" t="s">
        <v>9</v>
      </c>
      <c r="D1123">
        <v>7.06</v>
      </c>
      <c r="E1123" s="1">
        <v>931330</v>
      </c>
      <c r="F1123" s="1">
        <v>65752</v>
      </c>
      <c r="G1123" s="4">
        <f t="shared" si="52"/>
        <v>234555.65168513599</v>
      </c>
      <c r="H1123" s="4">
        <f t="shared" si="53"/>
        <v>336182.75293367758</v>
      </c>
      <c r="I1123" s="17">
        <f t="shared" si="51"/>
        <v>-0.43327500539174513</v>
      </c>
      <c r="J1123">
        <v>59.51</v>
      </c>
    </row>
    <row r="1124" spans="1:10" x14ac:dyDescent="0.25">
      <c r="A1124" t="s">
        <v>35</v>
      </c>
      <c r="B1124" t="s">
        <v>99</v>
      </c>
      <c r="C1124" t="s">
        <v>9</v>
      </c>
      <c r="D1124">
        <v>5.56</v>
      </c>
      <c r="E1124" s="1">
        <v>819920</v>
      </c>
      <c r="F1124" s="1">
        <v>45588</v>
      </c>
      <c r="G1124" s="4">
        <f t="shared" si="52"/>
        <v>116393.09550554078</v>
      </c>
      <c r="H1124" s="4">
        <f t="shared" si="53"/>
        <v>343832.05933592148</v>
      </c>
      <c r="I1124" s="17">
        <f t="shared" si="51"/>
        <v>-1.9540588970722381</v>
      </c>
      <c r="J1124">
        <v>51.43</v>
      </c>
    </row>
    <row r="1125" spans="1:10" x14ac:dyDescent="0.25">
      <c r="A1125" t="s">
        <v>36</v>
      </c>
      <c r="B1125" t="s">
        <v>99</v>
      </c>
      <c r="C1125" t="s">
        <v>9</v>
      </c>
      <c r="D1125">
        <v>2.1800000000000002</v>
      </c>
      <c r="E1125" s="1">
        <v>962046</v>
      </c>
      <c r="F1125" s="1">
        <v>20973</v>
      </c>
      <c r="G1125" s="4">
        <f t="shared" si="52"/>
        <v>66829.528651662229</v>
      </c>
      <c r="H1125" s="4">
        <f t="shared" si="53"/>
        <v>317552.34913838585</v>
      </c>
      <c r="I1125" s="17">
        <f t="shared" si="51"/>
        <v>-3.7516772233061002</v>
      </c>
      <c r="J1125">
        <v>58.12</v>
      </c>
    </row>
    <row r="1126" spans="1:10" x14ac:dyDescent="0.25">
      <c r="A1126" t="s">
        <v>37</v>
      </c>
      <c r="B1126" t="s">
        <v>99</v>
      </c>
      <c r="C1126" t="s">
        <v>9</v>
      </c>
      <c r="D1126">
        <v>8.31</v>
      </c>
      <c r="E1126" s="1">
        <v>934494</v>
      </c>
      <c r="F1126" s="1">
        <v>77656</v>
      </c>
      <c r="G1126" s="4">
        <f t="shared" si="52"/>
        <v>34729.958595498669</v>
      </c>
      <c r="H1126" s="4">
        <f t="shared" si="53"/>
        <v>108950.83844218636</v>
      </c>
      <c r="I1126" s="17">
        <f t="shared" si="51"/>
        <v>-2.1370851808705416</v>
      </c>
      <c r="J1126">
        <v>60.08</v>
      </c>
    </row>
    <row r="1127" spans="1:10" x14ac:dyDescent="0.25">
      <c r="A1127" t="s">
        <v>38</v>
      </c>
      <c r="B1127" t="s">
        <v>99</v>
      </c>
      <c r="C1127" t="s">
        <v>9</v>
      </c>
      <c r="D1127">
        <v>6.09</v>
      </c>
      <c r="E1127" s="1">
        <v>892934</v>
      </c>
      <c r="F1127" s="1">
        <v>54380</v>
      </c>
      <c r="G1127" s="4">
        <f t="shared" si="52"/>
        <v>64778.187578649595</v>
      </c>
      <c r="H1127" s="4">
        <f t="shared" si="53"/>
        <v>54646.829124815747</v>
      </c>
      <c r="I1127" s="17">
        <f t="shared" si="51"/>
        <v>0.15640077057625285</v>
      </c>
      <c r="J1127">
        <v>55.91</v>
      </c>
    </row>
    <row r="1128" spans="1:10" x14ac:dyDescent="0.25">
      <c r="A1128" t="s">
        <v>39</v>
      </c>
      <c r="B1128" t="s">
        <v>99</v>
      </c>
      <c r="C1128" t="s">
        <v>9</v>
      </c>
      <c r="D1128">
        <v>2.96</v>
      </c>
      <c r="E1128" s="1">
        <v>919697</v>
      </c>
      <c r="F1128" s="1">
        <v>27223</v>
      </c>
      <c r="G1128" s="4">
        <f t="shared" si="52"/>
        <v>57499.456273594878</v>
      </c>
      <c r="H1128" s="4">
        <f t="shared" si="53"/>
        <v>36758.620556102047</v>
      </c>
      <c r="I1128" s="17">
        <f t="shared" si="51"/>
        <v>0.36071359733913722</v>
      </c>
      <c r="J1128">
        <v>55.59</v>
      </c>
    </row>
    <row r="1129" spans="1:10" x14ac:dyDescent="0.25">
      <c r="A1129" t="s">
        <v>40</v>
      </c>
      <c r="B1129" t="s">
        <v>99</v>
      </c>
      <c r="C1129" t="s">
        <v>9</v>
      </c>
      <c r="D1129">
        <v>3.62</v>
      </c>
      <c r="E1129" s="1">
        <v>1019319</v>
      </c>
      <c r="F1129" s="1">
        <v>36899</v>
      </c>
      <c r="G1129" s="4">
        <f t="shared" si="52"/>
        <v>36305.936882078458</v>
      </c>
      <c r="H1129" s="4">
        <f t="shared" si="53"/>
        <v>30916.18314124308</v>
      </c>
      <c r="I1129" s="17">
        <f t="shared" si="51"/>
        <v>0.14845378479947446</v>
      </c>
      <c r="J1129">
        <v>61.88</v>
      </c>
    </row>
    <row r="1130" spans="1:10" x14ac:dyDescent="0.25">
      <c r="A1130" t="s">
        <v>41</v>
      </c>
      <c r="B1130" t="s">
        <v>99</v>
      </c>
      <c r="C1130" t="s">
        <v>9</v>
      </c>
      <c r="D1130">
        <v>3.33</v>
      </c>
      <c r="E1130" s="1">
        <v>1042980</v>
      </c>
      <c r="F1130" s="1">
        <v>34731</v>
      </c>
      <c r="G1130" s="4">
        <f t="shared" si="52"/>
        <v>36721.081064623533</v>
      </c>
      <c r="H1130" s="4">
        <f t="shared" si="53"/>
        <v>18485.470269642625</v>
      </c>
      <c r="I1130" s="17">
        <f t="shared" si="51"/>
        <v>0.4965978741989921</v>
      </c>
      <c r="J1130">
        <v>62.98</v>
      </c>
    </row>
    <row r="1131" spans="1:10" x14ac:dyDescent="0.25">
      <c r="A1131" t="s">
        <v>42</v>
      </c>
      <c r="B1131" t="s">
        <v>99</v>
      </c>
      <c r="C1131" t="s">
        <v>9</v>
      </c>
      <c r="D1131">
        <v>4.22</v>
      </c>
      <c r="E1131" s="1">
        <v>981834</v>
      </c>
      <c r="F1131" s="1">
        <v>41433</v>
      </c>
      <c r="G1131" s="4">
        <f t="shared" si="52"/>
        <v>35328.024319387056</v>
      </c>
      <c r="H1131" s="4">
        <f t="shared" si="53"/>
        <v>17521.186708216184</v>
      </c>
      <c r="I1131" s="17">
        <f t="shared" si="51"/>
        <v>0.50404283721575016</v>
      </c>
      <c r="J1131">
        <v>59.69</v>
      </c>
    </row>
    <row r="1132" spans="1:10" x14ac:dyDescent="0.25">
      <c r="A1132" t="s">
        <v>43</v>
      </c>
      <c r="B1132" t="s">
        <v>99</v>
      </c>
      <c r="C1132" t="s">
        <v>9</v>
      </c>
      <c r="D1132">
        <v>2.63</v>
      </c>
      <c r="E1132" s="1">
        <v>1042413</v>
      </c>
      <c r="F1132" s="1">
        <v>27415</v>
      </c>
      <c r="G1132" s="4">
        <f t="shared" si="52"/>
        <v>39601.507295816118</v>
      </c>
      <c r="H1132" s="4">
        <f t="shared" si="53"/>
        <v>3723.0307800002333</v>
      </c>
      <c r="I1132" s="17">
        <f t="shared" si="51"/>
        <v>0.90598764960662059</v>
      </c>
      <c r="J1132">
        <v>62.18</v>
      </c>
    </row>
    <row r="1133" spans="1:10" x14ac:dyDescent="0.25">
      <c r="A1133" t="s">
        <v>44</v>
      </c>
      <c r="B1133" t="s">
        <v>99</v>
      </c>
      <c r="C1133" t="s">
        <v>9</v>
      </c>
      <c r="D1133">
        <v>2.4700000000000002</v>
      </c>
      <c r="E1133" s="1">
        <v>1058629</v>
      </c>
      <c r="F1133" s="1">
        <v>26148</v>
      </c>
      <c r="G1133" s="4">
        <f t="shared" si="52"/>
        <v>31070.952188744835</v>
      </c>
      <c r="H1133" s="4">
        <f t="shared" si="53"/>
        <v>7952.8215281460134</v>
      </c>
      <c r="I1133" s="17">
        <f t="shared" si="51"/>
        <v>0.74404319893914128</v>
      </c>
      <c r="J1133">
        <v>62.89</v>
      </c>
    </row>
    <row r="1134" spans="1:10" x14ac:dyDescent="0.25">
      <c r="A1134" t="s">
        <v>45</v>
      </c>
      <c r="B1134" t="s">
        <v>99</v>
      </c>
      <c r="C1134" t="s">
        <v>9</v>
      </c>
      <c r="D1134">
        <v>1.68</v>
      </c>
      <c r="E1134" s="1">
        <v>1123774</v>
      </c>
      <c r="F1134" s="1">
        <v>18879</v>
      </c>
      <c r="G1134" s="4">
        <f t="shared" si="52"/>
        <v>27624.885656623446</v>
      </c>
      <c r="H1134" s="4">
        <f t="shared" si="53"/>
        <v>8366.9418225243753</v>
      </c>
      <c r="I1134" s="17">
        <f t="shared" si="51"/>
        <v>0.69712302427147654</v>
      </c>
      <c r="J1134">
        <v>66.05</v>
      </c>
    </row>
    <row r="1135" spans="1:10" x14ac:dyDescent="0.25">
      <c r="A1135" t="s">
        <v>46</v>
      </c>
      <c r="B1135" t="s">
        <v>99</v>
      </c>
      <c r="C1135" t="s">
        <v>9</v>
      </c>
      <c r="D1135">
        <v>6.25</v>
      </c>
      <c r="E1135" s="1">
        <v>1005006</v>
      </c>
      <c r="F1135" s="1">
        <v>62813</v>
      </c>
      <c r="G1135" s="4">
        <f t="shared" si="52"/>
        <v>21502.765696987033</v>
      </c>
      <c r="H1135" s="4">
        <f t="shared" si="53"/>
        <v>9114.7670338189619</v>
      </c>
      <c r="I1135" s="17">
        <f t="shared" si="51"/>
        <v>0.57611187499028915</v>
      </c>
      <c r="J1135">
        <v>61.81</v>
      </c>
    </row>
    <row r="1136" spans="1:10" x14ac:dyDescent="0.25">
      <c r="A1136" t="s">
        <v>47</v>
      </c>
      <c r="B1136" t="s">
        <v>99</v>
      </c>
      <c r="C1136" t="s">
        <v>9</v>
      </c>
      <c r="D1136">
        <v>0.52</v>
      </c>
      <c r="E1136" s="1">
        <v>1157078</v>
      </c>
      <c r="F1136" s="1">
        <v>6017</v>
      </c>
      <c r="G1136" s="4">
        <f t="shared" si="52"/>
        <v>50419.929709096104</v>
      </c>
      <c r="H1136" s="4">
        <f t="shared" si="53"/>
        <v>24544.255487732284</v>
      </c>
      <c r="I1136" s="17">
        <f t="shared" si="51"/>
        <v>0.51320329819293009</v>
      </c>
      <c r="J1136">
        <v>66.900000000000006</v>
      </c>
    </row>
    <row r="1137" spans="1:10" x14ac:dyDescent="0.25">
      <c r="A1137" t="s">
        <v>48</v>
      </c>
      <c r="B1137" t="s">
        <v>99</v>
      </c>
      <c r="C1137" t="s">
        <v>9</v>
      </c>
      <c r="D1137">
        <v>1.61</v>
      </c>
      <c r="E1137" s="1">
        <v>1018984</v>
      </c>
      <c r="F1137" s="1">
        <v>16406</v>
      </c>
      <c r="G1137" s="4">
        <f t="shared" si="52"/>
        <v>19337.878912728833</v>
      </c>
      <c r="H1137" s="4">
        <f t="shared" si="53"/>
        <v>35377.234397464759</v>
      </c>
      <c r="I1137" s="17">
        <f t="shared" si="51"/>
        <v>-0.82942682375460997</v>
      </c>
      <c r="J1137">
        <v>59.42</v>
      </c>
    </row>
    <row r="1138" spans="1:10" x14ac:dyDescent="0.25">
      <c r="A1138" t="s">
        <v>49</v>
      </c>
      <c r="B1138" t="s">
        <v>99</v>
      </c>
      <c r="C1138" t="s">
        <v>9</v>
      </c>
      <c r="D1138">
        <v>3.16</v>
      </c>
      <c r="E1138" s="1">
        <v>1119011</v>
      </c>
      <c r="F1138" s="1">
        <v>35361</v>
      </c>
      <c r="G1138" s="4">
        <f t="shared" si="52"/>
        <v>17285.563673818648</v>
      </c>
      <c r="H1138" s="4">
        <f t="shared" si="53"/>
        <v>35055.915044776026</v>
      </c>
      <c r="I1138" s="17">
        <f t="shared" si="51"/>
        <v>-1.028045813621514</v>
      </c>
      <c r="J1138">
        <v>66.13</v>
      </c>
    </row>
    <row r="1139" spans="1:10" x14ac:dyDescent="0.25">
      <c r="A1139" t="s">
        <v>50</v>
      </c>
      <c r="B1139" t="s">
        <v>99</v>
      </c>
      <c r="C1139" t="s">
        <v>9</v>
      </c>
      <c r="D1139">
        <v>4.2300000000000004</v>
      </c>
      <c r="E1139" s="1">
        <v>1024797</v>
      </c>
      <c r="F1139" s="1">
        <v>43349</v>
      </c>
      <c r="G1139" s="4">
        <f t="shared" si="52"/>
        <v>29938.369102145592</v>
      </c>
      <c r="H1139" s="4">
        <f t="shared" si="53"/>
        <v>27730.473484908678</v>
      </c>
      <c r="I1139" s="17">
        <f t="shared" si="51"/>
        <v>7.3748025809417958E-2</v>
      </c>
      <c r="J1139">
        <v>61.09</v>
      </c>
    </row>
    <row r="1140" spans="1:10" x14ac:dyDescent="0.25">
      <c r="A1140" t="s">
        <v>51</v>
      </c>
      <c r="B1140" t="s">
        <v>99</v>
      </c>
      <c r="C1140" t="s">
        <v>9</v>
      </c>
      <c r="D1140">
        <v>1.03</v>
      </c>
      <c r="E1140" s="1">
        <v>1158510</v>
      </c>
      <c r="F1140" s="1">
        <v>11933</v>
      </c>
      <c r="G1140" s="4">
        <f t="shared" si="52"/>
        <v>39325.810730643672</v>
      </c>
      <c r="H1140" s="4">
        <f t="shared" si="53"/>
        <v>13104.227478428831</v>
      </c>
      <c r="I1140" s="17">
        <f t="shared" si="51"/>
        <v>0.66677794468919405</v>
      </c>
      <c r="J1140">
        <v>66.67</v>
      </c>
    </row>
    <row r="1141" spans="1:10" x14ac:dyDescent="0.25">
      <c r="A1141" t="s">
        <v>52</v>
      </c>
      <c r="B1141" t="s">
        <v>99</v>
      </c>
      <c r="C1141" t="s">
        <v>9</v>
      </c>
      <c r="D1141">
        <v>0.52</v>
      </c>
      <c r="E1141" s="1">
        <v>1065725</v>
      </c>
      <c r="F1141" s="1">
        <v>5542</v>
      </c>
      <c r="G1141" s="4">
        <f t="shared" si="52"/>
        <v>20150.843219193102</v>
      </c>
      <c r="H1141" s="4">
        <f t="shared" si="53"/>
        <v>20468.939877980905</v>
      </c>
      <c r="I1141" s="17">
        <f t="shared" si="51"/>
        <v>-1.5785774090328136E-2</v>
      </c>
      <c r="J1141">
        <v>60.86</v>
      </c>
    </row>
    <row r="1142" spans="1:10" x14ac:dyDescent="0.25">
      <c r="A1142" t="s">
        <v>53</v>
      </c>
      <c r="B1142" t="s">
        <v>99</v>
      </c>
      <c r="C1142" t="s">
        <v>9</v>
      </c>
      <c r="D1142">
        <v>0.24</v>
      </c>
      <c r="E1142" s="1">
        <v>1162159</v>
      </c>
      <c r="F1142" s="1">
        <v>2789</v>
      </c>
      <c r="G1142" s="4">
        <f t="shared" si="52"/>
        <v>9924.6529657579304</v>
      </c>
      <c r="H1142" s="4">
        <f t="shared" si="53"/>
        <v>19524.594754704627</v>
      </c>
      <c r="I1142" s="17">
        <f t="shared" si="51"/>
        <v>-0.96728236463969541</v>
      </c>
      <c r="J1142">
        <v>66.02</v>
      </c>
    </row>
    <row r="1143" spans="1:10" x14ac:dyDescent="0.25">
      <c r="A1143" t="s">
        <v>54</v>
      </c>
      <c r="B1143" t="s">
        <v>99</v>
      </c>
      <c r="C1143" t="s">
        <v>9</v>
      </c>
      <c r="D1143">
        <v>3.7</v>
      </c>
      <c r="E1143" s="1">
        <v>1080609</v>
      </c>
      <c r="F1143" s="1">
        <v>39983</v>
      </c>
      <c r="G1143" s="4">
        <f t="shared" si="52"/>
        <v>4929.6958897273789</v>
      </c>
      <c r="H1143" s="4">
        <f t="shared" si="53"/>
        <v>18391.138474598403</v>
      </c>
      <c r="I1143" s="17">
        <f t="shared" si="51"/>
        <v>-2.7306841813350613</v>
      </c>
      <c r="J1143">
        <v>63.44</v>
      </c>
    </row>
    <row r="1144" spans="1:10" x14ac:dyDescent="0.25">
      <c r="A1144" t="s">
        <v>55</v>
      </c>
      <c r="B1144" t="s">
        <v>99</v>
      </c>
      <c r="C1144" t="s">
        <v>9</v>
      </c>
      <c r="D1144">
        <v>1.5</v>
      </c>
      <c r="E1144" s="1">
        <v>1205703</v>
      </c>
      <c r="F1144" s="1">
        <v>18086</v>
      </c>
      <c r="G1144" s="4">
        <f t="shared" si="52"/>
        <v>29467.00876691821</v>
      </c>
      <c r="H1144" s="4">
        <f t="shared" si="53"/>
        <v>22308.96660163016</v>
      </c>
      <c r="I1144" s="17">
        <f t="shared" si="51"/>
        <v>0.2429171627805054</v>
      </c>
      <c r="J1144">
        <v>69.03</v>
      </c>
    </row>
    <row r="1145" spans="1:10" x14ac:dyDescent="0.25">
      <c r="A1145" t="s">
        <v>56</v>
      </c>
      <c r="B1145" t="s">
        <v>99</v>
      </c>
      <c r="C1145" t="s">
        <v>9</v>
      </c>
      <c r="D1145">
        <v>1.8</v>
      </c>
      <c r="E1145" s="1">
        <v>1102998</v>
      </c>
      <c r="F1145" s="1">
        <v>19854</v>
      </c>
      <c r="G1145" s="4">
        <f t="shared" si="52"/>
        <v>21500.302630075461</v>
      </c>
      <c r="H1145" s="4">
        <f t="shared" si="53"/>
        <v>21673.171071224246</v>
      </c>
      <c r="I1145" s="17">
        <f t="shared" si="51"/>
        <v>-8.040279438065661E-3</v>
      </c>
      <c r="J1145">
        <v>63.18</v>
      </c>
    </row>
    <row r="1146" spans="1:10" x14ac:dyDescent="0.25">
      <c r="A1146" t="s">
        <v>57</v>
      </c>
      <c r="B1146" t="s">
        <v>99</v>
      </c>
      <c r="C1146" t="s">
        <v>9</v>
      </c>
      <c r="D1146">
        <v>0.97</v>
      </c>
      <c r="E1146" s="1">
        <v>1229406</v>
      </c>
      <c r="F1146" s="1">
        <v>11925</v>
      </c>
      <c r="G1146" s="4">
        <f t="shared" si="52"/>
        <v>20347.890789022636</v>
      </c>
      <c r="H1146" s="4">
        <f t="shared" si="53"/>
        <v>21299.231613290012</v>
      </c>
      <c r="I1146" s="17">
        <f t="shared" si="51"/>
        <v>-4.6753780729971731E-2</v>
      </c>
      <c r="J1146">
        <v>69.66</v>
      </c>
    </row>
    <row r="1147" spans="1:10" x14ac:dyDescent="0.25">
      <c r="A1147" t="s">
        <v>58</v>
      </c>
      <c r="B1147" t="s">
        <v>99</v>
      </c>
      <c r="C1147" t="s">
        <v>9</v>
      </c>
      <c r="D1147">
        <v>2.76</v>
      </c>
      <c r="E1147" s="1">
        <v>1112864</v>
      </c>
      <c r="F1147" s="1">
        <v>30715</v>
      </c>
      <c r="G1147" s="4">
        <f t="shared" si="52"/>
        <v>14451.867236706792</v>
      </c>
      <c r="H1147" s="4">
        <f t="shared" si="53"/>
        <v>8229.6772343809644</v>
      </c>
      <c r="I1147" s="17">
        <f t="shared" si="51"/>
        <v>0.43054574889270186</v>
      </c>
      <c r="J1147">
        <v>64.06</v>
      </c>
    </row>
    <row r="1148" spans="1:10" x14ac:dyDescent="0.25">
      <c r="A1148" t="s">
        <v>59</v>
      </c>
      <c r="B1148" t="s">
        <v>99</v>
      </c>
      <c r="C1148" t="s">
        <v>9</v>
      </c>
      <c r="D1148">
        <v>1.28</v>
      </c>
      <c r="E1148" s="1">
        <v>1192616</v>
      </c>
      <c r="F1148" s="1">
        <v>15265</v>
      </c>
      <c r="G1148" s="4">
        <f t="shared" si="52"/>
        <v>25836.060171012039</v>
      </c>
      <c r="H1148" s="4">
        <f t="shared" si="53"/>
        <v>10616.730332672998</v>
      </c>
      <c r="I1148" s="17">
        <f t="shared" si="51"/>
        <v>0.58907316895844175</v>
      </c>
      <c r="J1148">
        <v>67.459999999999994</v>
      </c>
    </row>
    <row r="1149" spans="1:10" x14ac:dyDescent="0.25">
      <c r="A1149" t="s">
        <v>60</v>
      </c>
      <c r="B1149" t="s">
        <v>99</v>
      </c>
      <c r="C1149" t="s">
        <v>9</v>
      </c>
      <c r="D1149">
        <v>8.3800000000000008</v>
      </c>
      <c r="E1149" s="1">
        <v>803118</v>
      </c>
      <c r="F1149" s="1">
        <v>67301</v>
      </c>
      <c r="G1149" s="4">
        <f t="shared" si="52"/>
        <v>18436.318051303613</v>
      </c>
      <c r="H1149" s="4">
        <f t="shared" si="53"/>
        <v>12209.038860061295</v>
      </c>
      <c r="I1149" s="17">
        <f t="shared" si="51"/>
        <v>0.3377723889289268</v>
      </c>
      <c r="J1149">
        <v>48.83</v>
      </c>
    </row>
    <row r="1150" spans="1:10" x14ac:dyDescent="0.25">
      <c r="A1150" t="s">
        <v>61</v>
      </c>
      <c r="B1150" t="s">
        <v>99</v>
      </c>
      <c r="C1150" t="s">
        <v>9</v>
      </c>
      <c r="D1150">
        <v>3.73</v>
      </c>
      <c r="E1150" s="1">
        <v>992148</v>
      </c>
      <c r="F1150" s="1">
        <v>37007</v>
      </c>
      <c r="G1150" s="4">
        <f t="shared" si="52"/>
        <v>52641.595415391079</v>
      </c>
      <c r="H1150" s="4">
        <f t="shared" si="53"/>
        <v>30353.439905898158</v>
      </c>
      <c r="I1150" s="17">
        <f t="shared" si="51"/>
        <v>0.42339437727178808</v>
      </c>
      <c r="J1150">
        <v>57.26</v>
      </c>
    </row>
    <row r="1151" spans="1:10" x14ac:dyDescent="0.25">
      <c r="A1151" t="s">
        <v>62</v>
      </c>
      <c r="B1151" t="s">
        <v>99</v>
      </c>
      <c r="C1151" t="s">
        <v>9</v>
      </c>
      <c r="D1151">
        <v>1.35</v>
      </c>
      <c r="E1151" s="1">
        <v>1150200</v>
      </c>
      <c r="F1151" s="1">
        <v>15528</v>
      </c>
      <c r="G1151" s="4">
        <f t="shared" si="52"/>
        <v>41697.378624617319</v>
      </c>
      <c r="H1151" s="4">
        <f t="shared" si="53"/>
        <v>30243.153654391379</v>
      </c>
      <c r="I1151" s="17">
        <f t="shared" si="51"/>
        <v>0.27469892228341636</v>
      </c>
      <c r="J1151">
        <v>64.63</v>
      </c>
    </row>
    <row r="1152" spans="1:10" x14ac:dyDescent="0.25">
      <c r="A1152" t="s">
        <v>63</v>
      </c>
      <c r="B1152" t="s">
        <v>99</v>
      </c>
      <c r="C1152" t="s">
        <v>9</v>
      </c>
      <c r="D1152">
        <v>1.59</v>
      </c>
      <c r="E1152" s="1">
        <v>1186601</v>
      </c>
      <c r="F1152" s="1">
        <v>18867</v>
      </c>
      <c r="G1152" s="4">
        <f t="shared" si="52"/>
        <v>23378.813587385193</v>
      </c>
      <c r="H1152" s="4">
        <f t="shared" si="53"/>
        <v>33251.737264634263</v>
      </c>
      <c r="I1152" s="17">
        <f t="shared" si="51"/>
        <v>-0.42230216860004949</v>
      </c>
      <c r="J1152">
        <v>66.67</v>
      </c>
    </row>
    <row r="1153" spans="1:10" x14ac:dyDescent="0.25">
      <c r="A1153" t="s">
        <v>64</v>
      </c>
      <c r="B1153" t="s">
        <v>99</v>
      </c>
      <c r="C1153" t="s">
        <v>9</v>
      </c>
      <c r="D1153">
        <v>3.42</v>
      </c>
      <c r="E1153" s="1">
        <v>1106727</v>
      </c>
      <c r="F1153" s="1">
        <v>37850</v>
      </c>
      <c r="G1153" s="4">
        <f t="shared" si="52"/>
        <v>20220.544076215556</v>
      </c>
      <c r="H1153" s="4">
        <f t="shared" si="53"/>
        <v>17791.696689269211</v>
      </c>
      <c r="I1153" s="17">
        <f t="shared" si="51"/>
        <v>0.12011780582122319</v>
      </c>
      <c r="J1153">
        <v>63.2</v>
      </c>
    </row>
    <row r="1154" spans="1:10" x14ac:dyDescent="0.25">
      <c r="A1154" t="s">
        <v>65</v>
      </c>
      <c r="B1154" t="s">
        <v>99</v>
      </c>
      <c r="C1154" t="s">
        <v>9</v>
      </c>
      <c r="D1154">
        <v>3.36</v>
      </c>
      <c r="E1154" s="1">
        <v>1229521</v>
      </c>
      <c r="F1154" s="1">
        <v>41312</v>
      </c>
      <c r="G1154" s="4">
        <f t="shared" si="52"/>
        <v>32561.163222864667</v>
      </c>
      <c r="H1154" s="4">
        <f t="shared" si="53"/>
        <v>18402.812788760941</v>
      </c>
      <c r="I1154" s="17">
        <f t="shared" si="51"/>
        <v>0.43482323826077679</v>
      </c>
      <c r="J1154">
        <v>70</v>
      </c>
    </row>
    <row r="1155" spans="1:10" x14ac:dyDescent="0.25">
      <c r="A1155" t="s">
        <v>66</v>
      </c>
      <c r="B1155" t="s">
        <v>99</v>
      </c>
      <c r="C1155" t="s">
        <v>9</v>
      </c>
      <c r="D1155">
        <v>4.2</v>
      </c>
      <c r="E1155" s="1">
        <v>1161068</v>
      </c>
      <c r="F1155" s="1">
        <v>48765</v>
      </c>
      <c r="G1155" s="4">
        <f t="shared" si="52"/>
        <v>38686.748966859399</v>
      </c>
      <c r="H1155" s="4">
        <f t="shared" si="53"/>
        <v>11658.063337107589</v>
      </c>
      <c r="I1155" s="17">
        <f t="shared" ref="I1155:I1218" si="54">(G1155-H1155)/G1155</f>
        <v>0.69865487154026962</v>
      </c>
      <c r="J1155">
        <v>66.510000000000005</v>
      </c>
    </row>
    <row r="1156" spans="1:10" x14ac:dyDescent="0.25">
      <c r="A1156" t="s">
        <v>67</v>
      </c>
      <c r="B1156" t="s">
        <v>99</v>
      </c>
      <c r="C1156" t="s">
        <v>9</v>
      </c>
      <c r="D1156">
        <v>0</v>
      </c>
      <c r="E1156" s="1">
        <v>1173252</v>
      </c>
      <c r="F1156">
        <v>0</v>
      </c>
      <c r="G1156" s="4">
        <f t="shared" ref="G1156:G1219" si="55">0.7*F1155+0.3*G1155</f>
        <v>45741.52469005782</v>
      </c>
      <c r="H1156" s="4">
        <f t="shared" si="53"/>
        <v>12766.440437800486</v>
      </c>
      <c r="I1156" s="17">
        <f t="shared" si="54"/>
        <v>0.72090041763353507</v>
      </c>
      <c r="J1156">
        <v>64.23</v>
      </c>
    </row>
    <row r="1157" spans="1:10" x14ac:dyDescent="0.25">
      <c r="A1157" t="s">
        <v>68</v>
      </c>
      <c r="B1157" t="s">
        <v>99</v>
      </c>
      <c r="C1157" t="s">
        <v>9</v>
      </c>
      <c r="D1157">
        <v>5.33</v>
      </c>
      <c r="E1157" s="1">
        <v>1092520</v>
      </c>
      <c r="F1157" s="1">
        <v>58231</v>
      </c>
      <c r="G1157" s="4">
        <f t="shared" si="55"/>
        <v>13722.457407017346</v>
      </c>
      <c r="H1157" s="4">
        <f t="shared" si="53"/>
        <v>27510.212462273186</v>
      </c>
      <c r="I1157" s="17">
        <f t="shared" si="54"/>
        <v>-1.0047584515150401</v>
      </c>
      <c r="J1157">
        <v>63.03</v>
      </c>
    </row>
    <row r="1158" spans="1:10" x14ac:dyDescent="0.25">
      <c r="A1158" t="s">
        <v>69</v>
      </c>
      <c r="B1158" t="s">
        <v>99</v>
      </c>
      <c r="C1158" t="s">
        <v>9</v>
      </c>
      <c r="D1158">
        <v>2.56</v>
      </c>
      <c r="E1158" s="1">
        <v>1153015</v>
      </c>
      <c r="F1158" s="1">
        <v>29517</v>
      </c>
      <c r="G1158" s="4">
        <f t="shared" si="55"/>
        <v>44878.437222105204</v>
      </c>
      <c r="H1158" s="4">
        <f t="shared" ref="H1158:H1221" si="56">SQRT(SUMXMY2(F1155:F1157,G1155:G1157)/3)</f>
        <v>37304.461701917637</v>
      </c>
      <c r="I1158" s="17">
        <f t="shared" si="54"/>
        <v>0.16876647202984488</v>
      </c>
      <c r="J1158">
        <v>64.459999999999994</v>
      </c>
    </row>
    <row r="1159" spans="1:10" x14ac:dyDescent="0.25">
      <c r="A1159" t="s">
        <v>70</v>
      </c>
      <c r="B1159" t="s">
        <v>99</v>
      </c>
      <c r="C1159" t="s">
        <v>9</v>
      </c>
      <c r="D1159">
        <v>3.9</v>
      </c>
      <c r="E1159" s="1">
        <v>1101692</v>
      </c>
      <c r="F1159" s="1">
        <v>42966</v>
      </c>
      <c r="G1159" s="4">
        <f t="shared" si="55"/>
        <v>34125.431166631563</v>
      </c>
      <c r="H1159" s="4">
        <f t="shared" si="56"/>
        <v>37900.181170416581</v>
      </c>
      <c r="I1159" s="17">
        <f t="shared" si="54"/>
        <v>-0.11061398712746623</v>
      </c>
      <c r="J1159">
        <v>62.31</v>
      </c>
    </row>
    <row r="1160" spans="1:10" x14ac:dyDescent="0.25">
      <c r="A1160" t="s">
        <v>71</v>
      </c>
      <c r="B1160" t="s">
        <v>99</v>
      </c>
      <c r="C1160" t="s">
        <v>9</v>
      </c>
      <c r="D1160">
        <v>0.69</v>
      </c>
      <c r="E1160" s="1">
        <v>1232540</v>
      </c>
      <c r="F1160" s="1">
        <v>8505</v>
      </c>
      <c r="G1160" s="4">
        <f t="shared" si="55"/>
        <v>40313.829349989464</v>
      </c>
      <c r="H1160" s="4">
        <f t="shared" si="56"/>
        <v>27659.475619140936</v>
      </c>
      <c r="I1160" s="17">
        <f t="shared" si="54"/>
        <v>0.31389609806074736</v>
      </c>
      <c r="J1160">
        <v>67.290000000000006</v>
      </c>
    </row>
    <row r="1161" spans="1:10" x14ac:dyDescent="0.25">
      <c r="A1161" t="s">
        <v>72</v>
      </c>
      <c r="B1161" t="s">
        <v>99</v>
      </c>
      <c r="C1161" t="s">
        <v>9</v>
      </c>
      <c r="D1161">
        <v>1.32</v>
      </c>
      <c r="E1161" s="1">
        <v>1124420</v>
      </c>
      <c r="F1161" s="1">
        <v>14842</v>
      </c>
      <c r="G1161" s="4">
        <f t="shared" si="55"/>
        <v>18047.648804996839</v>
      </c>
      <c r="H1161" s="4">
        <f t="shared" si="56"/>
        <v>21023.249316276459</v>
      </c>
      <c r="I1161" s="17">
        <f t="shared" si="54"/>
        <v>-0.16487469051679279</v>
      </c>
      <c r="J1161">
        <v>61.63</v>
      </c>
    </row>
    <row r="1162" spans="1:10" x14ac:dyDescent="0.25">
      <c r="A1162" t="s">
        <v>73</v>
      </c>
      <c r="B1162" t="s">
        <v>99</v>
      </c>
      <c r="C1162" t="s">
        <v>9</v>
      </c>
      <c r="D1162">
        <v>5.98</v>
      </c>
      <c r="E1162" s="1">
        <v>1067531</v>
      </c>
      <c r="F1162" s="1">
        <v>63838</v>
      </c>
      <c r="G1162" s="4">
        <f t="shared" si="55"/>
        <v>15803.694641499053</v>
      </c>
      <c r="H1162" s="4">
        <f t="shared" si="56"/>
        <v>19150.574109542638</v>
      </c>
      <c r="I1162" s="17">
        <f t="shared" si="54"/>
        <v>-0.21177829260602057</v>
      </c>
      <c r="J1162">
        <v>61.26</v>
      </c>
    </row>
    <row r="1163" spans="1:10" x14ac:dyDescent="0.25">
      <c r="A1163" t="s">
        <v>74</v>
      </c>
      <c r="B1163" t="s">
        <v>99</v>
      </c>
      <c r="C1163" t="s">
        <v>9</v>
      </c>
      <c r="D1163">
        <v>2.78</v>
      </c>
      <c r="E1163" s="1">
        <v>1266903</v>
      </c>
      <c r="F1163" s="1">
        <v>35220</v>
      </c>
      <c r="G1163" s="4">
        <f t="shared" si="55"/>
        <v>49427.708392449713</v>
      </c>
      <c r="H1163" s="4">
        <f t="shared" si="56"/>
        <v>33313.522280256511</v>
      </c>
      <c r="I1163" s="17">
        <f t="shared" si="54"/>
        <v>0.32601523793594911</v>
      </c>
      <c r="J1163">
        <v>70.13</v>
      </c>
    </row>
    <row r="1164" spans="1:10" x14ac:dyDescent="0.25">
      <c r="A1164" t="s">
        <v>75</v>
      </c>
      <c r="B1164" t="s">
        <v>99</v>
      </c>
      <c r="C1164" t="s">
        <v>9</v>
      </c>
      <c r="D1164">
        <v>0</v>
      </c>
      <c r="E1164" s="1">
        <v>1298307</v>
      </c>
      <c r="F1164">
        <v>0</v>
      </c>
      <c r="G1164" s="4">
        <f t="shared" si="55"/>
        <v>39482.312517734914</v>
      </c>
      <c r="H1164" s="4">
        <f t="shared" si="56"/>
        <v>28979.473501656172</v>
      </c>
      <c r="I1164" s="17">
        <f t="shared" si="54"/>
        <v>0.26601377544339661</v>
      </c>
      <c r="J1164">
        <v>69.7</v>
      </c>
    </row>
    <row r="1165" spans="1:10" x14ac:dyDescent="0.25">
      <c r="A1165" t="s">
        <v>76</v>
      </c>
      <c r="B1165" t="s">
        <v>99</v>
      </c>
      <c r="C1165" t="s">
        <v>9</v>
      </c>
      <c r="D1165">
        <v>0</v>
      </c>
      <c r="E1165" s="1">
        <v>1184245</v>
      </c>
      <c r="F1165">
        <v>0</v>
      </c>
      <c r="G1165" s="4">
        <f t="shared" si="55"/>
        <v>11844.693755320473</v>
      </c>
      <c r="H1165" s="4">
        <f t="shared" si="56"/>
        <v>36823.934566106531</v>
      </c>
      <c r="I1165" s="17">
        <f t="shared" si="54"/>
        <v>-2.1088971421963296</v>
      </c>
      <c r="J1165">
        <v>63.41</v>
      </c>
    </row>
    <row r="1166" spans="1:10" x14ac:dyDescent="0.25">
      <c r="A1166" t="s">
        <v>77</v>
      </c>
      <c r="B1166" t="s">
        <v>99</v>
      </c>
      <c r="C1166" t="s">
        <v>9</v>
      </c>
      <c r="D1166">
        <v>1.1000000000000001</v>
      </c>
      <c r="E1166" s="1">
        <v>1274099</v>
      </c>
      <c r="F1166" s="1">
        <v>14015</v>
      </c>
      <c r="G1166" s="4">
        <f t="shared" si="55"/>
        <v>3553.4081265961418</v>
      </c>
      <c r="H1166" s="4">
        <f t="shared" si="56"/>
        <v>25172.794505645052</v>
      </c>
      <c r="I1166" s="17">
        <f t="shared" si="54"/>
        <v>-6.08412701519834</v>
      </c>
      <c r="J1166">
        <v>68.819999999999993</v>
      </c>
    </row>
    <row r="1167" spans="1:10" x14ac:dyDescent="0.25">
      <c r="A1167" t="s">
        <v>78</v>
      </c>
      <c r="B1167" t="s">
        <v>99</v>
      </c>
      <c r="C1167" t="s">
        <v>9</v>
      </c>
      <c r="D1167">
        <v>1.72</v>
      </c>
      <c r="E1167" s="1">
        <v>1086009</v>
      </c>
      <c r="F1167" s="1">
        <v>18679</v>
      </c>
      <c r="G1167" s="4">
        <f t="shared" si="55"/>
        <v>10876.522437978841</v>
      </c>
      <c r="H1167" s="4">
        <f t="shared" si="56"/>
        <v>24553.307152880545</v>
      </c>
      <c r="I1167" s="17">
        <f t="shared" si="54"/>
        <v>-1.2574593389468729</v>
      </c>
      <c r="J1167">
        <v>58.88</v>
      </c>
    </row>
    <row r="1168" spans="1:10" x14ac:dyDescent="0.25">
      <c r="A1168" t="s">
        <v>79</v>
      </c>
      <c r="B1168" t="s">
        <v>99</v>
      </c>
      <c r="C1168" t="s">
        <v>9</v>
      </c>
      <c r="D1168">
        <v>0.41</v>
      </c>
      <c r="E1168" s="1">
        <v>1199426</v>
      </c>
      <c r="F1168" s="1">
        <v>4918</v>
      </c>
      <c r="G1168" s="4">
        <f t="shared" si="55"/>
        <v>16338.256731393652</v>
      </c>
      <c r="H1168" s="4">
        <f t="shared" si="56"/>
        <v>10175.466095611888</v>
      </c>
      <c r="I1168" s="17">
        <f t="shared" si="54"/>
        <v>0.37720001203923298</v>
      </c>
      <c r="J1168">
        <v>64.02</v>
      </c>
    </row>
    <row r="1169" spans="1:10" x14ac:dyDescent="0.25">
      <c r="A1169" t="s">
        <v>80</v>
      </c>
      <c r="B1169" t="s">
        <v>99</v>
      </c>
      <c r="C1169" t="s">
        <v>9</v>
      </c>
      <c r="D1169">
        <v>2.0299999999999998</v>
      </c>
      <c r="E1169" s="1">
        <v>1116192</v>
      </c>
      <c r="F1169" s="1">
        <v>22659</v>
      </c>
      <c r="G1169" s="4">
        <f t="shared" si="55"/>
        <v>8344.077019418095</v>
      </c>
      <c r="H1169" s="4">
        <f t="shared" si="56"/>
        <v>10012.422691211408</v>
      </c>
      <c r="I1169" s="17">
        <f t="shared" si="54"/>
        <v>-0.19994370472741171</v>
      </c>
      <c r="J1169">
        <v>60.41</v>
      </c>
    </row>
    <row r="1170" spans="1:10" x14ac:dyDescent="0.25">
      <c r="A1170" t="s">
        <v>81</v>
      </c>
      <c r="B1170" t="s">
        <v>99</v>
      </c>
      <c r="C1170" t="s">
        <v>9</v>
      </c>
      <c r="D1170">
        <v>0.91</v>
      </c>
      <c r="E1170" s="1">
        <v>1204182</v>
      </c>
      <c r="F1170" s="1">
        <v>10958</v>
      </c>
      <c r="G1170" s="4">
        <f t="shared" si="55"/>
        <v>18364.523105825429</v>
      </c>
      <c r="H1170" s="4">
        <f t="shared" si="56"/>
        <v>11492.286396488988</v>
      </c>
      <c r="I1170" s="17">
        <f t="shared" si="54"/>
        <v>0.3742126419365876</v>
      </c>
      <c r="J1170">
        <v>64.27</v>
      </c>
    </row>
    <row r="1171" spans="1:10" x14ac:dyDescent="0.25">
      <c r="A1171" t="s">
        <v>82</v>
      </c>
      <c r="B1171" t="s">
        <v>99</v>
      </c>
      <c r="C1171" t="s">
        <v>9</v>
      </c>
      <c r="D1171">
        <v>0.83</v>
      </c>
      <c r="E1171" s="1">
        <v>1322093</v>
      </c>
      <c r="F1171" s="1">
        <v>10973</v>
      </c>
      <c r="G1171" s="4">
        <f t="shared" si="55"/>
        <v>13179.956931747627</v>
      </c>
      <c r="H1171" s="4">
        <f t="shared" si="56"/>
        <v>11404.617022183895</v>
      </c>
      <c r="I1171" s="17">
        <f t="shared" si="54"/>
        <v>0.13469997806194098</v>
      </c>
      <c r="J1171">
        <v>70.349999999999994</v>
      </c>
    </row>
    <row r="1172" spans="1:10" x14ac:dyDescent="0.25">
      <c r="A1172" t="s">
        <v>83</v>
      </c>
      <c r="B1172" t="s">
        <v>99</v>
      </c>
      <c r="C1172" t="s">
        <v>9</v>
      </c>
      <c r="D1172">
        <v>1.89</v>
      </c>
      <c r="E1172" s="1">
        <v>1188495</v>
      </c>
      <c r="F1172" s="1">
        <v>22463</v>
      </c>
      <c r="G1172" s="4">
        <f t="shared" si="55"/>
        <v>11635.087079524288</v>
      </c>
      <c r="H1172" s="4">
        <f t="shared" si="56"/>
        <v>9392.2709954463226</v>
      </c>
      <c r="I1172" s="17">
        <f t="shared" si="54"/>
        <v>0.19276315413443948</v>
      </c>
      <c r="J1172">
        <v>63.77</v>
      </c>
    </row>
    <row r="1173" spans="1:10" x14ac:dyDescent="0.25">
      <c r="A1173" t="s">
        <v>84</v>
      </c>
      <c r="B1173" t="s">
        <v>99</v>
      </c>
      <c r="C1173" t="s">
        <v>9</v>
      </c>
      <c r="D1173">
        <v>0.89</v>
      </c>
      <c r="E1173" s="1">
        <v>1167874</v>
      </c>
      <c r="F1173" s="1">
        <v>10394</v>
      </c>
      <c r="G1173" s="4">
        <f t="shared" si="55"/>
        <v>19214.626123857284</v>
      </c>
      <c r="H1173" s="4">
        <f t="shared" si="56"/>
        <v>7680.5152090451093</v>
      </c>
      <c r="I1173" s="17">
        <f t="shared" si="54"/>
        <v>0.60027766558992168</v>
      </c>
      <c r="J1173">
        <v>61.88</v>
      </c>
    </row>
    <row r="1174" spans="1:10" x14ac:dyDescent="0.25">
      <c r="A1174" t="s">
        <v>7</v>
      </c>
      <c r="B1174" t="s">
        <v>100</v>
      </c>
      <c r="C1174" t="s">
        <v>9</v>
      </c>
      <c r="D1174">
        <v>6.07</v>
      </c>
      <c r="E1174" s="1">
        <v>12707301</v>
      </c>
      <c r="F1174" s="1">
        <v>771333</v>
      </c>
      <c r="G1174" s="4">
        <f t="shared" si="55"/>
        <v>13040.187837157184</v>
      </c>
      <c r="H1174" s="4">
        <f t="shared" si="56"/>
        <v>8163.2877839113198</v>
      </c>
      <c r="I1174" s="17">
        <f t="shared" si="54"/>
        <v>0.37399001564605139</v>
      </c>
      <c r="J1174">
        <v>50.1</v>
      </c>
    </row>
    <row r="1175" spans="1:10" x14ac:dyDescent="0.25">
      <c r="A1175" t="s">
        <v>10</v>
      </c>
      <c r="B1175" t="s">
        <v>100</v>
      </c>
      <c r="C1175" t="s">
        <v>9</v>
      </c>
      <c r="D1175">
        <v>9.08</v>
      </c>
      <c r="E1175" s="1">
        <v>11590176</v>
      </c>
      <c r="F1175" s="1">
        <v>1052388</v>
      </c>
      <c r="G1175" s="4">
        <f t="shared" si="55"/>
        <v>543845.1563511471</v>
      </c>
      <c r="H1175" s="4">
        <f t="shared" si="56"/>
        <v>437874.80559373845</v>
      </c>
      <c r="I1175" s="17">
        <f t="shared" si="54"/>
        <v>0.19485390192385252</v>
      </c>
      <c r="J1175">
        <v>47.14</v>
      </c>
    </row>
    <row r="1176" spans="1:10" x14ac:dyDescent="0.25">
      <c r="A1176" t="s">
        <v>11</v>
      </c>
      <c r="B1176" t="s">
        <v>100</v>
      </c>
      <c r="C1176" t="s">
        <v>9</v>
      </c>
      <c r="D1176">
        <v>12.17</v>
      </c>
      <c r="E1176" s="1">
        <v>12813099</v>
      </c>
      <c r="F1176" s="1">
        <v>1559354</v>
      </c>
      <c r="G1176" s="4">
        <f t="shared" si="55"/>
        <v>899825.1469053441</v>
      </c>
      <c r="H1176" s="4">
        <f t="shared" si="56"/>
        <v>527162.72511420702</v>
      </c>
      <c r="I1176" s="17">
        <f t="shared" si="54"/>
        <v>0.41414981907628196</v>
      </c>
      <c r="J1176">
        <v>53.86</v>
      </c>
    </row>
    <row r="1177" spans="1:10" x14ac:dyDescent="0.25">
      <c r="A1177" t="s">
        <v>12</v>
      </c>
      <c r="B1177" t="s">
        <v>100</v>
      </c>
      <c r="C1177" t="s">
        <v>9</v>
      </c>
      <c r="D1177">
        <v>7.12</v>
      </c>
      <c r="E1177" s="1">
        <v>11391327</v>
      </c>
      <c r="F1177" s="1">
        <v>811062</v>
      </c>
      <c r="G1177" s="4">
        <f t="shared" si="55"/>
        <v>1361495.3440716034</v>
      </c>
      <c r="H1177" s="4">
        <f t="shared" si="56"/>
        <v>650282.53369045828</v>
      </c>
      <c r="I1177" s="17">
        <f t="shared" si="54"/>
        <v>0.52237623395335031</v>
      </c>
      <c r="J1177">
        <v>45.21</v>
      </c>
    </row>
    <row r="1178" spans="1:10" x14ac:dyDescent="0.25">
      <c r="A1178" t="s">
        <v>13</v>
      </c>
      <c r="B1178" t="s">
        <v>100</v>
      </c>
      <c r="C1178" t="s">
        <v>9</v>
      </c>
      <c r="D1178">
        <v>6.79</v>
      </c>
      <c r="E1178" s="1">
        <v>12400315</v>
      </c>
      <c r="F1178" s="1">
        <v>841981</v>
      </c>
      <c r="G1178" s="4">
        <f t="shared" si="55"/>
        <v>976192.00322148087</v>
      </c>
      <c r="H1178" s="4">
        <f t="shared" si="56"/>
        <v>576359.55159855494</v>
      </c>
      <c r="I1178" s="17">
        <f t="shared" si="54"/>
        <v>0.40958382193611448</v>
      </c>
      <c r="J1178">
        <v>48.96</v>
      </c>
    </row>
    <row r="1179" spans="1:10" x14ac:dyDescent="0.25">
      <c r="A1179" t="s">
        <v>14</v>
      </c>
      <c r="B1179" t="s">
        <v>100</v>
      </c>
      <c r="C1179" t="s">
        <v>9</v>
      </c>
      <c r="D1179">
        <v>9.57</v>
      </c>
      <c r="E1179" s="1">
        <v>11680161</v>
      </c>
      <c r="F1179" s="1">
        <v>1117791</v>
      </c>
      <c r="G1179" s="4">
        <f t="shared" si="55"/>
        <v>882244.30096644419</v>
      </c>
      <c r="H1179" s="4">
        <f t="shared" si="56"/>
        <v>501985.31443191197</v>
      </c>
      <c r="I1179" s="17">
        <f t="shared" si="54"/>
        <v>0.4310132534922379</v>
      </c>
      <c r="J1179">
        <v>47.46</v>
      </c>
    </row>
    <row r="1180" spans="1:10" x14ac:dyDescent="0.25">
      <c r="A1180" t="s">
        <v>15</v>
      </c>
      <c r="B1180" t="s">
        <v>100</v>
      </c>
      <c r="C1180" t="s">
        <v>9</v>
      </c>
      <c r="D1180">
        <v>8.7200000000000006</v>
      </c>
      <c r="E1180" s="1">
        <v>12259361</v>
      </c>
      <c r="F1180" s="1">
        <v>1069016</v>
      </c>
      <c r="G1180" s="4">
        <f t="shared" si="55"/>
        <v>1047126.9902899333</v>
      </c>
      <c r="H1180" s="4">
        <f t="shared" si="56"/>
        <v>354246.48061162583</v>
      </c>
      <c r="I1180" s="17">
        <f t="shared" si="54"/>
        <v>0.66169673411479879</v>
      </c>
      <c r="J1180">
        <v>49.27</v>
      </c>
    </row>
    <row r="1181" spans="1:10" x14ac:dyDescent="0.25">
      <c r="A1181" t="s">
        <v>16</v>
      </c>
      <c r="B1181" t="s">
        <v>100</v>
      </c>
      <c r="C1181" t="s">
        <v>9</v>
      </c>
      <c r="D1181">
        <v>10.87</v>
      </c>
      <c r="E1181" s="1">
        <v>11407526</v>
      </c>
      <c r="F1181" s="1">
        <v>1239998</v>
      </c>
      <c r="G1181" s="4">
        <f t="shared" si="55"/>
        <v>1062449.29708698</v>
      </c>
      <c r="H1181" s="4">
        <f t="shared" si="56"/>
        <v>157028.6274934269</v>
      </c>
      <c r="I1181" s="17">
        <f t="shared" si="54"/>
        <v>0.85220129758288943</v>
      </c>
      <c r="J1181">
        <v>46.88</v>
      </c>
    </row>
    <row r="1182" spans="1:10" x14ac:dyDescent="0.25">
      <c r="A1182" t="s">
        <v>17</v>
      </c>
      <c r="B1182" t="s">
        <v>100</v>
      </c>
      <c r="C1182" t="s">
        <v>9</v>
      </c>
      <c r="D1182">
        <v>4.7300000000000004</v>
      </c>
      <c r="E1182" s="1">
        <v>11912913</v>
      </c>
      <c r="F1182" s="1">
        <v>563481</v>
      </c>
      <c r="G1182" s="4">
        <f t="shared" si="55"/>
        <v>1186733.3891260941</v>
      </c>
      <c r="H1182" s="4">
        <f t="shared" si="56"/>
        <v>170767.7936827158</v>
      </c>
      <c r="I1182" s="17">
        <f t="shared" si="54"/>
        <v>0.85610264677185111</v>
      </c>
      <c r="J1182">
        <v>45.73</v>
      </c>
    </row>
    <row r="1183" spans="1:10" x14ac:dyDescent="0.25">
      <c r="A1183" t="s">
        <v>18</v>
      </c>
      <c r="B1183" t="s">
        <v>100</v>
      </c>
      <c r="C1183" t="s">
        <v>9</v>
      </c>
      <c r="D1183">
        <v>2.79</v>
      </c>
      <c r="E1183" s="1">
        <v>11488244</v>
      </c>
      <c r="F1183" s="1">
        <v>320522</v>
      </c>
      <c r="G1183" s="4">
        <f t="shared" si="55"/>
        <v>750456.71673782822</v>
      </c>
      <c r="H1183" s="4">
        <f t="shared" si="56"/>
        <v>374364.44418221107</v>
      </c>
      <c r="I1183" s="17">
        <f t="shared" si="54"/>
        <v>0.50115118456192709</v>
      </c>
      <c r="J1183">
        <v>43.15</v>
      </c>
    </row>
    <row r="1184" spans="1:10" x14ac:dyDescent="0.25">
      <c r="A1184" t="s">
        <v>19</v>
      </c>
      <c r="B1184" t="s">
        <v>100</v>
      </c>
      <c r="C1184" t="s">
        <v>9</v>
      </c>
      <c r="D1184">
        <v>4.95</v>
      </c>
      <c r="E1184" s="1">
        <v>12500208</v>
      </c>
      <c r="F1184" s="1">
        <v>618760</v>
      </c>
      <c r="G1184" s="4">
        <f t="shared" si="55"/>
        <v>449502.41502134845</v>
      </c>
      <c r="H1184" s="4">
        <f t="shared" si="56"/>
        <v>449002.948436465</v>
      </c>
      <c r="I1184" s="17">
        <f t="shared" si="54"/>
        <v>1.1111543969340727E-3</v>
      </c>
      <c r="J1184">
        <v>47.94</v>
      </c>
    </row>
    <row r="1185" spans="1:10" x14ac:dyDescent="0.25">
      <c r="A1185" t="s">
        <v>20</v>
      </c>
      <c r="B1185" t="s">
        <v>100</v>
      </c>
      <c r="C1185" t="s">
        <v>9</v>
      </c>
      <c r="D1185">
        <v>6.95</v>
      </c>
      <c r="E1185" s="1">
        <v>11594937</v>
      </c>
      <c r="F1185" s="1">
        <v>805848</v>
      </c>
      <c r="G1185" s="4">
        <f t="shared" si="55"/>
        <v>567982.72450640448</v>
      </c>
      <c r="H1185" s="4">
        <f t="shared" si="56"/>
        <v>447934.34462378756</v>
      </c>
      <c r="I1185" s="17">
        <f t="shared" si="54"/>
        <v>0.21135920988960163</v>
      </c>
      <c r="J1185">
        <v>45.35</v>
      </c>
    </row>
    <row r="1186" spans="1:10" x14ac:dyDescent="0.25">
      <c r="A1186" t="s">
        <v>21</v>
      </c>
      <c r="B1186" t="s">
        <v>100</v>
      </c>
      <c r="C1186" t="s">
        <v>9</v>
      </c>
      <c r="D1186">
        <v>4.71</v>
      </c>
      <c r="E1186" s="1">
        <v>11383914</v>
      </c>
      <c r="F1186" s="1">
        <v>536182</v>
      </c>
      <c r="G1186" s="4">
        <f t="shared" si="55"/>
        <v>734488.41735192132</v>
      </c>
      <c r="H1186" s="4">
        <f t="shared" si="56"/>
        <v>300039.9306841708</v>
      </c>
      <c r="I1186" s="17">
        <f t="shared" si="54"/>
        <v>0.5914980773067654</v>
      </c>
      <c r="J1186">
        <v>43.41</v>
      </c>
    </row>
    <row r="1187" spans="1:10" x14ac:dyDescent="0.25">
      <c r="A1187" t="s">
        <v>22</v>
      </c>
      <c r="B1187" t="s">
        <v>100</v>
      </c>
      <c r="C1187" t="s">
        <v>9</v>
      </c>
      <c r="D1187">
        <v>2.7</v>
      </c>
      <c r="E1187" s="1">
        <v>11361991</v>
      </c>
      <c r="F1187" s="1">
        <v>306774</v>
      </c>
      <c r="G1187" s="4">
        <f t="shared" si="55"/>
        <v>595673.92520557635</v>
      </c>
      <c r="H1187" s="4">
        <f t="shared" si="56"/>
        <v>203759.21616899027</v>
      </c>
      <c r="I1187" s="17">
        <f t="shared" si="54"/>
        <v>0.65793497491321318</v>
      </c>
      <c r="J1187">
        <v>42.37</v>
      </c>
    </row>
    <row r="1188" spans="1:10" x14ac:dyDescent="0.25">
      <c r="A1188" t="s">
        <v>23</v>
      </c>
      <c r="B1188" t="s">
        <v>100</v>
      </c>
      <c r="C1188" t="s">
        <v>9</v>
      </c>
      <c r="D1188">
        <v>1.51</v>
      </c>
      <c r="E1188" s="1">
        <v>12127526</v>
      </c>
      <c r="F1188" s="1">
        <v>183126</v>
      </c>
      <c r="G1188" s="4">
        <f t="shared" si="55"/>
        <v>393443.97756167292</v>
      </c>
      <c r="H1188" s="4">
        <f t="shared" si="56"/>
        <v>244518.90944763768</v>
      </c>
      <c r="I1188" s="17">
        <f t="shared" si="54"/>
        <v>0.378516578235566</v>
      </c>
      <c r="J1188">
        <v>44.61</v>
      </c>
    </row>
    <row r="1189" spans="1:10" x14ac:dyDescent="0.25">
      <c r="A1189" t="s">
        <v>24</v>
      </c>
      <c r="B1189" t="s">
        <v>100</v>
      </c>
      <c r="C1189" t="s">
        <v>9</v>
      </c>
      <c r="D1189">
        <v>2.36</v>
      </c>
      <c r="E1189" s="1">
        <v>11130131</v>
      </c>
      <c r="F1189" s="1">
        <v>262671</v>
      </c>
      <c r="G1189" s="4">
        <f t="shared" si="55"/>
        <v>246221.39326850185</v>
      </c>
      <c r="H1189" s="4">
        <f t="shared" si="56"/>
        <v>235953.56438105524</v>
      </c>
      <c r="I1189" s="17">
        <f t="shared" si="54"/>
        <v>4.1701611509645096E-2</v>
      </c>
      <c r="J1189">
        <v>41.23</v>
      </c>
    </row>
    <row r="1190" spans="1:10" x14ac:dyDescent="0.25">
      <c r="A1190" t="s">
        <v>25</v>
      </c>
      <c r="B1190" t="s">
        <v>100</v>
      </c>
      <c r="C1190" t="s">
        <v>9</v>
      </c>
      <c r="D1190">
        <v>7.5</v>
      </c>
      <c r="E1190" s="1">
        <v>10886250</v>
      </c>
      <c r="F1190" s="1">
        <v>816469</v>
      </c>
      <c r="G1190" s="4">
        <f t="shared" si="55"/>
        <v>257736.11798055054</v>
      </c>
      <c r="H1190" s="4">
        <f t="shared" si="56"/>
        <v>206532.81259164037</v>
      </c>
      <c r="I1190" s="17">
        <f t="shared" si="54"/>
        <v>0.1986656188899924</v>
      </c>
      <c r="J1190">
        <v>42.5</v>
      </c>
    </row>
    <row r="1191" spans="1:10" x14ac:dyDescent="0.25">
      <c r="A1191" t="s">
        <v>26</v>
      </c>
      <c r="B1191" t="s">
        <v>100</v>
      </c>
      <c r="C1191" t="s">
        <v>9</v>
      </c>
      <c r="D1191">
        <v>2.76</v>
      </c>
      <c r="E1191" s="1">
        <v>12050444</v>
      </c>
      <c r="F1191" s="1">
        <v>332592</v>
      </c>
      <c r="G1191" s="4">
        <f t="shared" si="55"/>
        <v>648849.13539416506</v>
      </c>
      <c r="H1191" s="4">
        <f t="shared" si="56"/>
        <v>344812.35220382951</v>
      </c>
      <c r="I1191" s="17">
        <f t="shared" si="54"/>
        <v>0.46857854407964689</v>
      </c>
      <c r="J1191">
        <v>44.68</v>
      </c>
    </row>
    <row r="1192" spans="1:10" x14ac:dyDescent="0.25">
      <c r="A1192" t="s">
        <v>27</v>
      </c>
      <c r="B1192" t="s">
        <v>100</v>
      </c>
      <c r="C1192" t="s">
        <v>9</v>
      </c>
      <c r="D1192">
        <v>3.35</v>
      </c>
      <c r="E1192" s="1">
        <v>11969622</v>
      </c>
      <c r="F1192" s="1">
        <v>400982</v>
      </c>
      <c r="G1192" s="4">
        <f t="shared" si="55"/>
        <v>427469.14061824954</v>
      </c>
      <c r="H1192" s="4">
        <f t="shared" si="56"/>
        <v>370797.15869960689</v>
      </c>
      <c r="I1192" s="17">
        <f t="shared" si="54"/>
        <v>0.13257560963740642</v>
      </c>
      <c r="J1192">
        <v>44.58</v>
      </c>
    </row>
    <row r="1193" spans="1:10" x14ac:dyDescent="0.25">
      <c r="A1193" t="s">
        <v>28</v>
      </c>
      <c r="B1193" t="s">
        <v>100</v>
      </c>
      <c r="C1193" t="s">
        <v>9</v>
      </c>
      <c r="D1193">
        <v>2.81</v>
      </c>
      <c r="E1193" s="1">
        <v>11519705</v>
      </c>
      <c r="F1193" s="1">
        <v>323704</v>
      </c>
      <c r="G1193" s="4">
        <f t="shared" si="55"/>
        <v>408928.1421854748</v>
      </c>
      <c r="H1193" s="4">
        <f t="shared" si="56"/>
        <v>370990.82547309005</v>
      </c>
      <c r="I1193" s="17">
        <f t="shared" si="54"/>
        <v>9.2772574931215615E-2</v>
      </c>
      <c r="J1193">
        <v>42.59</v>
      </c>
    </row>
    <row r="1194" spans="1:10" x14ac:dyDescent="0.25">
      <c r="A1194" t="s">
        <v>29</v>
      </c>
      <c r="B1194" t="s">
        <v>100</v>
      </c>
      <c r="C1194" t="s">
        <v>9</v>
      </c>
      <c r="D1194">
        <v>4.47</v>
      </c>
      <c r="E1194" s="1">
        <v>11537023</v>
      </c>
      <c r="F1194" s="1">
        <v>515705</v>
      </c>
      <c r="G1194" s="4">
        <f t="shared" si="55"/>
        <v>349271.24265564245</v>
      </c>
      <c r="H1194" s="4">
        <f t="shared" si="56"/>
        <v>189721.98846127826</v>
      </c>
      <c r="I1194" s="17">
        <f t="shared" si="54"/>
        <v>0.45680615724687312</v>
      </c>
      <c r="J1194">
        <v>43.33</v>
      </c>
    </row>
    <row r="1195" spans="1:10" x14ac:dyDescent="0.25">
      <c r="A1195" t="s">
        <v>30</v>
      </c>
      <c r="B1195" t="s">
        <v>100</v>
      </c>
      <c r="C1195" t="s">
        <v>9</v>
      </c>
      <c r="D1195">
        <v>10.02</v>
      </c>
      <c r="E1195" s="1">
        <v>11812610</v>
      </c>
      <c r="F1195" s="1">
        <v>1183624</v>
      </c>
      <c r="G1195" s="4">
        <f t="shared" si="55"/>
        <v>465774.87279669271</v>
      </c>
      <c r="H1195" s="4">
        <f t="shared" si="56"/>
        <v>109033.50954812231</v>
      </c>
      <c r="I1195" s="17">
        <f t="shared" si="54"/>
        <v>0.76590942123295991</v>
      </c>
      <c r="J1195">
        <v>47.03</v>
      </c>
    </row>
    <row r="1196" spans="1:10" x14ac:dyDescent="0.25">
      <c r="A1196" t="s">
        <v>31</v>
      </c>
      <c r="B1196" t="s">
        <v>100</v>
      </c>
      <c r="C1196" t="s">
        <v>9</v>
      </c>
      <c r="D1196">
        <v>1.79</v>
      </c>
      <c r="E1196" s="1">
        <v>12399082</v>
      </c>
      <c r="F1196" s="1">
        <v>221944</v>
      </c>
      <c r="G1196" s="4">
        <f t="shared" si="55"/>
        <v>968269.26183900773</v>
      </c>
      <c r="H1196" s="4">
        <f t="shared" si="56"/>
        <v>428279.78371681314</v>
      </c>
      <c r="I1196" s="17">
        <f t="shared" si="54"/>
        <v>0.55768524252913598</v>
      </c>
      <c r="J1196">
        <v>45.16</v>
      </c>
    </row>
    <row r="1197" spans="1:10" x14ac:dyDescent="0.25">
      <c r="A1197" t="s">
        <v>32</v>
      </c>
      <c r="B1197" t="s">
        <v>100</v>
      </c>
      <c r="C1197" t="s">
        <v>9</v>
      </c>
      <c r="D1197">
        <v>3.04</v>
      </c>
      <c r="E1197" s="1">
        <v>11085675</v>
      </c>
      <c r="F1197" s="1">
        <v>337005</v>
      </c>
      <c r="G1197" s="4">
        <f t="shared" si="55"/>
        <v>445841.57855170232</v>
      </c>
      <c r="H1197" s="4">
        <f t="shared" si="56"/>
        <v>605532.53737774049</v>
      </c>
      <c r="I1197" s="17">
        <f t="shared" si="54"/>
        <v>-0.3581787040697002</v>
      </c>
      <c r="J1197">
        <v>40.83</v>
      </c>
    </row>
    <row r="1198" spans="1:10" x14ac:dyDescent="0.25">
      <c r="A1198" t="s">
        <v>33</v>
      </c>
      <c r="B1198" t="s">
        <v>100</v>
      </c>
      <c r="C1198" t="s">
        <v>9</v>
      </c>
      <c r="D1198">
        <v>5.72</v>
      </c>
      <c r="E1198" s="1">
        <v>11471431</v>
      </c>
      <c r="F1198" s="1">
        <v>656166</v>
      </c>
      <c r="G1198" s="4">
        <f t="shared" si="55"/>
        <v>369655.97356551065</v>
      </c>
      <c r="H1198" s="4">
        <f t="shared" si="56"/>
        <v>601152.82768928073</v>
      </c>
      <c r="I1198" s="17">
        <f t="shared" si="54"/>
        <v>-0.62624946079153265</v>
      </c>
      <c r="J1198">
        <v>43.38</v>
      </c>
    </row>
    <row r="1199" spans="1:10" x14ac:dyDescent="0.25">
      <c r="A1199" t="s">
        <v>34</v>
      </c>
      <c r="B1199" t="s">
        <v>100</v>
      </c>
      <c r="C1199" t="s">
        <v>9</v>
      </c>
      <c r="D1199">
        <v>7.08</v>
      </c>
      <c r="E1199" s="1">
        <v>11893474</v>
      </c>
      <c r="F1199" s="1">
        <v>842058</v>
      </c>
      <c r="G1199" s="4">
        <f t="shared" si="55"/>
        <v>570212.99206965312</v>
      </c>
      <c r="H1199" s="4">
        <f t="shared" si="56"/>
        <v>465809.25729222264</v>
      </c>
      <c r="I1199" s="17">
        <f t="shared" si="54"/>
        <v>0.18309602943013489</v>
      </c>
      <c r="J1199">
        <v>45.57</v>
      </c>
    </row>
    <row r="1200" spans="1:10" x14ac:dyDescent="0.25">
      <c r="A1200" t="s">
        <v>35</v>
      </c>
      <c r="B1200" t="s">
        <v>100</v>
      </c>
      <c r="C1200" t="s">
        <v>9</v>
      </c>
      <c r="D1200">
        <v>8.1</v>
      </c>
      <c r="E1200" s="1">
        <v>11459020</v>
      </c>
      <c r="F1200" s="1">
        <v>928181</v>
      </c>
      <c r="G1200" s="4">
        <f t="shared" si="55"/>
        <v>760504.49762089597</v>
      </c>
      <c r="H1200" s="4">
        <f t="shared" si="56"/>
        <v>236525.61835523794</v>
      </c>
      <c r="I1200" s="17">
        <f t="shared" si="54"/>
        <v>0.68898853445947184</v>
      </c>
      <c r="J1200">
        <v>44.32</v>
      </c>
    </row>
    <row r="1201" spans="1:10" x14ac:dyDescent="0.25">
      <c r="A1201" t="s">
        <v>36</v>
      </c>
      <c r="B1201" t="s">
        <v>100</v>
      </c>
      <c r="C1201" t="s">
        <v>9</v>
      </c>
      <c r="D1201">
        <v>8.56</v>
      </c>
      <c r="E1201" s="1">
        <v>11136878</v>
      </c>
      <c r="F1201" s="1">
        <v>953317</v>
      </c>
      <c r="G1201" s="4">
        <f t="shared" si="55"/>
        <v>877878.04928626877</v>
      </c>
      <c r="H1201" s="4">
        <f t="shared" si="56"/>
        <v>247725.0579669807</v>
      </c>
      <c r="I1201" s="17">
        <f t="shared" si="54"/>
        <v>0.71781381460854865</v>
      </c>
      <c r="J1201">
        <v>43.22</v>
      </c>
    </row>
    <row r="1202" spans="1:10" x14ac:dyDescent="0.25">
      <c r="A1202" t="s">
        <v>37</v>
      </c>
      <c r="B1202" t="s">
        <v>100</v>
      </c>
      <c r="C1202" t="s">
        <v>9</v>
      </c>
      <c r="D1202">
        <v>8.89</v>
      </c>
      <c r="E1202" s="1">
        <v>10846870</v>
      </c>
      <c r="F1202" s="1">
        <v>964287</v>
      </c>
      <c r="G1202" s="4">
        <f t="shared" si="55"/>
        <v>930685.3147858805</v>
      </c>
      <c r="H1202" s="4">
        <f t="shared" si="56"/>
        <v>189478.36558257233</v>
      </c>
      <c r="I1202" s="17">
        <f t="shared" si="54"/>
        <v>0.7964098470532277</v>
      </c>
      <c r="J1202">
        <v>42.18</v>
      </c>
    </row>
    <row r="1203" spans="1:10" x14ac:dyDescent="0.25">
      <c r="A1203" t="s">
        <v>38</v>
      </c>
      <c r="B1203" t="s">
        <v>100</v>
      </c>
      <c r="C1203" t="s">
        <v>9</v>
      </c>
      <c r="D1203">
        <v>6.33</v>
      </c>
      <c r="E1203" s="1">
        <v>11800153</v>
      </c>
      <c r="F1203" s="1">
        <v>746950</v>
      </c>
      <c r="G1203" s="4">
        <f t="shared" si="55"/>
        <v>954206.49443576403</v>
      </c>
      <c r="H1203" s="4">
        <f t="shared" si="56"/>
        <v>107912.80119322764</v>
      </c>
      <c r="I1203" s="17">
        <f t="shared" si="54"/>
        <v>0.88690833501710964</v>
      </c>
      <c r="J1203">
        <v>44.56</v>
      </c>
    </row>
    <row r="1204" spans="1:10" x14ac:dyDescent="0.25">
      <c r="A1204" t="s">
        <v>39</v>
      </c>
      <c r="B1204" t="s">
        <v>100</v>
      </c>
      <c r="C1204" t="s">
        <v>9</v>
      </c>
      <c r="D1204">
        <v>5.69</v>
      </c>
      <c r="E1204" s="1">
        <v>11737293</v>
      </c>
      <c r="F1204" s="1">
        <v>667852</v>
      </c>
      <c r="G1204" s="4">
        <f t="shared" si="55"/>
        <v>809126.94833072915</v>
      </c>
      <c r="H1204" s="4">
        <f t="shared" si="56"/>
        <v>128809.11331607382</v>
      </c>
      <c r="I1204" s="17">
        <f t="shared" si="54"/>
        <v>0.8408048161270445</v>
      </c>
      <c r="J1204">
        <v>43.96</v>
      </c>
    </row>
    <row r="1205" spans="1:10" x14ac:dyDescent="0.25">
      <c r="A1205" t="s">
        <v>40</v>
      </c>
      <c r="B1205" t="s">
        <v>100</v>
      </c>
      <c r="C1205" t="s">
        <v>9</v>
      </c>
      <c r="D1205">
        <v>6.91</v>
      </c>
      <c r="E1205" s="1">
        <v>11378245</v>
      </c>
      <c r="F1205" s="1">
        <v>786237</v>
      </c>
      <c r="G1205" s="4">
        <f t="shared" si="55"/>
        <v>710234.48449921864</v>
      </c>
      <c r="H1205" s="4">
        <f t="shared" si="56"/>
        <v>146108.33738574589</v>
      </c>
      <c r="I1205" s="17">
        <f t="shared" si="54"/>
        <v>0.79428154986199251</v>
      </c>
      <c r="J1205">
        <v>43.1</v>
      </c>
    </row>
    <row r="1206" spans="1:10" x14ac:dyDescent="0.25">
      <c r="A1206" t="s">
        <v>41</v>
      </c>
      <c r="B1206" t="s">
        <v>100</v>
      </c>
      <c r="C1206" t="s">
        <v>9</v>
      </c>
      <c r="D1206">
        <v>6</v>
      </c>
      <c r="E1206" s="1">
        <v>11236920</v>
      </c>
      <c r="F1206" s="1">
        <v>674215</v>
      </c>
      <c r="G1206" s="4">
        <f t="shared" si="55"/>
        <v>763436.24534976552</v>
      </c>
      <c r="H1206" s="4">
        <f t="shared" si="56"/>
        <v>151316.71847937425</v>
      </c>
      <c r="I1206" s="17">
        <f t="shared" si="54"/>
        <v>0.80179521289292599</v>
      </c>
      <c r="J1206">
        <v>42.09</v>
      </c>
    </row>
    <row r="1207" spans="1:10" x14ac:dyDescent="0.25">
      <c r="A1207" t="s">
        <v>42</v>
      </c>
      <c r="B1207" t="s">
        <v>100</v>
      </c>
      <c r="C1207" t="s">
        <v>9</v>
      </c>
      <c r="D1207">
        <v>5.6</v>
      </c>
      <c r="E1207" s="1">
        <v>10618467</v>
      </c>
      <c r="F1207" s="1">
        <v>594634</v>
      </c>
      <c r="G1207" s="4">
        <f t="shared" si="55"/>
        <v>700981.37360492954</v>
      </c>
      <c r="H1207" s="4">
        <f t="shared" si="56"/>
        <v>105980.22458625596</v>
      </c>
      <c r="I1207" s="17">
        <f t="shared" si="54"/>
        <v>0.84881163954295591</v>
      </c>
      <c r="J1207">
        <v>39.54</v>
      </c>
    </row>
    <row r="1208" spans="1:10" x14ac:dyDescent="0.25">
      <c r="A1208" t="s">
        <v>43</v>
      </c>
      <c r="B1208" t="s">
        <v>100</v>
      </c>
      <c r="C1208" t="s">
        <v>9</v>
      </c>
      <c r="D1208">
        <v>3.8</v>
      </c>
      <c r="E1208" s="1">
        <v>11613547</v>
      </c>
      <c r="F1208" s="1">
        <v>441315</v>
      </c>
      <c r="G1208" s="4">
        <f t="shared" si="55"/>
        <v>626538.21208147891</v>
      </c>
      <c r="H1208" s="4">
        <f t="shared" si="56"/>
        <v>91372.090663900264</v>
      </c>
      <c r="I1208" s="17">
        <f t="shared" si="54"/>
        <v>0.85416357869004544</v>
      </c>
      <c r="J1208">
        <v>42.37</v>
      </c>
    </row>
    <row r="1209" spans="1:10" x14ac:dyDescent="0.25">
      <c r="A1209" t="s">
        <v>44</v>
      </c>
      <c r="B1209" t="s">
        <v>100</v>
      </c>
      <c r="C1209" t="s">
        <v>9</v>
      </c>
      <c r="D1209">
        <v>5.21</v>
      </c>
      <c r="E1209" s="1">
        <v>11306160</v>
      </c>
      <c r="F1209" s="1">
        <v>589051</v>
      </c>
      <c r="G1209" s="4">
        <f t="shared" si="55"/>
        <v>496881.96362444363</v>
      </c>
      <c r="H1209" s="4">
        <f t="shared" si="56"/>
        <v>133638.60817918603</v>
      </c>
      <c r="I1209" s="17">
        <f t="shared" si="54"/>
        <v>0.73104556421332778</v>
      </c>
      <c r="J1209">
        <v>41.79</v>
      </c>
    </row>
    <row r="1210" spans="1:10" x14ac:dyDescent="0.25">
      <c r="A1210" t="s">
        <v>45</v>
      </c>
      <c r="B1210" t="s">
        <v>100</v>
      </c>
      <c r="C1210" t="s">
        <v>9</v>
      </c>
      <c r="D1210">
        <v>4.24</v>
      </c>
      <c r="E1210" s="1">
        <v>11392908</v>
      </c>
      <c r="F1210" s="1">
        <v>483059</v>
      </c>
      <c r="G1210" s="4">
        <f t="shared" si="55"/>
        <v>561400.28908733302</v>
      </c>
      <c r="H1210" s="4">
        <f t="shared" si="56"/>
        <v>134303.80167471757</v>
      </c>
      <c r="I1210" s="17">
        <f t="shared" si="54"/>
        <v>0.7607699812676354</v>
      </c>
      <c r="J1210">
        <v>41.62</v>
      </c>
    </row>
    <row r="1211" spans="1:10" x14ac:dyDescent="0.25">
      <c r="A1211" t="s">
        <v>46</v>
      </c>
      <c r="B1211" t="s">
        <v>100</v>
      </c>
      <c r="C1211" t="s">
        <v>9</v>
      </c>
      <c r="D1211">
        <v>7.25</v>
      </c>
      <c r="E1211" s="1">
        <v>10834270</v>
      </c>
      <c r="F1211" s="1">
        <v>785485</v>
      </c>
      <c r="G1211" s="4">
        <f t="shared" si="55"/>
        <v>506561.38672619988</v>
      </c>
      <c r="H1211" s="4">
        <f t="shared" si="56"/>
        <v>127723.82593711614</v>
      </c>
      <c r="I1211" s="17">
        <f t="shared" si="54"/>
        <v>0.74786110966220998</v>
      </c>
      <c r="J1211">
        <v>40.81</v>
      </c>
    </row>
    <row r="1212" spans="1:10" x14ac:dyDescent="0.25">
      <c r="A1212" t="s">
        <v>47</v>
      </c>
      <c r="B1212" t="s">
        <v>100</v>
      </c>
      <c r="C1212" t="s">
        <v>9</v>
      </c>
      <c r="D1212">
        <v>2.94</v>
      </c>
      <c r="E1212" s="1">
        <v>12072450</v>
      </c>
      <c r="F1212" s="1">
        <v>354930</v>
      </c>
      <c r="G1212" s="4">
        <f t="shared" si="55"/>
        <v>701807.91601785994</v>
      </c>
      <c r="H1212" s="4">
        <f t="shared" si="56"/>
        <v>175528.60249731012</v>
      </c>
      <c r="I1212" s="17">
        <f t="shared" si="54"/>
        <v>0.74989081985099293</v>
      </c>
      <c r="J1212">
        <v>43.38</v>
      </c>
    </row>
    <row r="1213" spans="1:10" x14ac:dyDescent="0.25">
      <c r="A1213" t="s">
        <v>48</v>
      </c>
      <c r="B1213" t="s">
        <v>100</v>
      </c>
      <c r="C1213" t="s">
        <v>9</v>
      </c>
      <c r="D1213">
        <v>7.31</v>
      </c>
      <c r="E1213" s="1">
        <v>11014614</v>
      </c>
      <c r="F1213" s="1">
        <v>805168</v>
      </c>
      <c r="G1213" s="4">
        <f t="shared" si="55"/>
        <v>458993.37480535795</v>
      </c>
      <c r="H1213" s="4">
        <f t="shared" si="56"/>
        <v>260934.23707802378</v>
      </c>
      <c r="I1213" s="17">
        <f t="shared" si="54"/>
        <v>0.43150761775444729</v>
      </c>
      <c r="J1213">
        <v>41.38</v>
      </c>
    </row>
    <row r="1214" spans="1:10" x14ac:dyDescent="0.25">
      <c r="A1214" t="s">
        <v>49</v>
      </c>
      <c r="B1214" t="s">
        <v>100</v>
      </c>
      <c r="C1214" t="s">
        <v>9</v>
      </c>
      <c r="D1214">
        <v>4.17</v>
      </c>
      <c r="E1214" s="1">
        <v>11155753</v>
      </c>
      <c r="F1214" s="1">
        <v>465195</v>
      </c>
      <c r="G1214" s="4">
        <f t="shared" si="55"/>
        <v>701315.61244160729</v>
      </c>
      <c r="H1214" s="4">
        <f t="shared" si="56"/>
        <v>325555.70019647782</v>
      </c>
      <c r="I1214" s="17">
        <f t="shared" si="54"/>
        <v>0.53579288066457509</v>
      </c>
      <c r="J1214">
        <v>40.47</v>
      </c>
    </row>
    <row r="1215" spans="1:10" x14ac:dyDescent="0.25">
      <c r="A1215" t="s">
        <v>50</v>
      </c>
      <c r="B1215" t="s">
        <v>100</v>
      </c>
      <c r="C1215" t="s">
        <v>9</v>
      </c>
      <c r="D1215">
        <v>4.71</v>
      </c>
      <c r="E1215" s="1">
        <v>10965157</v>
      </c>
      <c r="F1215" s="1">
        <v>516459</v>
      </c>
      <c r="G1215" s="4">
        <f t="shared" si="55"/>
        <v>536031.18373248214</v>
      </c>
      <c r="H1215" s="4">
        <f t="shared" si="56"/>
        <v>314066.92671538662</v>
      </c>
      <c r="I1215" s="17">
        <f t="shared" si="54"/>
        <v>0.41408832872654577</v>
      </c>
      <c r="J1215">
        <v>39.94</v>
      </c>
    </row>
    <row r="1216" spans="1:10" x14ac:dyDescent="0.25">
      <c r="A1216" t="s">
        <v>51</v>
      </c>
      <c r="B1216" t="s">
        <v>100</v>
      </c>
      <c r="C1216" t="s">
        <v>9</v>
      </c>
      <c r="D1216">
        <v>3.31</v>
      </c>
      <c r="E1216" s="1">
        <v>12009880</v>
      </c>
      <c r="F1216" s="1">
        <v>397527</v>
      </c>
      <c r="G1216" s="4">
        <f t="shared" si="55"/>
        <v>522330.6551197446</v>
      </c>
      <c r="H1216" s="4">
        <f t="shared" si="56"/>
        <v>242193.36979949765</v>
      </c>
      <c r="I1216" s="17">
        <f t="shared" si="54"/>
        <v>0.53632173906397529</v>
      </c>
      <c r="J1216">
        <v>43.05</v>
      </c>
    </row>
    <row r="1217" spans="1:10" x14ac:dyDescent="0.25">
      <c r="A1217" t="s">
        <v>52</v>
      </c>
      <c r="B1217" t="s">
        <v>100</v>
      </c>
      <c r="C1217" t="s">
        <v>9</v>
      </c>
      <c r="D1217">
        <v>3.68</v>
      </c>
      <c r="E1217" s="1">
        <v>11727659</v>
      </c>
      <c r="F1217" s="1">
        <v>431578</v>
      </c>
      <c r="G1217" s="4">
        <f t="shared" si="55"/>
        <v>434968.09653592331</v>
      </c>
      <c r="H1217" s="4">
        <f t="shared" si="56"/>
        <v>154609.1484217605</v>
      </c>
      <c r="I1217" s="17">
        <f t="shared" si="54"/>
        <v>0.64455060117497232</v>
      </c>
      <c r="J1217">
        <v>42.13</v>
      </c>
    </row>
    <row r="1218" spans="1:10" x14ac:dyDescent="0.25">
      <c r="A1218" t="s">
        <v>53</v>
      </c>
      <c r="B1218" t="s">
        <v>100</v>
      </c>
      <c r="C1218" t="s">
        <v>9</v>
      </c>
      <c r="D1218">
        <v>4.3099999999999996</v>
      </c>
      <c r="E1218" s="1">
        <v>11167721</v>
      </c>
      <c r="F1218" s="1">
        <v>481329</v>
      </c>
      <c r="G1218" s="4">
        <f t="shared" si="55"/>
        <v>432595.02896077698</v>
      </c>
      <c r="H1218" s="4">
        <f t="shared" si="56"/>
        <v>72962.354361293896</v>
      </c>
      <c r="I1218" s="17">
        <f t="shared" si="54"/>
        <v>0.83133797321580105</v>
      </c>
      <c r="J1218">
        <v>40.32</v>
      </c>
    </row>
    <row r="1219" spans="1:10" x14ac:dyDescent="0.25">
      <c r="A1219" t="s">
        <v>54</v>
      </c>
      <c r="B1219" t="s">
        <v>100</v>
      </c>
      <c r="C1219" t="s">
        <v>9</v>
      </c>
      <c r="D1219">
        <v>4.28</v>
      </c>
      <c r="E1219" s="1">
        <v>11621527</v>
      </c>
      <c r="F1219" s="1">
        <v>497401</v>
      </c>
      <c r="G1219" s="4">
        <f t="shared" si="55"/>
        <v>466708.80868823308</v>
      </c>
      <c r="H1219" s="4">
        <f t="shared" si="56"/>
        <v>77378.819278970768</v>
      </c>
      <c r="I1219" s="17">
        <f t="shared" ref="I1219:I1282" si="57">(G1219-H1219)/G1219</f>
        <v>0.83420321656996899</v>
      </c>
      <c r="J1219">
        <v>41.88</v>
      </c>
    </row>
    <row r="1220" spans="1:10" x14ac:dyDescent="0.25">
      <c r="A1220" t="s">
        <v>55</v>
      </c>
      <c r="B1220" t="s">
        <v>100</v>
      </c>
      <c r="C1220" t="s">
        <v>9</v>
      </c>
      <c r="D1220">
        <v>4.72</v>
      </c>
      <c r="E1220" s="1">
        <v>12192618</v>
      </c>
      <c r="F1220" s="1">
        <v>575492</v>
      </c>
      <c r="G1220" s="4">
        <f t="shared" ref="G1220:G1283" si="58">0.7*F1219+0.3*G1219</f>
        <v>488193.34260646987</v>
      </c>
      <c r="H1220" s="4">
        <f t="shared" si="56"/>
        <v>33309.174388311338</v>
      </c>
      <c r="I1220" s="17">
        <f t="shared" si="57"/>
        <v>0.93177052720450204</v>
      </c>
      <c r="J1220">
        <v>44.06</v>
      </c>
    </row>
    <row r="1221" spans="1:10" x14ac:dyDescent="0.25">
      <c r="A1221" t="s">
        <v>56</v>
      </c>
      <c r="B1221" t="s">
        <v>100</v>
      </c>
      <c r="C1221" t="s">
        <v>9</v>
      </c>
      <c r="D1221">
        <v>4.67</v>
      </c>
      <c r="E1221" s="1">
        <v>11345071</v>
      </c>
      <c r="F1221" s="1">
        <v>529815</v>
      </c>
      <c r="G1221" s="4">
        <f t="shared" si="58"/>
        <v>549302.40278194088</v>
      </c>
      <c r="H1221" s="4">
        <f t="shared" si="56"/>
        <v>60382.299071507376</v>
      </c>
      <c r="I1221" s="17">
        <f t="shared" si="57"/>
        <v>0.89007457683472468</v>
      </c>
      <c r="J1221">
        <v>40.909999999999997</v>
      </c>
    </row>
    <row r="1222" spans="1:10" x14ac:dyDescent="0.25">
      <c r="A1222" t="s">
        <v>57</v>
      </c>
      <c r="B1222" t="s">
        <v>100</v>
      </c>
      <c r="C1222" t="s">
        <v>9</v>
      </c>
      <c r="D1222">
        <v>1.81</v>
      </c>
      <c r="E1222" s="1">
        <v>11182128</v>
      </c>
      <c r="F1222" s="1">
        <v>202397</v>
      </c>
      <c r="G1222" s="4">
        <f t="shared" si="58"/>
        <v>535661.22083458223</v>
      </c>
      <c r="H1222" s="4">
        <f t="shared" ref="H1222:H1285" si="59">SQRT(SUMXMY2(F1219:F1221,G1219:G1221)/3)</f>
        <v>54598.000749162507</v>
      </c>
      <c r="I1222" s="17">
        <f t="shared" si="57"/>
        <v>0.89807363567574183</v>
      </c>
      <c r="J1222">
        <v>39.090000000000003</v>
      </c>
    </row>
    <row r="1223" spans="1:10" x14ac:dyDescent="0.25">
      <c r="A1223" t="s">
        <v>58</v>
      </c>
      <c r="B1223" t="s">
        <v>100</v>
      </c>
      <c r="C1223" t="s">
        <v>9</v>
      </c>
      <c r="D1223">
        <v>3.31</v>
      </c>
      <c r="E1223" s="1">
        <v>11842655</v>
      </c>
      <c r="F1223" s="1">
        <v>391992</v>
      </c>
      <c r="G1223" s="4">
        <f t="shared" si="58"/>
        <v>302376.26625037467</v>
      </c>
      <c r="H1223" s="4">
        <f t="shared" si="59"/>
        <v>199220.0252136481</v>
      </c>
      <c r="I1223" s="17">
        <f t="shared" si="57"/>
        <v>0.34115191088215491</v>
      </c>
      <c r="J1223">
        <v>41.98</v>
      </c>
    </row>
    <row r="1224" spans="1:10" x14ac:dyDescent="0.25">
      <c r="A1224" t="s">
        <v>59</v>
      </c>
      <c r="B1224" t="s">
        <v>100</v>
      </c>
      <c r="C1224" t="s">
        <v>9</v>
      </c>
      <c r="D1224">
        <v>15.09</v>
      </c>
      <c r="E1224" s="1">
        <v>9814156</v>
      </c>
      <c r="F1224" s="1">
        <v>1480956</v>
      </c>
      <c r="G1224" s="4">
        <f t="shared" si="58"/>
        <v>365107.27987511235</v>
      </c>
      <c r="H1224" s="4">
        <f t="shared" si="59"/>
        <v>199562.67143527497</v>
      </c>
      <c r="I1224" s="17">
        <f t="shared" si="57"/>
        <v>0.45341360625968108</v>
      </c>
      <c r="J1224">
        <v>39.549999999999997</v>
      </c>
    </row>
    <row r="1225" spans="1:10" x14ac:dyDescent="0.25">
      <c r="A1225" t="s">
        <v>60</v>
      </c>
      <c r="B1225" t="s">
        <v>100</v>
      </c>
      <c r="C1225" t="s">
        <v>9</v>
      </c>
      <c r="D1225">
        <v>24.48</v>
      </c>
      <c r="E1225" s="1">
        <v>5562449</v>
      </c>
      <c r="F1225" s="1">
        <v>1361688</v>
      </c>
      <c r="G1225" s="4">
        <f t="shared" si="58"/>
        <v>1146201.3839625337</v>
      </c>
      <c r="H1225" s="4">
        <f t="shared" si="59"/>
        <v>674342.73848153185</v>
      </c>
      <c r="I1225" s="17">
        <f t="shared" si="57"/>
        <v>0.41167167662085608</v>
      </c>
      <c r="J1225">
        <v>25.16</v>
      </c>
    </row>
    <row r="1226" spans="1:10" x14ac:dyDescent="0.25">
      <c r="A1226" t="s">
        <v>61</v>
      </c>
      <c r="B1226" t="s">
        <v>100</v>
      </c>
      <c r="C1226" t="s">
        <v>9</v>
      </c>
      <c r="D1226">
        <v>12.08</v>
      </c>
      <c r="E1226" s="1">
        <v>9635402</v>
      </c>
      <c r="F1226" s="1">
        <v>1163957</v>
      </c>
      <c r="G1226" s="4">
        <f t="shared" si="58"/>
        <v>1297042.0151887601</v>
      </c>
      <c r="H1226" s="4">
        <f t="shared" si="59"/>
        <v>658175.21163469134</v>
      </c>
      <c r="I1226" s="17">
        <f t="shared" si="57"/>
        <v>0.49255675303709706</v>
      </c>
      <c r="J1226">
        <v>37.380000000000003</v>
      </c>
    </row>
    <row r="1227" spans="1:10" x14ac:dyDescent="0.25">
      <c r="A1227" t="s">
        <v>62</v>
      </c>
      <c r="B1227" t="s">
        <v>100</v>
      </c>
      <c r="C1227" t="s">
        <v>9</v>
      </c>
      <c r="D1227">
        <v>4.22</v>
      </c>
      <c r="E1227" s="1">
        <v>10647586</v>
      </c>
      <c r="F1227" s="1">
        <v>449328</v>
      </c>
      <c r="G1227" s="4">
        <f t="shared" si="58"/>
        <v>1203882.5045566279</v>
      </c>
      <c r="H1227" s="4">
        <f t="shared" si="59"/>
        <v>660622.04755907168</v>
      </c>
      <c r="I1227" s="17">
        <f t="shared" si="57"/>
        <v>0.45125704123230115</v>
      </c>
      <c r="J1227">
        <v>37.86</v>
      </c>
    </row>
    <row r="1228" spans="1:10" x14ac:dyDescent="0.25">
      <c r="A1228" t="s">
        <v>63</v>
      </c>
      <c r="B1228" t="s">
        <v>100</v>
      </c>
      <c r="C1228" t="s">
        <v>9</v>
      </c>
      <c r="D1228">
        <v>2.27</v>
      </c>
      <c r="E1228" s="1">
        <v>11241273</v>
      </c>
      <c r="F1228" s="1">
        <v>255177</v>
      </c>
      <c r="G1228" s="4">
        <f t="shared" si="58"/>
        <v>675694.35136698838</v>
      </c>
      <c r="H1228" s="4">
        <f t="shared" si="59"/>
        <v>459528.23754577158</v>
      </c>
      <c r="I1228" s="17">
        <f t="shared" si="57"/>
        <v>0.31991700594195283</v>
      </c>
      <c r="J1228">
        <v>39.11</v>
      </c>
    </row>
    <row r="1229" spans="1:10" x14ac:dyDescent="0.25">
      <c r="A1229" t="s">
        <v>64</v>
      </c>
      <c r="B1229" t="s">
        <v>100</v>
      </c>
      <c r="C1229" t="s">
        <v>9</v>
      </c>
      <c r="D1229">
        <v>1.48</v>
      </c>
      <c r="E1229" s="1">
        <v>11783094</v>
      </c>
      <c r="F1229" s="1">
        <v>174390</v>
      </c>
      <c r="G1229" s="4">
        <f t="shared" si="58"/>
        <v>381332.2054100965</v>
      </c>
      <c r="H1229" s="4">
        <f t="shared" si="59"/>
        <v>504611.7201754229</v>
      </c>
      <c r="I1229" s="17">
        <f t="shared" si="57"/>
        <v>-0.32328639704781237</v>
      </c>
      <c r="J1229">
        <v>40.6</v>
      </c>
    </row>
    <row r="1230" spans="1:10" x14ac:dyDescent="0.25">
      <c r="A1230" t="s">
        <v>65</v>
      </c>
      <c r="B1230" t="s">
        <v>100</v>
      </c>
      <c r="C1230" t="s">
        <v>9</v>
      </c>
      <c r="D1230">
        <v>2.0299999999999998</v>
      </c>
      <c r="E1230" s="1">
        <v>11162313</v>
      </c>
      <c r="F1230" s="1">
        <v>226595</v>
      </c>
      <c r="G1230" s="4">
        <f t="shared" si="58"/>
        <v>236472.66162302892</v>
      </c>
      <c r="H1230" s="4">
        <f t="shared" si="59"/>
        <v>512839.29241280514</v>
      </c>
      <c r="I1230" s="17">
        <f t="shared" si="57"/>
        <v>-1.1687043605503284</v>
      </c>
      <c r="J1230">
        <v>38.619999999999997</v>
      </c>
    </row>
    <row r="1231" spans="1:10" x14ac:dyDescent="0.25">
      <c r="A1231" t="s">
        <v>66</v>
      </c>
      <c r="B1231" t="s">
        <v>100</v>
      </c>
      <c r="C1231" t="s">
        <v>9</v>
      </c>
      <c r="D1231">
        <v>2.57</v>
      </c>
      <c r="E1231" s="1">
        <v>11743089</v>
      </c>
      <c r="F1231" s="1">
        <v>301797</v>
      </c>
      <c r="G1231" s="4">
        <f t="shared" si="58"/>
        <v>229558.29848690866</v>
      </c>
      <c r="H1231" s="4">
        <f t="shared" si="59"/>
        <v>270651.98279946198</v>
      </c>
      <c r="I1231" s="17">
        <f t="shared" si="57"/>
        <v>-0.17901197466358126</v>
      </c>
      <c r="J1231">
        <v>40.79</v>
      </c>
    </row>
    <row r="1232" spans="1:10" x14ac:dyDescent="0.25">
      <c r="A1232" t="s">
        <v>67</v>
      </c>
      <c r="B1232" t="s">
        <v>100</v>
      </c>
      <c r="C1232" t="s">
        <v>9</v>
      </c>
      <c r="D1232">
        <v>1.9</v>
      </c>
      <c r="E1232" s="1">
        <v>11664483</v>
      </c>
      <c r="F1232" s="1">
        <v>221625</v>
      </c>
      <c r="G1232" s="4">
        <f t="shared" si="58"/>
        <v>280125.38954607258</v>
      </c>
      <c r="H1232" s="4">
        <f t="shared" si="59"/>
        <v>126676.85210201998</v>
      </c>
      <c r="I1232" s="17">
        <f t="shared" si="57"/>
        <v>0.54778518181699731</v>
      </c>
      <c r="J1232">
        <v>40.17</v>
      </c>
    </row>
    <row r="1233" spans="1:10" x14ac:dyDescent="0.25">
      <c r="A1233" t="s">
        <v>68</v>
      </c>
      <c r="B1233" t="s">
        <v>100</v>
      </c>
      <c r="C1233" t="s">
        <v>9</v>
      </c>
      <c r="D1233">
        <v>0</v>
      </c>
      <c r="E1233" s="1">
        <v>12180483</v>
      </c>
      <c r="F1233">
        <v>0</v>
      </c>
      <c r="G1233" s="4">
        <f t="shared" si="58"/>
        <v>239175.11686382175</v>
      </c>
      <c r="H1233" s="4">
        <f t="shared" si="59"/>
        <v>53970.034193302738</v>
      </c>
      <c r="I1233" s="17">
        <f t="shared" si="57"/>
        <v>0.77434929309961853</v>
      </c>
      <c r="J1233">
        <v>41.09</v>
      </c>
    </row>
    <row r="1234" spans="1:10" x14ac:dyDescent="0.25">
      <c r="A1234" t="s">
        <v>69</v>
      </c>
      <c r="B1234" t="s">
        <v>100</v>
      </c>
      <c r="C1234" t="s">
        <v>9</v>
      </c>
      <c r="D1234">
        <v>2.81</v>
      </c>
      <c r="E1234" s="1">
        <v>11360784</v>
      </c>
      <c r="F1234" s="1">
        <v>319238</v>
      </c>
      <c r="G1234" s="4">
        <f t="shared" si="58"/>
        <v>71752.535059146525</v>
      </c>
      <c r="H1234" s="4">
        <f t="shared" si="59"/>
        <v>148150.21892228458</v>
      </c>
      <c r="I1234" s="17">
        <f t="shared" si="57"/>
        <v>-1.0647384625527512</v>
      </c>
      <c r="J1234">
        <v>39.369999999999997</v>
      </c>
    </row>
    <row r="1235" spans="1:10" x14ac:dyDescent="0.25">
      <c r="A1235" t="s">
        <v>70</v>
      </c>
      <c r="B1235" t="s">
        <v>100</v>
      </c>
      <c r="C1235" t="s">
        <v>9</v>
      </c>
      <c r="D1235">
        <v>2.33</v>
      </c>
      <c r="E1235" s="1">
        <v>11743139</v>
      </c>
      <c r="F1235" s="1">
        <v>273615</v>
      </c>
      <c r="G1235" s="4">
        <f t="shared" si="58"/>
        <v>244992.36051774395</v>
      </c>
      <c r="H1235" s="4">
        <f t="shared" si="59"/>
        <v>201557.34292491508</v>
      </c>
      <c r="I1235" s="17">
        <f t="shared" si="57"/>
        <v>0.17729131431297435</v>
      </c>
      <c r="J1235">
        <v>40.43</v>
      </c>
    </row>
    <row r="1236" spans="1:10" x14ac:dyDescent="0.25">
      <c r="A1236" t="s">
        <v>71</v>
      </c>
      <c r="B1236" t="s">
        <v>100</v>
      </c>
      <c r="C1236" t="s">
        <v>9</v>
      </c>
      <c r="D1236">
        <v>1.57</v>
      </c>
      <c r="E1236" s="1">
        <v>11590428</v>
      </c>
      <c r="F1236" s="1">
        <v>181970</v>
      </c>
      <c r="G1236" s="4">
        <f t="shared" si="58"/>
        <v>265028.20815532317</v>
      </c>
      <c r="H1236" s="4">
        <f t="shared" si="59"/>
        <v>199393.28589059395</v>
      </c>
      <c r="I1236" s="17">
        <f t="shared" si="57"/>
        <v>0.24765259034714915</v>
      </c>
      <c r="J1236">
        <v>39.53</v>
      </c>
    </row>
    <row r="1237" spans="1:10" x14ac:dyDescent="0.25">
      <c r="A1237" t="s">
        <v>72</v>
      </c>
      <c r="B1237" t="s">
        <v>100</v>
      </c>
      <c r="C1237" t="s">
        <v>9</v>
      </c>
      <c r="D1237">
        <v>2.09</v>
      </c>
      <c r="E1237" s="1">
        <v>12442733</v>
      </c>
      <c r="F1237" s="1">
        <v>260053</v>
      </c>
      <c r="G1237" s="4">
        <f t="shared" si="58"/>
        <v>206887.46244659694</v>
      </c>
      <c r="H1237" s="4">
        <f t="shared" si="59"/>
        <v>151621.21310455937</v>
      </c>
      <c r="I1237" s="17">
        <f t="shared" si="57"/>
        <v>0.26713194066220053</v>
      </c>
      <c r="J1237">
        <v>42.6</v>
      </c>
    </row>
    <row r="1238" spans="1:10" x14ac:dyDescent="0.25">
      <c r="A1238" t="s">
        <v>73</v>
      </c>
      <c r="B1238" t="s">
        <v>100</v>
      </c>
      <c r="C1238" t="s">
        <v>9</v>
      </c>
      <c r="D1238">
        <v>6.67</v>
      </c>
      <c r="E1238" s="1">
        <v>10645430</v>
      </c>
      <c r="F1238" s="1">
        <v>710050</v>
      </c>
      <c r="G1238" s="4">
        <f t="shared" si="58"/>
        <v>244103.33873397906</v>
      </c>
      <c r="H1238" s="4">
        <f t="shared" si="59"/>
        <v>59286.018071285871</v>
      </c>
      <c r="I1238" s="17">
        <f t="shared" si="57"/>
        <v>0.75712737736907776</v>
      </c>
      <c r="J1238">
        <v>38.17</v>
      </c>
    </row>
    <row r="1239" spans="1:10" x14ac:dyDescent="0.25">
      <c r="A1239" t="s">
        <v>74</v>
      </c>
      <c r="B1239" t="s">
        <v>100</v>
      </c>
      <c r="C1239" t="s">
        <v>9</v>
      </c>
      <c r="D1239">
        <v>3.23</v>
      </c>
      <c r="E1239" s="1">
        <v>11222024</v>
      </c>
      <c r="F1239" s="1">
        <v>362471</v>
      </c>
      <c r="G1239" s="4">
        <f t="shared" si="58"/>
        <v>570266.00162019371</v>
      </c>
      <c r="H1239" s="4">
        <f t="shared" si="59"/>
        <v>274973.6541745211</v>
      </c>
      <c r="I1239" s="17">
        <f t="shared" si="57"/>
        <v>0.51781510138551456</v>
      </c>
      <c r="J1239">
        <v>38.75</v>
      </c>
    </row>
    <row r="1240" spans="1:10" x14ac:dyDescent="0.25">
      <c r="A1240" t="s">
        <v>75</v>
      </c>
      <c r="B1240" t="s">
        <v>100</v>
      </c>
      <c r="C1240" t="s">
        <v>9</v>
      </c>
      <c r="D1240">
        <v>1.03</v>
      </c>
      <c r="E1240" s="1">
        <v>12244563</v>
      </c>
      <c r="F1240" s="1">
        <v>126119</v>
      </c>
      <c r="G1240" s="4">
        <f t="shared" si="58"/>
        <v>424809.50048605807</v>
      </c>
      <c r="H1240" s="4">
        <f t="shared" si="59"/>
        <v>296148.40211546567</v>
      </c>
      <c r="I1240" s="17">
        <f t="shared" si="57"/>
        <v>0.30286775183554299</v>
      </c>
      <c r="J1240">
        <v>41.28</v>
      </c>
    </row>
    <row r="1241" spans="1:10" x14ac:dyDescent="0.25">
      <c r="A1241" t="s">
        <v>76</v>
      </c>
      <c r="B1241" t="s">
        <v>100</v>
      </c>
      <c r="C1241" t="s">
        <v>9</v>
      </c>
      <c r="D1241">
        <v>2.35</v>
      </c>
      <c r="E1241" s="1">
        <v>11856634</v>
      </c>
      <c r="F1241" s="1">
        <v>278631</v>
      </c>
      <c r="G1241" s="4">
        <f t="shared" si="58"/>
        <v>215726.1501458174</v>
      </c>
      <c r="H1241" s="4">
        <f t="shared" si="59"/>
        <v>341321.48527153512</v>
      </c>
      <c r="I1241" s="17">
        <f t="shared" si="57"/>
        <v>-0.58219800910007025</v>
      </c>
      <c r="J1241">
        <v>40.44</v>
      </c>
    </row>
    <row r="1242" spans="1:10" x14ac:dyDescent="0.25">
      <c r="A1242" t="s">
        <v>77</v>
      </c>
      <c r="B1242" t="s">
        <v>100</v>
      </c>
      <c r="C1242" t="s">
        <v>9</v>
      </c>
      <c r="D1242">
        <v>2.89</v>
      </c>
      <c r="E1242" s="1">
        <v>11142084</v>
      </c>
      <c r="F1242" s="1">
        <v>322006</v>
      </c>
      <c r="G1242" s="4">
        <f t="shared" si="58"/>
        <v>259759.54504374519</v>
      </c>
      <c r="H1242" s="4">
        <f t="shared" si="59"/>
        <v>213191.46161304976</v>
      </c>
      <c r="I1242" s="17">
        <f t="shared" si="57"/>
        <v>0.17927381041129045</v>
      </c>
      <c r="J1242">
        <v>38.159999999999997</v>
      </c>
    </row>
    <row r="1243" spans="1:10" x14ac:dyDescent="0.25">
      <c r="A1243" t="s">
        <v>78</v>
      </c>
      <c r="B1243" t="s">
        <v>100</v>
      </c>
      <c r="C1243" t="s">
        <v>9</v>
      </c>
      <c r="D1243">
        <v>1.01</v>
      </c>
      <c r="E1243" s="1">
        <v>11909682</v>
      </c>
      <c r="F1243" s="1">
        <v>120288</v>
      </c>
      <c r="G1243" s="4">
        <f t="shared" si="58"/>
        <v>303332.06351312355</v>
      </c>
      <c r="H1243" s="4">
        <f t="shared" si="59"/>
        <v>179858.88576919609</v>
      </c>
      <c r="I1243" s="17">
        <f t="shared" si="57"/>
        <v>0.40705613614956809</v>
      </c>
      <c r="J1243">
        <v>39.950000000000003</v>
      </c>
    </row>
    <row r="1244" spans="1:10" x14ac:dyDescent="0.25">
      <c r="A1244" t="s">
        <v>79</v>
      </c>
      <c r="B1244" t="s">
        <v>100</v>
      </c>
      <c r="C1244" t="s">
        <v>9</v>
      </c>
      <c r="D1244">
        <v>0.46</v>
      </c>
      <c r="E1244" s="1">
        <v>12791598</v>
      </c>
      <c r="F1244" s="1">
        <v>58841</v>
      </c>
      <c r="G1244" s="4">
        <f t="shared" si="58"/>
        <v>175201.21905393706</v>
      </c>
      <c r="H1244" s="4">
        <f t="shared" si="59"/>
        <v>117383.65939260133</v>
      </c>
      <c r="I1244" s="17">
        <f t="shared" si="57"/>
        <v>0.33000660596737141</v>
      </c>
      <c r="J1244">
        <v>42.6</v>
      </c>
    </row>
    <row r="1245" spans="1:10" x14ac:dyDescent="0.25">
      <c r="A1245" t="s">
        <v>80</v>
      </c>
      <c r="B1245" t="s">
        <v>100</v>
      </c>
      <c r="C1245" t="s">
        <v>9</v>
      </c>
      <c r="D1245">
        <v>1.59</v>
      </c>
      <c r="E1245" s="1">
        <v>12250306</v>
      </c>
      <c r="F1245" s="1">
        <v>194780</v>
      </c>
      <c r="G1245" s="4">
        <f t="shared" si="58"/>
        <v>93749.065716181125</v>
      </c>
      <c r="H1245" s="4">
        <f t="shared" si="59"/>
        <v>130281.04354343303</v>
      </c>
      <c r="I1245" s="17">
        <f t="shared" si="57"/>
        <v>-0.38967831357221161</v>
      </c>
      <c r="J1245">
        <v>41.2</v>
      </c>
    </row>
    <row r="1246" spans="1:10" x14ac:dyDescent="0.25">
      <c r="A1246" t="s">
        <v>81</v>
      </c>
      <c r="B1246" t="s">
        <v>100</v>
      </c>
      <c r="C1246" t="s">
        <v>9</v>
      </c>
      <c r="D1246">
        <v>1.48</v>
      </c>
      <c r="E1246" s="1">
        <v>11737036</v>
      </c>
      <c r="F1246" s="1">
        <v>173708</v>
      </c>
      <c r="G1246" s="4">
        <f t="shared" si="58"/>
        <v>164470.71971485435</v>
      </c>
      <c r="H1246" s="4">
        <f t="shared" si="59"/>
        <v>138144.94736560577</v>
      </c>
      <c r="I1246" s="17">
        <f t="shared" si="57"/>
        <v>0.16006358089081155</v>
      </c>
      <c r="J1246">
        <v>39.369999999999997</v>
      </c>
    </row>
    <row r="1247" spans="1:10" x14ac:dyDescent="0.25">
      <c r="A1247" t="s">
        <v>82</v>
      </c>
      <c r="B1247" t="s">
        <v>100</v>
      </c>
      <c r="C1247" t="s">
        <v>9</v>
      </c>
      <c r="D1247">
        <v>0.92</v>
      </c>
      <c r="E1247" s="1">
        <v>12739531</v>
      </c>
      <c r="F1247" s="1">
        <v>117204</v>
      </c>
      <c r="G1247" s="4">
        <f t="shared" si="58"/>
        <v>170936.8159144563</v>
      </c>
      <c r="H1247" s="4">
        <f t="shared" si="59"/>
        <v>89129.638930432659</v>
      </c>
      <c r="I1247" s="17">
        <f t="shared" si="57"/>
        <v>0.47858137842560061</v>
      </c>
      <c r="J1247">
        <v>42.43</v>
      </c>
    </row>
    <row r="1248" spans="1:10" x14ac:dyDescent="0.25">
      <c r="A1248" t="s">
        <v>83</v>
      </c>
      <c r="B1248" t="s">
        <v>100</v>
      </c>
      <c r="C1248" t="s">
        <v>9</v>
      </c>
      <c r="D1248">
        <v>11.35</v>
      </c>
      <c r="E1248" s="1">
        <v>10998085</v>
      </c>
      <c r="F1248" s="1">
        <v>1248283</v>
      </c>
      <c r="G1248" s="4">
        <f t="shared" si="58"/>
        <v>133323.84477433687</v>
      </c>
      <c r="H1248" s="4">
        <f t="shared" si="59"/>
        <v>66281.703195337701</v>
      </c>
      <c r="I1248" s="17">
        <f t="shared" si="57"/>
        <v>0.50285184688811135</v>
      </c>
      <c r="J1248">
        <v>40.869999999999997</v>
      </c>
    </row>
    <row r="1249" spans="1:10" x14ac:dyDescent="0.25">
      <c r="A1249" t="s">
        <v>84</v>
      </c>
      <c r="B1249" t="s">
        <v>100</v>
      </c>
      <c r="C1249" t="s">
        <v>9</v>
      </c>
      <c r="D1249">
        <v>1.18</v>
      </c>
      <c r="E1249" s="1">
        <v>12457444</v>
      </c>
      <c r="F1249" s="1">
        <v>146998</v>
      </c>
      <c r="G1249" s="4">
        <f t="shared" si="58"/>
        <v>913795.25343230099</v>
      </c>
      <c r="H1249" s="4">
        <f t="shared" si="59"/>
        <v>644491.13277445175</v>
      </c>
      <c r="I1249" s="17">
        <f t="shared" si="57"/>
        <v>0.29470947638031342</v>
      </c>
      <c r="J1249">
        <v>41.46</v>
      </c>
    </row>
    <row r="1250" spans="1:10" x14ac:dyDescent="0.25">
      <c r="A1250" t="s">
        <v>7</v>
      </c>
      <c r="B1250" t="s">
        <v>101</v>
      </c>
      <c r="C1250" t="s">
        <v>9</v>
      </c>
      <c r="D1250">
        <v>3.59</v>
      </c>
      <c r="E1250" s="1">
        <v>177259</v>
      </c>
      <c r="F1250" s="1">
        <v>6364</v>
      </c>
      <c r="G1250" s="4">
        <f t="shared" si="58"/>
        <v>377037.17602969025</v>
      </c>
      <c r="H1250" s="4">
        <f t="shared" si="59"/>
        <v>781877.90206206788</v>
      </c>
      <c r="I1250" s="17">
        <f t="shared" si="57"/>
        <v>-1.0737421977733514</v>
      </c>
      <c r="J1250">
        <v>52</v>
      </c>
    </row>
    <row r="1251" spans="1:10" x14ac:dyDescent="0.25">
      <c r="A1251" t="s">
        <v>10</v>
      </c>
      <c r="B1251" t="s">
        <v>101</v>
      </c>
      <c r="C1251" t="s">
        <v>9</v>
      </c>
      <c r="D1251">
        <v>6.19</v>
      </c>
      <c r="E1251" s="1">
        <v>178672</v>
      </c>
      <c r="F1251" s="1">
        <v>11060</v>
      </c>
      <c r="G1251" s="4">
        <f t="shared" si="58"/>
        <v>117565.95280890708</v>
      </c>
      <c r="H1251" s="4">
        <f t="shared" si="59"/>
        <v>810043.32170585846</v>
      </c>
      <c r="I1251" s="17">
        <f t="shared" si="57"/>
        <v>-5.8901182897952724</v>
      </c>
      <c r="J1251">
        <v>53.71</v>
      </c>
    </row>
    <row r="1252" spans="1:10" x14ac:dyDescent="0.25">
      <c r="A1252" t="s">
        <v>11</v>
      </c>
      <c r="B1252" t="s">
        <v>101</v>
      </c>
      <c r="C1252" t="s">
        <v>9</v>
      </c>
      <c r="D1252">
        <v>7.77</v>
      </c>
      <c r="E1252" s="1">
        <v>166074</v>
      </c>
      <c r="F1252" s="1">
        <v>12904</v>
      </c>
      <c r="G1252" s="4">
        <f t="shared" si="58"/>
        <v>43011.785842672121</v>
      </c>
      <c r="H1252" s="4">
        <f t="shared" si="59"/>
        <v>495553.61273461668</v>
      </c>
      <c r="I1252" s="17">
        <f t="shared" si="57"/>
        <v>-10.521344743676661</v>
      </c>
      <c r="J1252">
        <v>50.61</v>
      </c>
    </row>
    <row r="1253" spans="1:10" x14ac:dyDescent="0.25">
      <c r="A1253" t="s">
        <v>12</v>
      </c>
      <c r="B1253" t="s">
        <v>101</v>
      </c>
      <c r="C1253" t="s">
        <v>9</v>
      </c>
      <c r="D1253">
        <v>3.05</v>
      </c>
      <c r="E1253" s="1">
        <v>187758</v>
      </c>
      <c r="F1253" s="1">
        <v>5727</v>
      </c>
      <c r="G1253" s="4">
        <f t="shared" si="58"/>
        <v>21936.335752801635</v>
      </c>
      <c r="H1253" s="4">
        <f t="shared" si="59"/>
        <v>223344.72621190996</v>
      </c>
      <c r="I1253" s="17">
        <f t="shared" si="57"/>
        <v>-9.181496523793184</v>
      </c>
      <c r="J1253">
        <v>54.27</v>
      </c>
    </row>
    <row r="1254" spans="1:10" x14ac:dyDescent="0.25">
      <c r="A1254" t="s">
        <v>13</v>
      </c>
      <c r="B1254" t="s">
        <v>101</v>
      </c>
      <c r="C1254" t="s">
        <v>9</v>
      </c>
      <c r="D1254">
        <v>3.09</v>
      </c>
      <c r="E1254" s="1">
        <v>171680</v>
      </c>
      <c r="F1254" s="1">
        <v>5305</v>
      </c>
      <c r="G1254" s="4">
        <f t="shared" si="58"/>
        <v>10589.80072584049</v>
      </c>
      <c r="H1254" s="4">
        <f t="shared" si="59"/>
        <v>64582.606837105406</v>
      </c>
      <c r="I1254" s="17">
        <f t="shared" si="57"/>
        <v>-5.098566772792565</v>
      </c>
      <c r="J1254">
        <v>49.49</v>
      </c>
    </row>
    <row r="1255" spans="1:10" x14ac:dyDescent="0.25">
      <c r="A1255" t="s">
        <v>14</v>
      </c>
      <c r="B1255" t="s">
        <v>101</v>
      </c>
      <c r="C1255" t="s">
        <v>9</v>
      </c>
      <c r="D1255">
        <v>3.68</v>
      </c>
      <c r="E1255" s="1">
        <v>171119</v>
      </c>
      <c r="F1255" s="1">
        <v>6297</v>
      </c>
      <c r="G1255" s="4">
        <f t="shared" si="58"/>
        <v>6890.4402177521461</v>
      </c>
      <c r="H1255" s="4">
        <f t="shared" si="59"/>
        <v>19976.239657879436</v>
      </c>
      <c r="I1255" s="17">
        <f t="shared" si="57"/>
        <v>-1.8991238624222826</v>
      </c>
      <c r="J1255">
        <v>49.48</v>
      </c>
    </row>
    <row r="1256" spans="1:10" x14ac:dyDescent="0.25">
      <c r="A1256" t="s">
        <v>15</v>
      </c>
      <c r="B1256" t="s">
        <v>101</v>
      </c>
      <c r="C1256" t="s">
        <v>9</v>
      </c>
      <c r="D1256">
        <v>6.29</v>
      </c>
      <c r="E1256" s="1">
        <v>165938</v>
      </c>
      <c r="F1256" s="1">
        <v>10438</v>
      </c>
      <c r="G1256" s="4">
        <f t="shared" si="58"/>
        <v>6475.032065325644</v>
      </c>
      <c r="H1256" s="4">
        <f t="shared" si="59"/>
        <v>9849.2614875590752</v>
      </c>
      <c r="I1256" s="17">
        <f t="shared" si="57"/>
        <v>-0.52111393243945792</v>
      </c>
      <c r="J1256">
        <v>49.16</v>
      </c>
    </row>
    <row r="1257" spans="1:10" x14ac:dyDescent="0.25">
      <c r="A1257" t="s">
        <v>16</v>
      </c>
      <c r="B1257" t="s">
        <v>101</v>
      </c>
      <c r="C1257" t="s">
        <v>9</v>
      </c>
      <c r="D1257">
        <v>3.33</v>
      </c>
      <c r="E1257" s="1">
        <v>190530</v>
      </c>
      <c r="F1257" s="1">
        <v>6345</v>
      </c>
      <c r="G1257" s="4">
        <f t="shared" si="58"/>
        <v>9249.1096195976934</v>
      </c>
      <c r="H1257" s="4">
        <f t="shared" si="59"/>
        <v>3829.1167325788952</v>
      </c>
      <c r="I1257" s="17">
        <f t="shared" si="57"/>
        <v>0.5860015839291729</v>
      </c>
      <c r="J1257">
        <v>54.55</v>
      </c>
    </row>
    <row r="1258" spans="1:10" x14ac:dyDescent="0.25">
      <c r="A1258" t="s">
        <v>17</v>
      </c>
      <c r="B1258" t="s">
        <v>101</v>
      </c>
      <c r="C1258" t="s">
        <v>9</v>
      </c>
      <c r="D1258">
        <v>2.2200000000000002</v>
      </c>
      <c r="E1258" s="1">
        <v>190426</v>
      </c>
      <c r="F1258" s="1">
        <v>4227</v>
      </c>
      <c r="G1258" s="4">
        <f t="shared" si="58"/>
        <v>7216.232885879308</v>
      </c>
      <c r="H1258" s="4">
        <f t="shared" si="59"/>
        <v>2857.2211923442155</v>
      </c>
      <c r="I1258" s="17">
        <f t="shared" si="57"/>
        <v>0.6040564048403686</v>
      </c>
      <c r="J1258">
        <v>53.73</v>
      </c>
    </row>
    <row r="1259" spans="1:10" x14ac:dyDescent="0.25">
      <c r="A1259" t="s">
        <v>18</v>
      </c>
      <c r="B1259" t="s">
        <v>101</v>
      </c>
      <c r="C1259" t="s">
        <v>9</v>
      </c>
      <c r="D1259">
        <v>2.71</v>
      </c>
      <c r="E1259" s="1">
        <v>193504</v>
      </c>
      <c r="F1259" s="1">
        <v>5244</v>
      </c>
      <c r="G1259" s="4">
        <f t="shared" si="58"/>
        <v>5123.769865763792</v>
      </c>
      <c r="H1259" s="4">
        <f t="shared" si="59"/>
        <v>3320.365480883057</v>
      </c>
      <c r="I1259" s="17">
        <f t="shared" si="57"/>
        <v>0.35196826401802189</v>
      </c>
      <c r="J1259">
        <v>54.7</v>
      </c>
    </row>
    <row r="1260" spans="1:10" x14ac:dyDescent="0.25">
      <c r="A1260" t="s">
        <v>19</v>
      </c>
      <c r="B1260" t="s">
        <v>101</v>
      </c>
      <c r="C1260" t="s">
        <v>9</v>
      </c>
      <c r="D1260">
        <v>2.73</v>
      </c>
      <c r="E1260" s="1">
        <v>171748</v>
      </c>
      <c r="F1260" s="1">
        <v>4689</v>
      </c>
      <c r="G1260" s="4">
        <f t="shared" si="58"/>
        <v>5207.9309597291376</v>
      </c>
      <c r="H1260" s="4">
        <f t="shared" si="59"/>
        <v>2407.1990094880434</v>
      </c>
      <c r="I1260" s="17">
        <f t="shared" si="57"/>
        <v>0.53778208119463222</v>
      </c>
      <c r="J1260">
        <v>48.41</v>
      </c>
    </row>
    <row r="1261" spans="1:10" x14ac:dyDescent="0.25">
      <c r="A1261" t="s">
        <v>20</v>
      </c>
      <c r="B1261" t="s">
        <v>101</v>
      </c>
      <c r="C1261" t="s">
        <v>9</v>
      </c>
      <c r="D1261">
        <v>2.38</v>
      </c>
      <c r="E1261" s="1">
        <v>204375</v>
      </c>
      <c r="F1261" s="1">
        <v>4864</v>
      </c>
      <c r="G1261" s="4">
        <f t="shared" si="58"/>
        <v>4844.6792879187415</v>
      </c>
      <c r="H1261" s="4">
        <f t="shared" si="59"/>
        <v>1753.0219500590208</v>
      </c>
      <c r="I1261" s="17">
        <f t="shared" si="57"/>
        <v>0.63815521195994096</v>
      </c>
      <c r="J1261">
        <v>57.22</v>
      </c>
    </row>
    <row r="1262" spans="1:10" x14ac:dyDescent="0.25">
      <c r="A1262" t="s">
        <v>21</v>
      </c>
      <c r="B1262" t="s">
        <v>101</v>
      </c>
      <c r="C1262" t="s">
        <v>9</v>
      </c>
      <c r="D1262">
        <v>0.64</v>
      </c>
      <c r="E1262" s="1">
        <v>184111</v>
      </c>
      <c r="F1262" s="1">
        <v>1178</v>
      </c>
      <c r="G1262" s="4">
        <f t="shared" si="58"/>
        <v>4858.2037863756223</v>
      </c>
      <c r="H1262" s="4">
        <f t="shared" si="59"/>
        <v>307.74335414388577</v>
      </c>
      <c r="I1262" s="17">
        <f t="shared" si="57"/>
        <v>0.9366549103998224</v>
      </c>
      <c r="J1262">
        <v>50.48</v>
      </c>
    </row>
    <row r="1263" spans="1:10" x14ac:dyDescent="0.25">
      <c r="A1263" t="s">
        <v>22</v>
      </c>
      <c r="B1263" t="s">
        <v>101</v>
      </c>
      <c r="C1263" t="s">
        <v>9</v>
      </c>
      <c r="D1263">
        <v>1</v>
      </c>
      <c r="E1263" s="1">
        <v>193273</v>
      </c>
      <c r="F1263" s="1">
        <v>1933</v>
      </c>
      <c r="G1263" s="4">
        <f t="shared" si="58"/>
        <v>2282.0611359126865</v>
      </c>
      <c r="H1263" s="4">
        <f t="shared" si="59"/>
        <v>2145.8147279556542</v>
      </c>
      <c r="I1263" s="17">
        <f t="shared" si="57"/>
        <v>5.9703224340894763E-2</v>
      </c>
      <c r="J1263">
        <v>53.03</v>
      </c>
    </row>
    <row r="1264" spans="1:10" x14ac:dyDescent="0.25">
      <c r="A1264" t="s">
        <v>23</v>
      </c>
      <c r="B1264" t="s">
        <v>101</v>
      </c>
      <c r="C1264" t="s">
        <v>9</v>
      </c>
      <c r="D1264">
        <v>2.2200000000000002</v>
      </c>
      <c r="E1264" s="1">
        <v>166357</v>
      </c>
      <c r="F1264" s="1">
        <v>3693</v>
      </c>
      <c r="G1264" s="4">
        <f t="shared" si="58"/>
        <v>2037.7183407738057</v>
      </c>
      <c r="H1264" s="4">
        <f t="shared" si="59"/>
        <v>2134.3318139231496</v>
      </c>
      <c r="I1264" s="17">
        <f t="shared" si="57"/>
        <v>-4.741257474899882E-2</v>
      </c>
      <c r="J1264">
        <v>46.08</v>
      </c>
    </row>
    <row r="1265" spans="1:10" x14ac:dyDescent="0.25">
      <c r="A1265" t="s">
        <v>24</v>
      </c>
      <c r="B1265" t="s">
        <v>101</v>
      </c>
      <c r="C1265" t="s">
        <v>9</v>
      </c>
      <c r="D1265">
        <v>6.58</v>
      </c>
      <c r="E1265" s="1">
        <v>188517</v>
      </c>
      <c r="F1265" s="1">
        <v>12404</v>
      </c>
      <c r="G1265" s="4">
        <f t="shared" si="58"/>
        <v>3196.4155022321415</v>
      </c>
      <c r="H1265" s="4">
        <f t="shared" si="59"/>
        <v>2338.4967363122223</v>
      </c>
      <c r="I1265" s="17">
        <f t="shared" si="57"/>
        <v>0.26840026439641901</v>
      </c>
      <c r="J1265">
        <v>54.48</v>
      </c>
    </row>
    <row r="1266" spans="1:10" x14ac:dyDescent="0.25">
      <c r="A1266" t="s">
        <v>25</v>
      </c>
      <c r="B1266" t="s">
        <v>101</v>
      </c>
      <c r="C1266" t="s">
        <v>9</v>
      </c>
      <c r="D1266">
        <v>1.33</v>
      </c>
      <c r="E1266" s="1">
        <v>184539</v>
      </c>
      <c r="F1266" s="1">
        <v>2454</v>
      </c>
      <c r="G1266" s="4">
        <f t="shared" si="58"/>
        <v>9641.7246506696411</v>
      </c>
      <c r="H1266" s="4">
        <f t="shared" si="59"/>
        <v>5404.9795969861671</v>
      </c>
      <c r="I1266" s="17">
        <f t="shared" si="57"/>
        <v>0.43941776053407849</v>
      </c>
      <c r="J1266">
        <v>50.34</v>
      </c>
    </row>
    <row r="1267" spans="1:10" x14ac:dyDescent="0.25">
      <c r="A1267" t="s">
        <v>26</v>
      </c>
      <c r="B1267" t="s">
        <v>101</v>
      </c>
      <c r="C1267" t="s">
        <v>9</v>
      </c>
      <c r="D1267">
        <v>0.57999999999999996</v>
      </c>
      <c r="E1267" s="1">
        <v>183143</v>
      </c>
      <c r="F1267" s="1">
        <v>1062</v>
      </c>
      <c r="G1267" s="4">
        <f t="shared" si="58"/>
        <v>4610.317395200892</v>
      </c>
      <c r="H1267" s="4">
        <f t="shared" si="59"/>
        <v>6811.3374924643012</v>
      </c>
      <c r="I1267" s="17">
        <f t="shared" si="57"/>
        <v>-0.47741183710140223</v>
      </c>
      <c r="J1267">
        <v>49.43</v>
      </c>
    </row>
    <row r="1268" spans="1:10" x14ac:dyDescent="0.25">
      <c r="A1268" t="s">
        <v>27</v>
      </c>
      <c r="B1268" t="s">
        <v>101</v>
      </c>
      <c r="C1268" t="s">
        <v>9</v>
      </c>
      <c r="D1268">
        <v>3.76</v>
      </c>
      <c r="E1268" s="1">
        <v>158472</v>
      </c>
      <c r="F1268" s="1">
        <v>5959</v>
      </c>
      <c r="G1268" s="4">
        <f t="shared" si="58"/>
        <v>2126.4952185602674</v>
      </c>
      <c r="H1268" s="4">
        <f t="shared" si="59"/>
        <v>7048.2516573134226</v>
      </c>
      <c r="I1268" s="17">
        <f t="shared" si="57"/>
        <v>-2.3144921257266708</v>
      </c>
      <c r="J1268">
        <v>44.04</v>
      </c>
    </row>
    <row r="1269" spans="1:10" x14ac:dyDescent="0.25">
      <c r="A1269" t="s">
        <v>28</v>
      </c>
      <c r="B1269" t="s">
        <v>101</v>
      </c>
      <c r="C1269" t="s">
        <v>9</v>
      </c>
      <c r="D1269">
        <v>5.92</v>
      </c>
      <c r="E1269" s="1">
        <v>180721</v>
      </c>
      <c r="F1269" s="1">
        <v>10699</v>
      </c>
      <c r="G1269" s="4">
        <f t="shared" si="58"/>
        <v>4809.2485655680803</v>
      </c>
      <c r="H1269" s="4">
        <f t="shared" si="59"/>
        <v>5129.7184747536803</v>
      </c>
      <c r="I1269" s="17">
        <f t="shared" si="57"/>
        <v>-6.6636170872932485E-2</v>
      </c>
      <c r="J1269">
        <v>51.21</v>
      </c>
    </row>
    <row r="1270" spans="1:10" x14ac:dyDescent="0.25">
      <c r="A1270" t="s">
        <v>29</v>
      </c>
      <c r="B1270" t="s">
        <v>101</v>
      </c>
      <c r="C1270" t="s">
        <v>9</v>
      </c>
      <c r="D1270">
        <v>4.5199999999999996</v>
      </c>
      <c r="E1270" s="1">
        <v>167215</v>
      </c>
      <c r="F1270" s="1">
        <v>7558</v>
      </c>
      <c r="G1270" s="4">
        <f t="shared" si="58"/>
        <v>8932.0745696704234</v>
      </c>
      <c r="H1270" s="4">
        <f t="shared" si="59"/>
        <v>4544.8806803639527</v>
      </c>
      <c r="I1270" s="17">
        <f t="shared" si="57"/>
        <v>0.49117300298897415</v>
      </c>
      <c r="J1270">
        <v>46.55</v>
      </c>
    </row>
    <row r="1271" spans="1:10" x14ac:dyDescent="0.25">
      <c r="A1271" t="s">
        <v>30</v>
      </c>
      <c r="B1271" t="s">
        <v>101</v>
      </c>
      <c r="C1271" t="s">
        <v>9</v>
      </c>
      <c r="D1271">
        <v>1.67</v>
      </c>
      <c r="E1271" s="1">
        <v>190327</v>
      </c>
      <c r="F1271" s="1">
        <v>3178</v>
      </c>
      <c r="G1271" s="4">
        <f t="shared" si="58"/>
        <v>7970.2223709011269</v>
      </c>
      <c r="H1271" s="4">
        <f t="shared" si="59"/>
        <v>4133.8176778923635</v>
      </c>
      <c r="I1271" s="17">
        <f t="shared" si="57"/>
        <v>0.48134224046436647</v>
      </c>
      <c r="J1271">
        <v>51.28</v>
      </c>
    </row>
    <row r="1272" spans="1:10" x14ac:dyDescent="0.25">
      <c r="A1272" t="s">
        <v>31</v>
      </c>
      <c r="B1272" t="s">
        <v>101</v>
      </c>
      <c r="C1272" t="s">
        <v>9</v>
      </c>
      <c r="D1272">
        <v>3.08</v>
      </c>
      <c r="E1272" s="1">
        <v>151435</v>
      </c>
      <c r="F1272" s="1">
        <v>4664</v>
      </c>
      <c r="G1272" s="4">
        <f t="shared" si="58"/>
        <v>4615.6667112703381</v>
      </c>
      <c r="H1272" s="4">
        <f t="shared" si="59"/>
        <v>4455.0588523824254</v>
      </c>
      <c r="I1272" s="17">
        <f t="shared" si="57"/>
        <v>3.4796242652388065E-2</v>
      </c>
      <c r="J1272">
        <v>41.27</v>
      </c>
    </row>
    <row r="1273" spans="1:10" x14ac:dyDescent="0.25">
      <c r="A1273" t="s">
        <v>32</v>
      </c>
      <c r="B1273" t="s">
        <v>101</v>
      </c>
      <c r="C1273" t="s">
        <v>9</v>
      </c>
      <c r="D1273">
        <v>4.55</v>
      </c>
      <c r="E1273" s="1">
        <v>184865</v>
      </c>
      <c r="F1273" s="1">
        <v>8411</v>
      </c>
      <c r="G1273" s="4">
        <f t="shared" si="58"/>
        <v>4649.5000133811009</v>
      </c>
      <c r="H1273" s="4">
        <f t="shared" si="59"/>
        <v>2878.4146262586746</v>
      </c>
      <c r="I1273" s="17">
        <f t="shared" si="57"/>
        <v>0.3809195358695136</v>
      </c>
      <c r="J1273">
        <v>50.99</v>
      </c>
    </row>
    <row r="1274" spans="1:10" x14ac:dyDescent="0.25">
      <c r="A1274" t="s">
        <v>33</v>
      </c>
      <c r="B1274" t="s">
        <v>101</v>
      </c>
      <c r="C1274" t="s">
        <v>9</v>
      </c>
      <c r="D1274">
        <v>2.35</v>
      </c>
      <c r="E1274" s="1">
        <v>173751</v>
      </c>
      <c r="F1274" s="1">
        <v>4083</v>
      </c>
      <c r="G1274" s="4">
        <f t="shared" si="58"/>
        <v>7282.5500040143297</v>
      </c>
      <c r="H1274" s="4">
        <f t="shared" si="59"/>
        <v>3517.4144627504743</v>
      </c>
      <c r="I1274" s="17">
        <f t="shared" si="57"/>
        <v>0.51700785290707452</v>
      </c>
      <c r="J1274">
        <v>46.7</v>
      </c>
    </row>
    <row r="1275" spans="1:10" x14ac:dyDescent="0.25">
      <c r="A1275" t="s">
        <v>34</v>
      </c>
      <c r="B1275" t="s">
        <v>101</v>
      </c>
      <c r="C1275" t="s">
        <v>9</v>
      </c>
      <c r="D1275">
        <v>0</v>
      </c>
      <c r="E1275" s="1">
        <v>192899</v>
      </c>
      <c r="F1275">
        <v>0</v>
      </c>
      <c r="G1275" s="4">
        <f t="shared" si="58"/>
        <v>5042.8650012042981</v>
      </c>
      <c r="H1275" s="4">
        <f t="shared" si="59"/>
        <v>2851.2183643910021</v>
      </c>
      <c r="I1275" s="17">
        <f t="shared" si="57"/>
        <v>0.43460347169513835</v>
      </c>
      <c r="J1275">
        <v>50.49</v>
      </c>
    </row>
    <row r="1276" spans="1:10" x14ac:dyDescent="0.25">
      <c r="A1276" t="s">
        <v>35</v>
      </c>
      <c r="B1276" t="s">
        <v>101</v>
      </c>
      <c r="C1276" t="s">
        <v>9</v>
      </c>
      <c r="D1276">
        <v>1.98</v>
      </c>
      <c r="E1276" s="1">
        <v>153012</v>
      </c>
      <c r="F1276" s="1">
        <v>3030</v>
      </c>
      <c r="G1276" s="4">
        <f t="shared" si="58"/>
        <v>1512.8595003612893</v>
      </c>
      <c r="H1276" s="4">
        <f t="shared" si="59"/>
        <v>4074.984245282154</v>
      </c>
      <c r="I1276" s="17">
        <f t="shared" si="57"/>
        <v>-1.6935642366716792</v>
      </c>
      <c r="J1276">
        <v>40.729999999999997</v>
      </c>
    </row>
    <row r="1277" spans="1:10" x14ac:dyDescent="0.25">
      <c r="A1277" t="s">
        <v>36</v>
      </c>
      <c r="B1277" t="s">
        <v>101</v>
      </c>
      <c r="C1277" t="s">
        <v>9</v>
      </c>
      <c r="D1277">
        <v>1.68</v>
      </c>
      <c r="E1277" s="1">
        <v>193066</v>
      </c>
      <c r="F1277" s="1">
        <v>3244</v>
      </c>
      <c r="G1277" s="4">
        <f t="shared" si="58"/>
        <v>2574.8578501083866</v>
      </c>
      <c r="H1277" s="4">
        <f t="shared" si="59"/>
        <v>3557.5892091978676</v>
      </c>
      <c r="I1277" s="17">
        <f t="shared" si="57"/>
        <v>-0.38166431558468894</v>
      </c>
      <c r="J1277">
        <v>51.07</v>
      </c>
    </row>
    <row r="1278" spans="1:10" x14ac:dyDescent="0.25">
      <c r="A1278" t="s">
        <v>37</v>
      </c>
      <c r="B1278" t="s">
        <v>101</v>
      </c>
      <c r="C1278" t="s">
        <v>9</v>
      </c>
      <c r="D1278">
        <v>2.0699999999999998</v>
      </c>
      <c r="E1278" s="1">
        <v>182566</v>
      </c>
      <c r="F1278" s="1">
        <v>3779</v>
      </c>
      <c r="G1278" s="4">
        <f t="shared" si="58"/>
        <v>3043.2573550325155</v>
      </c>
      <c r="H1278" s="4">
        <f t="shared" si="59"/>
        <v>3064.8520319245863</v>
      </c>
      <c r="I1278" s="17">
        <f t="shared" si="57"/>
        <v>-7.0959088807788454E-3</v>
      </c>
      <c r="J1278">
        <v>48.33</v>
      </c>
    </row>
    <row r="1279" spans="1:10" x14ac:dyDescent="0.25">
      <c r="A1279" t="s">
        <v>38</v>
      </c>
      <c r="B1279" t="s">
        <v>101</v>
      </c>
      <c r="C1279" t="s">
        <v>9</v>
      </c>
      <c r="D1279">
        <v>0</v>
      </c>
      <c r="E1279" s="1">
        <v>193444</v>
      </c>
      <c r="F1279">
        <v>0</v>
      </c>
      <c r="G1279" s="4">
        <f t="shared" si="58"/>
        <v>3558.2772065097543</v>
      </c>
      <c r="H1279" s="4">
        <f t="shared" si="59"/>
        <v>1047.3432662423079</v>
      </c>
      <c r="I1279" s="17">
        <f t="shared" si="57"/>
        <v>0.70566001313044779</v>
      </c>
      <c r="J1279">
        <v>50</v>
      </c>
    </row>
    <row r="1280" spans="1:10" x14ac:dyDescent="0.25">
      <c r="A1280" t="s">
        <v>39</v>
      </c>
      <c r="B1280" t="s">
        <v>101</v>
      </c>
      <c r="C1280" t="s">
        <v>9</v>
      </c>
      <c r="D1280">
        <v>1.63</v>
      </c>
      <c r="E1280" s="1">
        <v>145394</v>
      </c>
      <c r="F1280" s="1">
        <v>2370</v>
      </c>
      <c r="G1280" s="4">
        <f t="shared" si="58"/>
        <v>1067.4831619529261</v>
      </c>
      <c r="H1280" s="4">
        <f t="shared" si="59"/>
        <v>2133.1045555521637</v>
      </c>
      <c r="I1280" s="17">
        <f t="shared" si="57"/>
        <v>-0.99825592719394041</v>
      </c>
      <c r="J1280">
        <v>38.08</v>
      </c>
    </row>
    <row r="1281" spans="1:10" x14ac:dyDescent="0.25">
      <c r="A1281" t="s">
        <v>40</v>
      </c>
      <c r="B1281" t="s">
        <v>101</v>
      </c>
      <c r="C1281" t="s">
        <v>9</v>
      </c>
      <c r="D1281">
        <v>0</v>
      </c>
      <c r="E1281" s="1">
        <v>185940</v>
      </c>
      <c r="F1281">
        <v>0</v>
      </c>
      <c r="G1281" s="4">
        <f t="shared" si="58"/>
        <v>1979.2449485858779</v>
      </c>
      <c r="H1281" s="4">
        <f t="shared" si="59"/>
        <v>2228.5424258460025</v>
      </c>
      <c r="I1281" s="17">
        <f t="shared" si="57"/>
        <v>-0.1259558486877744</v>
      </c>
      <c r="J1281">
        <v>47.76</v>
      </c>
    </row>
    <row r="1282" spans="1:10" x14ac:dyDescent="0.25">
      <c r="A1282" t="s">
        <v>41</v>
      </c>
      <c r="B1282" t="s">
        <v>101</v>
      </c>
      <c r="C1282" t="s">
        <v>9</v>
      </c>
      <c r="D1282">
        <v>3.29</v>
      </c>
      <c r="E1282" s="1">
        <v>168359</v>
      </c>
      <c r="F1282" s="1">
        <v>5539</v>
      </c>
      <c r="G1282" s="4">
        <f t="shared" si="58"/>
        <v>593.77348457576329</v>
      </c>
      <c r="H1282" s="4">
        <f t="shared" si="59"/>
        <v>2468.1502762369582</v>
      </c>
      <c r="I1282" s="17">
        <f t="shared" si="57"/>
        <v>-3.1567202651367832</v>
      </c>
      <c r="J1282">
        <v>44.57</v>
      </c>
    </row>
    <row r="1283" spans="1:10" x14ac:dyDescent="0.25">
      <c r="A1283" t="s">
        <v>42</v>
      </c>
      <c r="B1283" t="s">
        <v>101</v>
      </c>
      <c r="C1283" t="s">
        <v>9</v>
      </c>
      <c r="D1283">
        <v>0.56000000000000005</v>
      </c>
      <c r="E1283" s="1">
        <v>184553</v>
      </c>
      <c r="F1283" s="1">
        <v>1033</v>
      </c>
      <c r="G1283" s="4">
        <f t="shared" si="58"/>
        <v>4055.4320453727287</v>
      </c>
      <c r="H1283" s="4">
        <f t="shared" si="59"/>
        <v>3165.9240867269596</v>
      </c>
      <c r="I1283" s="17">
        <f t="shared" ref="I1283:I1346" si="60">(G1283-H1283)/G1283</f>
        <v>0.21933740935462173</v>
      </c>
      <c r="J1283">
        <v>47.37</v>
      </c>
    </row>
    <row r="1284" spans="1:10" x14ac:dyDescent="0.25">
      <c r="A1284" t="s">
        <v>43</v>
      </c>
      <c r="B1284" t="s">
        <v>101</v>
      </c>
      <c r="C1284" t="s">
        <v>9</v>
      </c>
      <c r="D1284">
        <v>0</v>
      </c>
      <c r="E1284" s="1">
        <v>136936</v>
      </c>
      <c r="F1284">
        <v>0</v>
      </c>
      <c r="G1284" s="4">
        <f t="shared" ref="G1284:G1347" si="61">0.7*F1283+0.3*G1283</f>
        <v>1939.7296136118184</v>
      </c>
      <c r="H1284" s="4">
        <f t="shared" si="59"/>
        <v>3535.900230693434</v>
      </c>
      <c r="I1284" s="17">
        <f t="shared" si="60"/>
        <v>-0.82288304817366342</v>
      </c>
      <c r="J1284">
        <v>34.840000000000003</v>
      </c>
    </row>
    <row r="1285" spans="1:10" x14ac:dyDescent="0.25">
      <c r="A1285" t="s">
        <v>44</v>
      </c>
      <c r="B1285" t="s">
        <v>101</v>
      </c>
      <c r="C1285" t="s">
        <v>9</v>
      </c>
      <c r="D1285">
        <v>0</v>
      </c>
      <c r="E1285" s="1">
        <v>192099</v>
      </c>
      <c r="F1285">
        <v>0</v>
      </c>
      <c r="G1285" s="4">
        <f t="shared" si="61"/>
        <v>581.91888408354555</v>
      </c>
      <c r="H1285" s="4">
        <f t="shared" si="59"/>
        <v>3528.5932858895089</v>
      </c>
      <c r="I1285" s="17">
        <f t="shared" si="60"/>
        <v>-5.0637201891920594</v>
      </c>
      <c r="J1285">
        <v>48.73</v>
      </c>
    </row>
    <row r="1286" spans="1:10" x14ac:dyDescent="0.25">
      <c r="A1286" t="s">
        <v>45</v>
      </c>
      <c r="B1286" t="s">
        <v>101</v>
      </c>
      <c r="C1286" t="s">
        <v>9</v>
      </c>
      <c r="D1286">
        <v>0.59</v>
      </c>
      <c r="E1286" s="1">
        <v>178714</v>
      </c>
      <c r="F1286" s="1">
        <v>1054</v>
      </c>
      <c r="G1286" s="4">
        <f t="shared" si="61"/>
        <v>174.57566522506366</v>
      </c>
      <c r="H1286" s="4">
        <f t="shared" ref="H1286:H1349" si="62">SQRT(SUMXMY2(F1283:F1285,G1283:G1285)/3)</f>
        <v>2100.4980385987565</v>
      </c>
      <c r="I1286" s="17">
        <f t="shared" si="60"/>
        <v>-11.032020819687474</v>
      </c>
      <c r="J1286">
        <v>45.45</v>
      </c>
    </row>
    <row r="1287" spans="1:10" x14ac:dyDescent="0.25">
      <c r="A1287" t="s">
        <v>46</v>
      </c>
      <c r="B1287" t="s">
        <v>101</v>
      </c>
      <c r="C1287" t="s">
        <v>9</v>
      </c>
      <c r="D1287">
        <v>0</v>
      </c>
      <c r="E1287" s="1">
        <v>186524</v>
      </c>
      <c r="F1287">
        <v>0</v>
      </c>
      <c r="G1287" s="4">
        <f t="shared" si="61"/>
        <v>790.17269956751909</v>
      </c>
      <c r="H1287" s="4">
        <f t="shared" si="62"/>
        <v>1274.6983593737032</v>
      </c>
      <c r="I1287" s="17">
        <f t="shared" si="60"/>
        <v>-0.61318957244584238</v>
      </c>
      <c r="J1287">
        <v>47.03</v>
      </c>
    </row>
    <row r="1288" spans="1:10" x14ac:dyDescent="0.25">
      <c r="A1288" t="s">
        <v>47</v>
      </c>
      <c r="B1288" t="s">
        <v>101</v>
      </c>
      <c r="C1288" t="s">
        <v>9</v>
      </c>
      <c r="D1288">
        <v>0.9</v>
      </c>
      <c r="E1288" s="1">
        <v>137636</v>
      </c>
      <c r="F1288" s="1">
        <v>1239</v>
      </c>
      <c r="G1288" s="4">
        <f t="shared" si="61"/>
        <v>237.05180987025571</v>
      </c>
      <c r="H1288" s="4">
        <f t="shared" si="62"/>
        <v>760.78679523004325</v>
      </c>
      <c r="I1288" s="17">
        <f t="shared" si="60"/>
        <v>-2.2093692752079832</v>
      </c>
      <c r="J1288">
        <v>34.909999999999997</v>
      </c>
    </row>
    <row r="1289" spans="1:10" x14ac:dyDescent="0.25">
      <c r="A1289" t="s">
        <v>48</v>
      </c>
      <c r="B1289" t="s">
        <v>101</v>
      </c>
      <c r="C1289" t="s">
        <v>9</v>
      </c>
      <c r="D1289">
        <v>0</v>
      </c>
      <c r="E1289" s="1">
        <v>188857</v>
      </c>
      <c r="F1289">
        <v>0</v>
      </c>
      <c r="G1289" s="4">
        <f t="shared" si="61"/>
        <v>938.41554296107665</v>
      </c>
      <c r="H1289" s="4">
        <f t="shared" si="62"/>
        <v>894.73650337970651</v>
      </c>
      <c r="I1289" s="17">
        <f t="shared" si="60"/>
        <v>4.6545520168544199E-2</v>
      </c>
      <c r="J1289">
        <v>47.32</v>
      </c>
    </row>
    <row r="1290" spans="1:10" x14ac:dyDescent="0.25">
      <c r="A1290" t="s">
        <v>49</v>
      </c>
      <c r="B1290" t="s">
        <v>101</v>
      </c>
      <c r="C1290" t="s">
        <v>9</v>
      </c>
      <c r="D1290">
        <v>0</v>
      </c>
      <c r="E1290" s="1">
        <v>172474</v>
      </c>
      <c r="F1290">
        <v>0</v>
      </c>
      <c r="G1290" s="4">
        <f t="shared" si="61"/>
        <v>281.52466288832301</v>
      </c>
      <c r="H1290" s="4">
        <f t="shared" si="62"/>
        <v>914.49381301297376</v>
      </c>
      <c r="I1290" s="17">
        <f t="shared" si="60"/>
        <v>-2.2483612754586297</v>
      </c>
      <c r="J1290">
        <v>43.08</v>
      </c>
    </row>
    <row r="1291" spans="1:10" x14ac:dyDescent="0.25">
      <c r="A1291" t="s">
        <v>50</v>
      </c>
      <c r="B1291" t="s">
        <v>101</v>
      </c>
      <c r="C1291" t="s">
        <v>9</v>
      </c>
      <c r="D1291">
        <v>0</v>
      </c>
      <c r="E1291" s="1">
        <v>184527</v>
      </c>
      <c r="F1291">
        <v>0</v>
      </c>
      <c r="G1291" s="4">
        <f t="shared" si="61"/>
        <v>84.457398866496902</v>
      </c>
      <c r="H1291" s="4">
        <f t="shared" si="62"/>
        <v>809.06943311221983</v>
      </c>
      <c r="I1291" s="17">
        <f t="shared" si="60"/>
        <v>-8.5796158059654228</v>
      </c>
      <c r="J1291">
        <v>45.95</v>
      </c>
    </row>
    <row r="1292" spans="1:10" x14ac:dyDescent="0.25">
      <c r="A1292" t="s">
        <v>51</v>
      </c>
      <c r="B1292" t="s">
        <v>101</v>
      </c>
      <c r="C1292" t="s">
        <v>9</v>
      </c>
      <c r="D1292">
        <v>0</v>
      </c>
      <c r="E1292" s="1">
        <v>139227</v>
      </c>
      <c r="F1292">
        <v>0</v>
      </c>
      <c r="G1292" s="4">
        <f t="shared" si="61"/>
        <v>25.337219659949071</v>
      </c>
      <c r="H1292" s="4">
        <f t="shared" si="62"/>
        <v>567.74786637162879</v>
      </c>
      <c r="I1292" s="17">
        <f t="shared" si="60"/>
        <v>-21.407662481968238</v>
      </c>
      <c r="J1292">
        <v>34.56</v>
      </c>
    </row>
    <row r="1293" spans="1:10" x14ac:dyDescent="0.25">
      <c r="A1293" t="s">
        <v>52</v>
      </c>
      <c r="B1293" t="s">
        <v>101</v>
      </c>
      <c r="C1293" t="s">
        <v>9</v>
      </c>
      <c r="D1293">
        <v>4.8499999999999996</v>
      </c>
      <c r="E1293" s="1">
        <v>183930</v>
      </c>
      <c r="F1293" s="1">
        <v>8921</v>
      </c>
      <c r="G1293" s="4">
        <f t="shared" si="61"/>
        <v>7.6011658979847212</v>
      </c>
      <c r="H1293" s="4">
        <f t="shared" si="62"/>
        <v>170.32435991148867</v>
      </c>
      <c r="I1293" s="17">
        <f t="shared" si="60"/>
        <v>-21.407662481968242</v>
      </c>
      <c r="J1293">
        <v>47.83</v>
      </c>
    </row>
    <row r="1294" spans="1:10" x14ac:dyDescent="0.25">
      <c r="A1294" t="s">
        <v>53</v>
      </c>
      <c r="B1294" t="s">
        <v>101</v>
      </c>
      <c r="C1294" t="s">
        <v>9</v>
      </c>
      <c r="D1294">
        <v>0</v>
      </c>
      <c r="E1294" s="1">
        <v>175718</v>
      </c>
      <c r="F1294">
        <v>0</v>
      </c>
      <c r="G1294" s="4">
        <f t="shared" si="61"/>
        <v>6246.9803497693956</v>
      </c>
      <c r="H1294" s="4">
        <f t="shared" si="62"/>
        <v>5146.40501718415</v>
      </c>
      <c r="I1294" s="17">
        <f t="shared" si="60"/>
        <v>0.17617717216380757</v>
      </c>
      <c r="J1294">
        <v>43.34</v>
      </c>
    </row>
    <row r="1295" spans="1:10" x14ac:dyDescent="0.25">
      <c r="A1295" t="s">
        <v>54</v>
      </c>
      <c r="B1295" t="s">
        <v>101</v>
      </c>
      <c r="C1295" t="s">
        <v>9</v>
      </c>
      <c r="D1295">
        <v>1.18</v>
      </c>
      <c r="E1295" s="1">
        <v>180283</v>
      </c>
      <c r="F1295" s="1">
        <v>2127</v>
      </c>
      <c r="G1295" s="4">
        <f t="shared" si="61"/>
        <v>1874.0941049308185</v>
      </c>
      <c r="H1295" s="4">
        <f t="shared" si="62"/>
        <v>6284.2152583775651</v>
      </c>
      <c r="I1295" s="17">
        <f t="shared" si="60"/>
        <v>-2.3532015504683232</v>
      </c>
      <c r="J1295">
        <v>44.85</v>
      </c>
    </row>
    <row r="1296" spans="1:10" x14ac:dyDescent="0.25">
      <c r="A1296" t="s">
        <v>55</v>
      </c>
      <c r="B1296" t="s">
        <v>101</v>
      </c>
      <c r="C1296" t="s">
        <v>9</v>
      </c>
      <c r="D1296">
        <v>0</v>
      </c>
      <c r="E1296" s="1">
        <v>142787</v>
      </c>
      <c r="F1296">
        <v>0</v>
      </c>
      <c r="G1296" s="4">
        <f t="shared" si="61"/>
        <v>2051.1282314792452</v>
      </c>
      <c r="H1296" s="4">
        <f t="shared" si="62"/>
        <v>6285.8943584806575</v>
      </c>
      <c r="I1296" s="17">
        <f t="shared" si="60"/>
        <v>-2.0646033056389448</v>
      </c>
      <c r="J1296">
        <v>35</v>
      </c>
    </row>
    <row r="1297" spans="1:10" x14ac:dyDescent="0.25">
      <c r="A1297" t="s">
        <v>56</v>
      </c>
      <c r="B1297" t="s">
        <v>101</v>
      </c>
      <c r="C1297" t="s">
        <v>9</v>
      </c>
      <c r="D1297">
        <v>1.99</v>
      </c>
      <c r="E1297" s="1">
        <v>180808</v>
      </c>
      <c r="F1297" s="1">
        <v>3598</v>
      </c>
      <c r="G1297" s="4">
        <f t="shared" si="61"/>
        <v>615.33846944377353</v>
      </c>
      <c r="H1297" s="4">
        <f t="shared" si="62"/>
        <v>3798.9407253486193</v>
      </c>
      <c r="I1297" s="17">
        <f t="shared" si="60"/>
        <v>-5.1737416300050567</v>
      </c>
      <c r="J1297">
        <v>45.07</v>
      </c>
    </row>
    <row r="1298" spans="1:10" x14ac:dyDescent="0.25">
      <c r="A1298" t="s">
        <v>57</v>
      </c>
      <c r="B1298" t="s">
        <v>101</v>
      </c>
      <c r="C1298" t="s">
        <v>9</v>
      </c>
      <c r="D1298">
        <v>0.57999999999999996</v>
      </c>
      <c r="E1298" s="1">
        <v>176252</v>
      </c>
      <c r="F1298" s="1">
        <v>1022</v>
      </c>
      <c r="G1298" s="4">
        <f t="shared" si="61"/>
        <v>2703.2015408331317</v>
      </c>
      <c r="H1298" s="4">
        <f t="shared" si="62"/>
        <v>2095.0225312704024</v>
      </c>
      <c r="I1298" s="17">
        <f t="shared" si="60"/>
        <v>0.22498470808628182</v>
      </c>
      <c r="J1298">
        <v>43.18</v>
      </c>
    </row>
    <row r="1299" spans="1:10" x14ac:dyDescent="0.25">
      <c r="A1299" t="s">
        <v>58</v>
      </c>
      <c r="B1299" t="s">
        <v>101</v>
      </c>
      <c r="C1299" t="s">
        <v>9</v>
      </c>
      <c r="D1299">
        <v>1.74</v>
      </c>
      <c r="E1299" s="1">
        <v>183619</v>
      </c>
      <c r="F1299" s="1">
        <v>3195</v>
      </c>
      <c r="G1299" s="4">
        <f t="shared" si="61"/>
        <v>1526.3604622499395</v>
      </c>
      <c r="H1299" s="4">
        <f t="shared" si="62"/>
        <v>2304.331822801777</v>
      </c>
      <c r="I1299" s="17">
        <f t="shared" si="60"/>
        <v>-0.50969045634545906</v>
      </c>
      <c r="J1299">
        <v>45.38</v>
      </c>
    </row>
    <row r="1300" spans="1:10" x14ac:dyDescent="0.25">
      <c r="A1300" t="s">
        <v>59</v>
      </c>
      <c r="B1300" t="s">
        <v>101</v>
      </c>
      <c r="C1300" t="s">
        <v>9</v>
      </c>
      <c r="D1300">
        <v>2.31</v>
      </c>
      <c r="E1300" s="1">
        <v>142176</v>
      </c>
      <c r="F1300" s="1">
        <v>3284</v>
      </c>
      <c r="G1300" s="4">
        <f t="shared" si="61"/>
        <v>2694.4081386749817</v>
      </c>
      <c r="H1300" s="4">
        <f t="shared" si="62"/>
        <v>2199.0199585044274</v>
      </c>
      <c r="I1300" s="17">
        <f t="shared" si="60"/>
        <v>0.18385788443103848</v>
      </c>
      <c r="J1300">
        <v>35.229999999999997</v>
      </c>
    </row>
    <row r="1301" spans="1:10" x14ac:dyDescent="0.25">
      <c r="A1301" t="s">
        <v>60</v>
      </c>
      <c r="B1301" t="s">
        <v>101</v>
      </c>
      <c r="C1301" t="s">
        <v>9</v>
      </c>
      <c r="D1301">
        <v>74.510000000000005</v>
      </c>
      <c r="E1301" s="1">
        <v>49420</v>
      </c>
      <c r="F1301" s="1">
        <v>36823</v>
      </c>
      <c r="G1301" s="4">
        <f t="shared" si="61"/>
        <v>3107.1224416024943</v>
      </c>
      <c r="H1301" s="4">
        <f t="shared" si="62"/>
        <v>1409.3042125795187</v>
      </c>
      <c r="I1301" s="17">
        <f t="shared" si="60"/>
        <v>0.54642784793100341</v>
      </c>
      <c r="J1301">
        <v>46.79</v>
      </c>
    </row>
    <row r="1302" spans="1:10" x14ac:dyDescent="0.25">
      <c r="A1302" t="s">
        <v>64</v>
      </c>
      <c r="B1302" t="s">
        <v>101</v>
      </c>
      <c r="C1302" t="s">
        <v>9</v>
      </c>
      <c r="D1302">
        <v>3.28</v>
      </c>
      <c r="E1302" s="1">
        <v>162881</v>
      </c>
      <c r="F1302" s="1">
        <v>5342</v>
      </c>
      <c r="G1302" s="4">
        <f t="shared" si="61"/>
        <v>26708.236732480746</v>
      </c>
      <c r="H1302" s="4">
        <f t="shared" si="62"/>
        <v>19492.668502138065</v>
      </c>
      <c r="I1302" s="17">
        <f t="shared" si="60"/>
        <v>0.27016265815734647</v>
      </c>
      <c r="J1302">
        <v>40.130000000000003</v>
      </c>
    </row>
    <row r="1303" spans="1:10" x14ac:dyDescent="0.25">
      <c r="A1303" t="s">
        <v>65</v>
      </c>
      <c r="B1303" t="s">
        <v>101</v>
      </c>
      <c r="C1303" t="s">
        <v>9</v>
      </c>
      <c r="D1303">
        <v>9.49</v>
      </c>
      <c r="E1303" s="1">
        <v>174562</v>
      </c>
      <c r="F1303" s="1">
        <v>16566</v>
      </c>
      <c r="G1303" s="4">
        <f t="shared" si="61"/>
        <v>11751.871019744223</v>
      </c>
      <c r="H1303" s="4">
        <f t="shared" si="62"/>
        <v>23047.950669594629</v>
      </c>
      <c r="I1303" s="17">
        <f t="shared" si="60"/>
        <v>-0.96121542100589374</v>
      </c>
      <c r="J1303">
        <v>45.82</v>
      </c>
    </row>
    <row r="1304" spans="1:10" x14ac:dyDescent="0.25">
      <c r="A1304" t="s">
        <v>66</v>
      </c>
      <c r="B1304" t="s">
        <v>101</v>
      </c>
      <c r="C1304" t="s">
        <v>9</v>
      </c>
      <c r="D1304">
        <v>7.84</v>
      </c>
      <c r="E1304" s="1">
        <v>153847</v>
      </c>
      <c r="F1304" s="1">
        <v>12062</v>
      </c>
      <c r="G1304" s="4">
        <f t="shared" si="61"/>
        <v>15121.761305923266</v>
      </c>
      <c r="H1304" s="4">
        <f t="shared" si="62"/>
        <v>23212.441416043828</v>
      </c>
      <c r="I1304" s="17">
        <f t="shared" si="60"/>
        <v>-0.53503556539749131</v>
      </c>
      <c r="J1304">
        <v>39.53</v>
      </c>
    </row>
    <row r="1305" spans="1:10" x14ac:dyDescent="0.25">
      <c r="A1305" t="s">
        <v>67</v>
      </c>
      <c r="B1305" t="s">
        <v>101</v>
      </c>
      <c r="C1305" t="s">
        <v>9</v>
      </c>
      <c r="D1305">
        <v>2.48</v>
      </c>
      <c r="E1305" s="1">
        <v>138449</v>
      </c>
      <c r="F1305" s="1">
        <v>3434</v>
      </c>
      <c r="G1305" s="4">
        <f t="shared" si="61"/>
        <v>12979.928391776979</v>
      </c>
      <c r="H1305" s="4">
        <f t="shared" si="62"/>
        <v>12767.850891936529</v>
      </c>
      <c r="I1305" s="17">
        <f t="shared" si="60"/>
        <v>1.6338880573085853E-2</v>
      </c>
      <c r="J1305">
        <v>33.520000000000003</v>
      </c>
    </row>
    <row r="1306" spans="1:10" x14ac:dyDescent="0.25">
      <c r="A1306" t="s">
        <v>68</v>
      </c>
      <c r="B1306" t="s">
        <v>101</v>
      </c>
      <c r="C1306" t="s">
        <v>9</v>
      </c>
      <c r="D1306">
        <v>0</v>
      </c>
      <c r="E1306" s="1">
        <v>154397</v>
      </c>
      <c r="F1306">
        <v>0</v>
      </c>
      <c r="G1306" s="4">
        <f t="shared" si="61"/>
        <v>6297.7785175330937</v>
      </c>
      <c r="H1306" s="4">
        <f t="shared" si="62"/>
        <v>6420.3511313296458</v>
      </c>
      <c r="I1306" s="17">
        <f t="shared" si="60"/>
        <v>-1.9462833355493279E-2</v>
      </c>
      <c r="J1306">
        <v>36.340000000000003</v>
      </c>
    </row>
    <row r="1307" spans="1:10" x14ac:dyDescent="0.25">
      <c r="A1307" t="s">
        <v>69</v>
      </c>
      <c r="B1307" t="s">
        <v>101</v>
      </c>
      <c r="C1307" t="s">
        <v>9</v>
      </c>
      <c r="D1307">
        <v>8.75</v>
      </c>
      <c r="E1307" s="1">
        <v>157955</v>
      </c>
      <c r="F1307" s="1">
        <v>13821</v>
      </c>
      <c r="G1307" s="4">
        <f t="shared" si="61"/>
        <v>1889.3335552599281</v>
      </c>
      <c r="H1307" s="4">
        <f t="shared" si="62"/>
        <v>6834.9323909375144</v>
      </c>
      <c r="I1307" s="17">
        <f t="shared" si="60"/>
        <v>-2.6176419838143334</v>
      </c>
      <c r="J1307">
        <v>40.61</v>
      </c>
    </row>
    <row r="1308" spans="1:10" x14ac:dyDescent="0.25">
      <c r="A1308" t="s">
        <v>70</v>
      </c>
      <c r="B1308" t="s">
        <v>101</v>
      </c>
      <c r="C1308" t="s">
        <v>9</v>
      </c>
      <c r="D1308">
        <v>7.86</v>
      </c>
      <c r="E1308" s="1">
        <v>145889</v>
      </c>
      <c r="F1308" s="1">
        <v>11467</v>
      </c>
      <c r="G1308" s="4">
        <f t="shared" si="61"/>
        <v>10241.500066577977</v>
      </c>
      <c r="H1308" s="4">
        <f t="shared" si="62"/>
        <v>9542.0372958359258</v>
      </c>
      <c r="I1308" s="17">
        <f t="shared" si="60"/>
        <v>6.8296906331590246E-2</v>
      </c>
      <c r="J1308">
        <v>37.04</v>
      </c>
    </row>
    <row r="1309" spans="1:10" x14ac:dyDescent="0.25">
      <c r="A1309" t="s">
        <v>71</v>
      </c>
      <c r="B1309" t="s">
        <v>101</v>
      </c>
      <c r="C1309" t="s">
        <v>9</v>
      </c>
      <c r="D1309">
        <v>1.64</v>
      </c>
      <c r="E1309" s="1">
        <v>142554</v>
      </c>
      <c r="F1309" s="1">
        <v>2338</v>
      </c>
      <c r="G1309" s="4">
        <f t="shared" si="61"/>
        <v>11099.350019973394</v>
      </c>
      <c r="H1309" s="4">
        <f t="shared" si="62"/>
        <v>7821.5200673367599</v>
      </c>
      <c r="I1309" s="17">
        <f t="shared" si="60"/>
        <v>0.29531728855636996</v>
      </c>
      <c r="J1309">
        <v>33.799999999999997</v>
      </c>
    </row>
    <row r="1310" spans="1:10" x14ac:dyDescent="0.25">
      <c r="A1310" t="s">
        <v>72</v>
      </c>
      <c r="B1310" t="s">
        <v>101</v>
      </c>
      <c r="C1310" t="s">
        <v>9</v>
      </c>
      <c r="D1310">
        <v>1.71</v>
      </c>
      <c r="E1310" s="1">
        <v>157047</v>
      </c>
      <c r="F1310" s="1">
        <v>2686</v>
      </c>
      <c r="G1310" s="4">
        <f t="shared" si="61"/>
        <v>4966.4050059920173</v>
      </c>
      <c r="H1310" s="4">
        <f t="shared" si="62"/>
        <v>8575.6976083162153</v>
      </c>
      <c r="I1310" s="17">
        <f t="shared" si="60"/>
        <v>-0.72674149570354218</v>
      </c>
      <c r="J1310">
        <v>37.14</v>
      </c>
    </row>
    <row r="1311" spans="1:10" x14ac:dyDescent="0.25">
      <c r="A1311" t="s">
        <v>73</v>
      </c>
      <c r="B1311" t="s">
        <v>101</v>
      </c>
      <c r="C1311" t="s">
        <v>9</v>
      </c>
      <c r="D1311">
        <v>12.62</v>
      </c>
      <c r="E1311" s="1">
        <v>154737</v>
      </c>
      <c r="F1311" s="1">
        <v>19528</v>
      </c>
      <c r="G1311" s="4">
        <f t="shared" si="61"/>
        <v>3370.1215017976047</v>
      </c>
      <c r="H1311" s="4">
        <f t="shared" si="62"/>
        <v>5274.5726920341967</v>
      </c>
      <c r="I1311" s="17">
        <f t="shared" si="60"/>
        <v>-0.56509867351096044</v>
      </c>
      <c r="J1311">
        <v>41.04</v>
      </c>
    </row>
    <row r="1312" spans="1:10" x14ac:dyDescent="0.25">
      <c r="A1312" t="s">
        <v>74</v>
      </c>
      <c r="B1312" t="s">
        <v>101</v>
      </c>
      <c r="C1312" t="s">
        <v>9</v>
      </c>
      <c r="D1312">
        <v>54.35</v>
      </c>
      <c r="E1312" s="1">
        <v>67838</v>
      </c>
      <c r="F1312" s="1">
        <v>36870</v>
      </c>
      <c r="G1312" s="4">
        <f t="shared" si="61"/>
        <v>14680.636450539279</v>
      </c>
      <c r="H1312" s="4">
        <f t="shared" si="62"/>
        <v>10693.277307519158</v>
      </c>
      <c r="I1312" s="17">
        <f t="shared" si="60"/>
        <v>0.27160669474065269</v>
      </c>
      <c r="J1312">
        <v>34.33</v>
      </c>
    </row>
    <row r="1313" spans="1:10" x14ac:dyDescent="0.25">
      <c r="A1313" t="s">
        <v>75</v>
      </c>
      <c r="B1313" t="s">
        <v>101</v>
      </c>
      <c r="C1313" t="s">
        <v>9</v>
      </c>
      <c r="D1313">
        <v>14.29</v>
      </c>
      <c r="E1313" s="1">
        <v>135630</v>
      </c>
      <c r="F1313" s="1">
        <v>19382</v>
      </c>
      <c r="G1313" s="4">
        <f t="shared" si="61"/>
        <v>30213.190935161783</v>
      </c>
      <c r="H1313" s="4">
        <f t="shared" si="62"/>
        <v>15902.254968862759</v>
      </c>
      <c r="I1313" s="17">
        <f t="shared" si="60"/>
        <v>0.47366516158490607</v>
      </c>
      <c r="J1313">
        <v>36.44</v>
      </c>
    </row>
    <row r="1314" spans="1:10" x14ac:dyDescent="0.25">
      <c r="A1314" t="s">
        <v>76</v>
      </c>
      <c r="B1314" t="s">
        <v>101</v>
      </c>
      <c r="C1314" t="s">
        <v>9</v>
      </c>
      <c r="D1314">
        <v>11.81</v>
      </c>
      <c r="E1314" s="1">
        <v>162638</v>
      </c>
      <c r="F1314" s="1">
        <v>19208</v>
      </c>
      <c r="G1314" s="4">
        <f t="shared" si="61"/>
        <v>22631.357280548535</v>
      </c>
      <c r="H1314" s="4">
        <f t="shared" si="62"/>
        <v>17036.81884788294</v>
      </c>
      <c r="I1314" s="17">
        <f t="shared" si="60"/>
        <v>0.24720295664608921</v>
      </c>
      <c r="J1314">
        <v>42.33</v>
      </c>
    </row>
    <row r="1315" spans="1:10" x14ac:dyDescent="0.25">
      <c r="A1315" t="s">
        <v>77</v>
      </c>
      <c r="B1315" t="s">
        <v>101</v>
      </c>
      <c r="C1315" t="s">
        <v>9</v>
      </c>
      <c r="D1315">
        <v>11.54</v>
      </c>
      <c r="E1315" s="1">
        <v>152744</v>
      </c>
      <c r="F1315" s="1">
        <v>17627</v>
      </c>
      <c r="G1315" s="4">
        <f t="shared" si="61"/>
        <v>20235.007184164559</v>
      </c>
      <c r="H1315" s="4">
        <f t="shared" si="62"/>
        <v>14392.149791632375</v>
      </c>
      <c r="I1315" s="17">
        <f t="shared" si="60"/>
        <v>0.28874995394637992</v>
      </c>
      <c r="J1315">
        <v>39.51</v>
      </c>
    </row>
    <row r="1316" spans="1:10" x14ac:dyDescent="0.25">
      <c r="A1316" t="s">
        <v>78</v>
      </c>
      <c r="B1316" t="s">
        <v>101</v>
      </c>
      <c r="C1316" t="s">
        <v>9</v>
      </c>
      <c r="D1316">
        <v>13.33</v>
      </c>
      <c r="E1316" s="1">
        <v>150366</v>
      </c>
      <c r="F1316" s="1">
        <v>20044</v>
      </c>
      <c r="G1316" s="4">
        <f t="shared" si="61"/>
        <v>18409.402155249365</v>
      </c>
      <c r="H1316" s="4">
        <f t="shared" si="62"/>
        <v>6728.9368555235478</v>
      </c>
      <c r="I1316" s="17">
        <f t="shared" si="60"/>
        <v>0.63448368400139377</v>
      </c>
      <c r="J1316">
        <v>39.58</v>
      </c>
    </row>
    <row r="1317" spans="1:10" x14ac:dyDescent="0.25">
      <c r="A1317" t="s">
        <v>79</v>
      </c>
      <c r="B1317" t="s">
        <v>101</v>
      </c>
      <c r="C1317" t="s">
        <v>9</v>
      </c>
      <c r="D1317">
        <v>4</v>
      </c>
      <c r="E1317" s="1">
        <v>152506</v>
      </c>
      <c r="F1317" s="1">
        <v>6100</v>
      </c>
      <c r="G1317" s="4">
        <f t="shared" si="61"/>
        <v>19553.620646574807</v>
      </c>
      <c r="H1317" s="4">
        <f t="shared" si="62"/>
        <v>2657.8805250927558</v>
      </c>
      <c r="I1317" s="17">
        <f t="shared" si="60"/>
        <v>0.86407220569872656</v>
      </c>
      <c r="J1317">
        <v>36.130000000000003</v>
      </c>
    </row>
    <row r="1318" spans="1:10" x14ac:dyDescent="0.25">
      <c r="A1318" t="s">
        <v>80</v>
      </c>
      <c r="B1318" t="s">
        <v>101</v>
      </c>
      <c r="C1318" t="s">
        <v>9</v>
      </c>
      <c r="D1318">
        <v>8</v>
      </c>
      <c r="E1318" s="1">
        <v>168537</v>
      </c>
      <c r="F1318" s="1">
        <v>13483</v>
      </c>
      <c r="G1318" s="4">
        <f t="shared" si="61"/>
        <v>10136.086193972442</v>
      </c>
      <c r="H1318" s="4">
        <f t="shared" si="62"/>
        <v>7968.134873537665</v>
      </c>
      <c r="I1318" s="17">
        <f t="shared" si="60"/>
        <v>0.21388445983460341</v>
      </c>
      <c r="J1318">
        <v>41.53</v>
      </c>
    </row>
    <row r="1319" spans="1:10" x14ac:dyDescent="0.25">
      <c r="A1319" t="s">
        <v>81</v>
      </c>
      <c r="B1319" t="s">
        <v>101</v>
      </c>
      <c r="C1319" t="s">
        <v>9</v>
      </c>
      <c r="D1319">
        <v>6.94</v>
      </c>
      <c r="E1319" s="1">
        <v>158555</v>
      </c>
      <c r="F1319" s="1">
        <v>11004</v>
      </c>
      <c r="G1319" s="4">
        <f t="shared" si="61"/>
        <v>12478.925858191731</v>
      </c>
      <c r="H1319" s="4">
        <f t="shared" si="62"/>
        <v>8059.6453735257528</v>
      </c>
      <c r="I1319" s="17">
        <f t="shared" si="60"/>
        <v>0.35413949364599862</v>
      </c>
      <c r="J1319">
        <v>38.5</v>
      </c>
    </row>
    <row r="1320" spans="1:10" x14ac:dyDescent="0.25">
      <c r="A1320" t="s">
        <v>82</v>
      </c>
      <c r="B1320" t="s">
        <v>101</v>
      </c>
      <c r="C1320" t="s">
        <v>9</v>
      </c>
      <c r="D1320">
        <v>7.46</v>
      </c>
      <c r="E1320" s="1">
        <v>159977</v>
      </c>
      <c r="F1320" s="1">
        <v>11934</v>
      </c>
      <c r="G1320" s="4">
        <f t="shared" si="61"/>
        <v>11446.477757457518</v>
      </c>
      <c r="H1320" s="4">
        <f t="shared" si="62"/>
        <v>8049.3715451183807</v>
      </c>
      <c r="I1320" s="17">
        <f t="shared" si="60"/>
        <v>0.29678179474256888</v>
      </c>
      <c r="J1320">
        <v>38.950000000000003</v>
      </c>
    </row>
    <row r="1321" spans="1:10" x14ac:dyDescent="0.25">
      <c r="A1321" t="s">
        <v>83</v>
      </c>
      <c r="B1321" t="s">
        <v>101</v>
      </c>
      <c r="C1321" t="s">
        <v>9</v>
      </c>
      <c r="D1321">
        <v>0.95</v>
      </c>
      <c r="E1321" s="1">
        <v>150335</v>
      </c>
      <c r="F1321" s="1">
        <v>1428</v>
      </c>
      <c r="G1321" s="4">
        <f t="shared" si="61"/>
        <v>11787.743327237255</v>
      </c>
      <c r="H1321" s="4">
        <f t="shared" si="62"/>
        <v>2130.3298844008596</v>
      </c>
      <c r="I1321" s="17">
        <f t="shared" si="60"/>
        <v>0.81927585074927523</v>
      </c>
      <c r="J1321">
        <v>34.090000000000003</v>
      </c>
    </row>
    <row r="1322" spans="1:10" x14ac:dyDescent="0.25">
      <c r="A1322" t="s">
        <v>84</v>
      </c>
      <c r="B1322" t="s">
        <v>101</v>
      </c>
      <c r="C1322" t="s">
        <v>9</v>
      </c>
      <c r="D1322">
        <v>6.36</v>
      </c>
      <c r="E1322" s="1">
        <v>175571</v>
      </c>
      <c r="F1322" s="1">
        <v>11166</v>
      </c>
      <c r="G1322" s="4">
        <f t="shared" si="61"/>
        <v>4535.922998171176</v>
      </c>
      <c r="H1322" s="4">
        <f t="shared" si="62"/>
        <v>6048.0676261202934</v>
      </c>
      <c r="I1322" s="17">
        <f t="shared" si="60"/>
        <v>-0.33337087700977158</v>
      </c>
      <c r="J1322">
        <v>41.98</v>
      </c>
    </row>
    <row r="1323" spans="1:10" x14ac:dyDescent="0.25">
      <c r="A1323" t="s">
        <v>7</v>
      </c>
      <c r="B1323" t="s">
        <v>102</v>
      </c>
      <c r="C1323" t="s">
        <v>9</v>
      </c>
      <c r="D1323">
        <v>6.76</v>
      </c>
      <c r="E1323" s="1">
        <v>6257149</v>
      </c>
      <c r="F1323" s="1">
        <v>422983</v>
      </c>
      <c r="G1323" s="4">
        <f t="shared" si="61"/>
        <v>9176.9768994513524</v>
      </c>
      <c r="H1323" s="4">
        <f t="shared" si="62"/>
        <v>7106.8014557274628</v>
      </c>
      <c r="I1323" s="17">
        <f t="shared" si="60"/>
        <v>0.22558359538288209</v>
      </c>
      <c r="J1323">
        <v>47.77</v>
      </c>
    </row>
    <row r="1324" spans="1:10" x14ac:dyDescent="0.25">
      <c r="A1324" t="s">
        <v>10</v>
      </c>
      <c r="B1324" t="s">
        <v>102</v>
      </c>
      <c r="C1324" t="s">
        <v>9</v>
      </c>
      <c r="D1324">
        <v>14.51</v>
      </c>
      <c r="E1324" s="1">
        <v>5773692</v>
      </c>
      <c r="F1324" s="1">
        <v>837763</v>
      </c>
      <c r="G1324" s="4">
        <f t="shared" si="61"/>
        <v>298841.19306983537</v>
      </c>
      <c r="H1324" s="4">
        <f t="shared" si="62"/>
        <v>239016.53147648473</v>
      </c>
      <c r="I1324" s="17">
        <f t="shared" si="60"/>
        <v>0.2001888058965498</v>
      </c>
      <c r="J1324">
        <v>48</v>
      </c>
    </row>
    <row r="1325" spans="1:10" x14ac:dyDescent="0.25">
      <c r="A1325" t="s">
        <v>11</v>
      </c>
      <c r="B1325" t="s">
        <v>102</v>
      </c>
      <c r="C1325" t="s">
        <v>9</v>
      </c>
      <c r="D1325">
        <v>8.35</v>
      </c>
      <c r="E1325" s="1">
        <v>6082818</v>
      </c>
      <c r="F1325" s="1">
        <v>507915</v>
      </c>
      <c r="G1325" s="4">
        <f t="shared" si="61"/>
        <v>676086.4579209506</v>
      </c>
      <c r="H1325" s="4">
        <f t="shared" si="62"/>
        <v>392307.74342779058</v>
      </c>
      <c r="I1325" s="17">
        <f t="shared" si="60"/>
        <v>0.41973731490764454</v>
      </c>
      <c r="J1325">
        <v>47.1</v>
      </c>
    </row>
    <row r="1326" spans="1:10" x14ac:dyDescent="0.25">
      <c r="A1326" t="s">
        <v>12</v>
      </c>
      <c r="B1326" t="s">
        <v>102</v>
      </c>
      <c r="C1326" t="s">
        <v>9</v>
      </c>
      <c r="D1326">
        <v>7.32</v>
      </c>
      <c r="E1326" s="1">
        <v>5965498</v>
      </c>
      <c r="F1326" s="1">
        <v>436674</v>
      </c>
      <c r="G1326" s="4">
        <f t="shared" si="61"/>
        <v>558366.4373762852</v>
      </c>
      <c r="H1326" s="4">
        <f t="shared" si="62"/>
        <v>404126.12635101244</v>
      </c>
      <c r="I1326" s="17">
        <f t="shared" si="60"/>
        <v>0.27623492513273973</v>
      </c>
      <c r="J1326">
        <v>45.61</v>
      </c>
    </row>
    <row r="1327" spans="1:10" x14ac:dyDescent="0.25">
      <c r="A1327" t="s">
        <v>13</v>
      </c>
      <c r="B1327" t="s">
        <v>102</v>
      </c>
      <c r="C1327" t="s">
        <v>9</v>
      </c>
      <c r="D1327">
        <v>2.5099999999999998</v>
      </c>
      <c r="E1327" s="1">
        <v>6625693</v>
      </c>
      <c r="F1327" s="1">
        <v>166305</v>
      </c>
      <c r="G1327" s="4">
        <f t="shared" si="61"/>
        <v>473181.73121288558</v>
      </c>
      <c r="H1327" s="4">
        <f t="shared" si="62"/>
        <v>333430.35382655886</v>
      </c>
      <c r="I1327" s="17">
        <f t="shared" si="60"/>
        <v>0.29534398343762824</v>
      </c>
      <c r="J1327">
        <v>48.08</v>
      </c>
    </row>
    <row r="1328" spans="1:10" x14ac:dyDescent="0.25">
      <c r="A1328" t="s">
        <v>14</v>
      </c>
      <c r="B1328" t="s">
        <v>102</v>
      </c>
      <c r="C1328" t="s">
        <v>9</v>
      </c>
      <c r="D1328">
        <v>11.31</v>
      </c>
      <c r="E1328" s="1">
        <v>6117606</v>
      </c>
      <c r="F1328" s="1">
        <v>691901</v>
      </c>
      <c r="G1328" s="4">
        <f t="shared" si="61"/>
        <v>258368.01936386566</v>
      </c>
      <c r="H1328" s="4">
        <f t="shared" si="62"/>
        <v>213903.41802921615</v>
      </c>
      <c r="I1328" s="17">
        <f t="shared" si="60"/>
        <v>0.17209793009261332</v>
      </c>
      <c r="J1328">
        <v>48.72</v>
      </c>
    </row>
    <row r="1329" spans="1:10" x14ac:dyDescent="0.25">
      <c r="A1329" t="s">
        <v>15</v>
      </c>
      <c r="B1329" t="s">
        <v>102</v>
      </c>
      <c r="C1329" t="s">
        <v>9</v>
      </c>
      <c r="D1329">
        <v>5.33</v>
      </c>
      <c r="E1329" s="1">
        <v>6488786</v>
      </c>
      <c r="F1329" s="1">
        <v>345852</v>
      </c>
      <c r="G1329" s="4">
        <f t="shared" si="61"/>
        <v>561841.10580915969</v>
      </c>
      <c r="H1329" s="4">
        <f t="shared" si="62"/>
        <v>314607.28046976152</v>
      </c>
      <c r="I1329" s="17">
        <f t="shared" si="60"/>
        <v>0.44004225177389561</v>
      </c>
      <c r="J1329">
        <v>48.33</v>
      </c>
    </row>
    <row r="1330" spans="1:10" x14ac:dyDescent="0.25">
      <c r="A1330" t="s">
        <v>16</v>
      </c>
      <c r="B1330" t="s">
        <v>102</v>
      </c>
      <c r="C1330" t="s">
        <v>9</v>
      </c>
      <c r="D1330">
        <v>4.2300000000000004</v>
      </c>
      <c r="E1330" s="1">
        <v>6092044</v>
      </c>
      <c r="F1330" s="1">
        <v>257693</v>
      </c>
      <c r="G1330" s="4">
        <f t="shared" si="61"/>
        <v>410648.73174274788</v>
      </c>
      <c r="H1330" s="4">
        <f t="shared" si="62"/>
        <v>331046.55628647201</v>
      </c>
      <c r="I1330" s="17">
        <f t="shared" si="60"/>
        <v>0.19384493194086594</v>
      </c>
      <c r="J1330">
        <v>44.79</v>
      </c>
    </row>
    <row r="1331" spans="1:10" x14ac:dyDescent="0.25">
      <c r="A1331" t="s">
        <v>17</v>
      </c>
      <c r="B1331" t="s">
        <v>102</v>
      </c>
      <c r="C1331" t="s">
        <v>9</v>
      </c>
      <c r="D1331">
        <v>4.24</v>
      </c>
      <c r="E1331" s="1">
        <v>6483605</v>
      </c>
      <c r="F1331" s="1">
        <v>274905</v>
      </c>
      <c r="G1331" s="4">
        <f t="shared" si="61"/>
        <v>303579.71952282434</v>
      </c>
      <c r="H1331" s="4">
        <f t="shared" si="62"/>
        <v>293256.19913905236</v>
      </c>
      <c r="I1331" s="17">
        <f t="shared" si="60"/>
        <v>3.4005961926570037E-2</v>
      </c>
      <c r="J1331">
        <v>47.59</v>
      </c>
    </row>
    <row r="1332" spans="1:10" x14ac:dyDescent="0.25">
      <c r="A1332" t="s">
        <v>18</v>
      </c>
      <c r="B1332" t="s">
        <v>102</v>
      </c>
      <c r="C1332" t="s">
        <v>9</v>
      </c>
      <c r="D1332">
        <v>13.35</v>
      </c>
      <c r="E1332" s="1">
        <v>5949833</v>
      </c>
      <c r="F1332" s="1">
        <v>794303</v>
      </c>
      <c r="G1332" s="4">
        <f t="shared" si="61"/>
        <v>283507.41585684731</v>
      </c>
      <c r="H1332" s="4">
        <f t="shared" si="62"/>
        <v>153697.7436842763</v>
      </c>
      <c r="I1332" s="17">
        <f t="shared" si="60"/>
        <v>0.45787046444709723</v>
      </c>
      <c r="J1332">
        <v>48.19</v>
      </c>
    </row>
    <row r="1333" spans="1:10" x14ac:dyDescent="0.25">
      <c r="A1333" t="s">
        <v>19</v>
      </c>
      <c r="B1333" t="s">
        <v>102</v>
      </c>
      <c r="C1333" t="s">
        <v>9</v>
      </c>
      <c r="D1333">
        <v>4.0999999999999996</v>
      </c>
      <c r="E1333" s="1">
        <v>6434328</v>
      </c>
      <c r="F1333" s="1">
        <v>263807</v>
      </c>
      <c r="G1333" s="4">
        <f t="shared" si="61"/>
        <v>641064.32475705422</v>
      </c>
      <c r="H1333" s="4">
        <f t="shared" si="62"/>
        <v>308290.89303925098</v>
      </c>
      <c r="I1333" s="17">
        <f t="shared" si="60"/>
        <v>0.51909522783679352</v>
      </c>
      <c r="J1333">
        <v>47.02</v>
      </c>
    </row>
    <row r="1334" spans="1:10" x14ac:dyDescent="0.25">
      <c r="A1334" t="s">
        <v>20</v>
      </c>
      <c r="B1334" t="s">
        <v>102</v>
      </c>
      <c r="C1334" t="s">
        <v>9</v>
      </c>
      <c r="D1334">
        <v>4.7300000000000004</v>
      </c>
      <c r="E1334" s="1">
        <v>5614916</v>
      </c>
      <c r="F1334" s="1">
        <v>265586</v>
      </c>
      <c r="G1334" s="4">
        <f t="shared" si="61"/>
        <v>376984.19742711622</v>
      </c>
      <c r="H1334" s="4">
        <f t="shared" si="62"/>
        <v>366995.66636982997</v>
      </c>
      <c r="I1334" s="17">
        <f t="shared" si="60"/>
        <v>2.6495887958851036E-2</v>
      </c>
      <c r="J1334">
        <v>41.23</v>
      </c>
    </row>
    <row r="1335" spans="1:10" x14ac:dyDescent="0.25">
      <c r="A1335" t="s">
        <v>21</v>
      </c>
      <c r="B1335" t="s">
        <v>102</v>
      </c>
      <c r="C1335" t="s">
        <v>9</v>
      </c>
      <c r="D1335">
        <v>4.92</v>
      </c>
      <c r="E1335" s="1">
        <v>6359578</v>
      </c>
      <c r="F1335" s="1">
        <v>312891</v>
      </c>
      <c r="G1335" s="4">
        <f t="shared" si="61"/>
        <v>299005.45922813483</v>
      </c>
      <c r="H1335" s="4">
        <f t="shared" si="62"/>
        <v>372220.71241536463</v>
      </c>
      <c r="I1335" s="17">
        <f t="shared" si="60"/>
        <v>-0.24486259674398825</v>
      </c>
      <c r="J1335">
        <v>46.72</v>
      </c>
    </row>
    <row r="1336" spans="1:10" x14ac:dyDescent="0.25">
      <c r="A1336" t="s">
        <v>22</v>
      </c>
      <c r="B1336" t="s">
        <v>102</v>
      </c>
      <c r="C1336" t="s">
        <v>9</v>
      </c>
      <c r="D1336">
        <v>10.46</v>
      </c>
      <c r="E1336" s="1">
        <v>5970886</v>
      </c>
      <c r="F1336" s="1">
        <v>624555</v>
      </c>
      <c r="G1336" s="4">
        <f t="shared" si="61"/>
        <v>308725.33776844043</v>
      </c>
      <c r="H1336" s="4">
        <f t="shared" si="62"/>
        <v>227248.36318837543</v>
      </c>
      <c r="I1336" s="17">
        <f t="shared" si="60"/>
        <v>0.26391411592260317</v>
      </c>
      <c r="J1336">
        <v>46.51</v>
      </c>
    </row>
    <row r="1337" spans="1:10" x14ac:dyDescent="0.25">
      <c r="A1337" t="s">
        <v>23</v>
      </c>
      <c r="B1337" t="s">
        <v>102</v>
      </c>
      <c r="C1337" t="s">
        <v>9</v>
      </c>
      <c r="D1337">
        <v>2.4300000000000002</v>
      </c>
      <c r="E1337" s="1">
        <v>6449637</v>
      </c>
      <c r="F1337" s="1">
        <v>156726</v>
      </c>
      <c r="G1337" s="4">
        <f t="shared" si="61"/>
        <v>529806.10133053211</v>
      </c>
      <c r="H1337" s="4">
        <f t="shared" si="62"/>
        <v>193520.6639938303</v>
      </c>
      <c r="I1337" s="17">
        <f t="shared" si="60"/>
        <v>0.63473304005402942</v>
      </c>
      <c r="J1337">
        <v>46.03</v>
      </c>
    </row>
    <row r="1338" spans="1:10" x14ac:dyDescent="0.25">
      <c r="A1338" t="s">
        <v>24</v>
      </c>
      <c r="B1338" t="s">
        <v>102</v>
      </c>
      <c r="C1338" t="s">
        <v>9</v>
      </c>
      <c r="D1338">
        <v>0.93</v>
      </c>
      <c r="E1338" s="1">
        <v>6166319</v>
      </c>
      <c r="F1338" s="1">
        <v>57347</v>
      </c>
      <c r="G1338" s="4">
        <f t="shared" si="61"/>
        <v>268650.03039915964</v>
      </c>
      <c r="H1338" s="4">
        <f t="shared" si="62"/>
        <v>282329.56262532872</v>
      </c>
      <c r="I1338" s="17">
        <f t="shared" si="60"/>
        <v>-5.0919526068335275E-2</v>
      </c>
      <c r="J1338">
        <v>43.28</v>
      </c>
    </row>
    <row r="1339" spans="1:10" x14ac:dyDescent="0.25">
      <c r="A1339" t="s">
        <v>25</v>
      </c>
      <c r="B1339" t="s">
        <v>102</v>
      </c>
      <c r="C1339" t="s">
        <v>9</v>
      </c>
      <c r="D1339">
        <v>3.54</v>
      </c>
      <c r="E1339" s="1">
        <v>6301845</v>
      </c>
      <c r="F1339" s="1">
        <v>223085</v>
      </c>
      <c r="G1339" s="4">
        <f t="shared" si="61"/>
        <v>120737.90911974788</v>
      </c>
      <c r="H1339" s="4">
        <f t="shared" si="62"/>
        <v>307455.20443904737</v>
      </c>
      <c r="I1339" s="17">
        <f t="shared" si="60"/>
        <v>-1.5464678548815456</v>
      </c>
      <c r="J1339">
        <v>45.35</v>
      </c>
    </row>
    <row r="1340" spans="1:10" x14ac:dyDescent="0.25">
      <c r="A1340" t="s">
        <v>26</v>
      </c>
      <c r="B1340" t="s">
        <v>102</v>
      </c>
      <c r="C1340" t="s">
        <v>9</v>
      </c>
      <c r="D1340">
        <v>10.44</v>
      </c>
      <c r="E1340" s="1">
        <v>5958598</v>
      </c>
      <c r="F1340" s="1">
        <v>622078</v>
      </c>
      <c r="G1340" s="4">
        <f t="shared" si="61"/>
        <v>192380.87273592438</v>
      </c>
      <c r="H1340" s="4">
        <f t="shared" si="62"/>
        <v>254501.25060355393</v>
      </c>
      <c r="I1340" s="17">
        <f t="shared" si="60"/>
        <v>-0.32290308794315731</v>
      </c>
      <c r="J1340">
        <v>46.11</v>
      </c>
    </row>
    <row r="1341" spans="1:10" x14ac:dyDescent="0.25">
      <c r="A1341" t="s">
        <v>27</v>
      </c>
      <c r="B1341" t="s">
        <v>102</v>
      </c>
      <c r="C1341" t="s">
        <v>9</v>
      </c>
      <c r="D1341">
        <v>4.43</v>
      </c>
      <c r="E1341" s="1">
        <v>6470095</v>
      </c>
      <c r="F1341" s="1">
        <v>286625</v>
      </c>
      <c r="G1341" s="4">
        <f t="shared" si="61"/>
        <v>493168.8618207773</v>
      </c>
      <c r="H1341" s="4">
        <f t="shared" si="62"/>
        <v>282703.3302754662</v>
      </c>
      <c r="I1341" s="17">
        <f t="shared" si="60"/>
        <v>0.42676159798141605</v>
      </c>
      <c r="J1341">
        <v>46.84</v>
      </c>
    </row>
    <row r="1342" spans="1:10" x14ac:dyDescent="0.25">
      <c r="A1342" t="s">
        <v>28</v>
      </c>
      <c r="B1342" t="s">
        <v>102</v>
      </c>
      <c r="C1342" t="s">
        <v>9</v>
      </c>
      <c r="D1342">
        <v>1.38</v>
      </c>
      <c r="E1342" s="1">
        <v>6397791</v>
      </c>
      <c r="F1342" s="1">
        <v>88290</v>
      </c>
      <c r="G1342" s="4">
        <f t="shared" si="61"/>
        <v>348588.1585462332</v>
      </c>
      <c r="H1342" s="4">
        <f t="shared" si="62"/>
        <v>281528.51545713219</v>
      </c>
      <c r="I1342" s="17">
        <f t="shared" si="60"/>
        <v>0.192374988779795</v>
      </c>
      <c r="J1342">
        <v>44.81</v>
      </c>
    </row>
    <row r="1343" spans="1:10" x14ac:dyDescent="0.25">
      <c r="A1343" t="s">
        <v>29</v>
      </c>
      <c r="B1343" t="s">
        <v>102</v>
      </c>
      <c r="C1343" t="s">
        <v>9</v>
      </c>
      <c r="D1343">
        <v>3.81</v>
      </c>
      <c r="E1343" s="1">
        <v>6126786</v>
      </c>
      <c r="F1343" s="1">
        <v>233431</v>
      </c>
      <c r="G1343" s="4">
        <f t="shared" si="61"/>
        <v>166379.44756386994</v>
      </c>
      <c r="H1343" s="4">
        <f t="shared" si="62"/>
        <v>313610.75628736516</v>
      </c>
      <c r="I1343" s="17">
        <f t="shared" si="60"/>
        <v>-0.88491283556507727</v>
      </c>
      <c r="J1343">
        <v>43.93</v>
      </c>
    </row>
    <row r="1344" spans="1:10" x14ac:dyDescent="0.25">
      <c r="A1344" t="s">
        <v>30</v>
      </c>
      <c r="B1344" t="s">
        <v>102</v>
      </c>
      <c r="C1344" t="s">
        <v>9</v>
      </c>
      <c r="D1344">
        <v>9.44</v>
      </c>
      <c r="E1344" s="1">
        <v>5827014</v>
      </c>
      <c r="F1344" s="1">
        <v>550070</v>
      </c>
      <c r="G1344" s="4">
        <f t="shared" si="61"/>
        <v>213315.53426916097</v>
      </c>
      <c r="H1344" s="4">
        <f t="shared" si="62"/>
        <v>195713.57377768104</v>
      </c>
      <c r="I1344" s="17">
        <f t="shared" si="60"/>
        <v>8.2516074376795367E-2</v>
      </c>
      <c r="J1344">
        <v>44.31</v>
      </c>
    </row>
    <row r="1345" spans="1:10" x14ac:dyDescent="0.25">
      <c r="A1345" t="s">
        <v>31</v>
      </c>
      <c r="B1345" t="s">
        <v>102</v>
      </c>
      <c r="C1345" t="s">
        <v>9</v>
      </c>
      <c r="D1345">
        <v>9.69</v>
      </c>
      <c r="E1345" s="1">
        <v>6097637</v>
      </c>
      <c r="F1345" s="1">
        <v>590861</v>
      </c>
      <c r="G1345" s="4">
        <f t="shared" si="61"/>
        <v>449043.66028074827</v>
      </c>
      <c r="H1345" s="4">
        <f t="shared" si="62"/>
        <v>248766.69941688867</v>
      </c>
      <c r="I1345" s="17">
        <f t="shared" si="60"/>
        <v>0.44600776846207713</v>
      </c>
      <c r="J1345">
        <v>46.42</v>
      </c>
    </row>
    <row r="1346" spans="1:10" x14ac:dyDescent="0.25">
      <c r="A1346" t="s">
        <v>32</v>
      </c>
      <c r="B1346" t="s">
        <v>102</v>
      </c>
      <c r="C1346" t="s">
        <v>9</v>
      </c>
      <c r="D1346">
        <v>7.44</v>
      </c>
      <c r="E1346" s="1">
        <v>6083373</v>
      </c>
      <c r="F1346" s="1">
        <v>452603</v>
      </c>
      <c r="G1346" s="4">
        <f t="shared" si="61"/>
        <v>548315.79808422446</v>
      </c>
      <c r="H1346" s="4">
        <f t="shared" si="62"/>
        <v>214485.15000562285</v>
      </c>
      <c r="I1346" s="17">
        <f t="shared" si="60"/>
        <v>0.60882916240053919</v>
      </c>
      <c r="J1346">
        <v>45.11</v>
      </c>
    </row>
    <row r="1347" spans="1:10" x14ac:dyDescent="0.25">
      <c r="A1347" t="s">
        <v>33</v>
      </c>
      <c r="B1347" t="s">
        <v>102</v>
      </c>
      <c r="C1347" t="s">
        <v>9</v>
      </c>
      <c r="D1347">
        <v>3.83</v>
      </c>
      <c r="E1347" s="1">
        <v>6182947</v>
      </c>
      <c r="F1347" s="1">
        <v>236807</v>
      </c>
      <c r="G1347" s="4">
        <f t="shared" si="61"/>
        <v>481316.8394252673</v>
      </c>
      <c r="H1347" s="4">
        <f t="shared" si="62"/>
        <v>218080.00653569019</v>
      </c>
      <c r="I1347" s="17">
        <f t="shared" ref="I1347:I1410" si="63">(G1347-H1347)/G1347</f>
        <v>0.54690966807623853</v>
      </c>
      <c r="J1347">
        <v>44.06</v>
      </c>
    </row>
    <row r="1348" spans="1:10" x14ac:dyDescent="0.25">
      <c r="A1348" t="s">
        <v>34</v>
      </c>
      <c r="B1348" t="s">
        <v>102</v>
      </c>
      <c r="C1348" t="s">
        <v>9</v>
      </c>
      <c r="D1348">
        <v>10.73</v>
      </c>
      <c r="E1348" s="1">
        <v>5848093</v>
      </c>
      <c r="F1348" s="1">
        <v>627500</v>
      </c>
      <c r="G1348" s="4">
        <f t="shared" ref="G1348:G1411" si="64">0.7*F1347+0.3*G1347</f>
        <v>310159.95182758017</v>
      </c>
      <c r="H1348" s="4">
        <f t="shared" si="62"/>
        <v>172296.41042684473</v>
      </c>
      <c r="I1348" s="17">
        <f t="shared" si="63"/>
        <v>0.44449175526495643</v>
      </c>
      <c r="J1348">
        <v>44.83</v>
      </c>
    </row>
    <row r="1349" spans="1:10" x14ac:dyDescent="0.25">
      <c r="A1349" t="s">
        <v>35</v>
      </c>
      <c r="B1349" t="s">
        <v>102</v>
      </c>
      <c r="C1349" t="s">
        <v>9</v>
      </c>
      <c r="D1349">
        <v>9.25</v>
      </c>
      <c r="E1349" s="1">
        <v>6058225</v>
      </c>
      <c r="F1349" s="1">
        <v>560386</v>
      </c>
      <c r="G1349" s="4">
        <f t="shared" si="64"/>
        <v>532297.98554827401</v>
      </c>
      <c r="H1349" s="4">
        <f t="shared" si="62"/>
        <v>237802.9348479922</v>
      </c>
      <c r="I1349" s="17">
        <f t="shared" si="63"/>
        <v>0.55325223595754924</v>
      </c>
      <c r="J1349">
        <v>45.61</v>
      </c>
    </row>
    <row r="1350" spans="1:10" x14ac:dyDescent="0.25">
      <c r="A1350" t="s">
        <v>36</v>
      </c>
      <c r="B1350" t="s">
        <v>102</v>
      </c>
      <c r="C1350" t="s">
        <v>9</v>
      </c>
      <c r="D1350">
        <v>7.9</v>
      </c>
      <c r="E1350" s="1">
        <v>6061412</v>
      </c>
      <c r="F1350" s="1">
        <v>478852</v>
      </c>
      <c r="G1350" s="4">
        <f t="shared" si="64"/>
        <v>551959.5956644821</v>
      </c>
      <c r="H1350" s="4">
        <f t="shared" ref="H1350:H1413" si="65">SQRT(SUMXMY2(F1347:F1349,G1347:G1349)/3)</f>
        <v>231861.09656838662</v>
      </c>
      <c r="I1350" s="17">
        <f t="shared" si="63"/>
        <v>0.5799310341017655</v>
      </c>
      <c r="J1350">
        <v>44.9</v>
      </c>
    </row>
    <row r="1351" spans="1:10" x14ac:dyDescent="0.25">
      <c r="A1351" t="s">
        <v>37</v>
      </c>
      <c r="B1351" t="s">
        <v>102</v>
      </c>
      <c r="C1351" t="s">
        <v>9</v>
      </c>
      <c r="D1351">
        <v>5.0999999999999996</v>
      </c>
      <c r="E1351" s="1">
        <v>6225561</v>
      </c>
      <c r="F1351" s="1">
        <v>317504</v>
      </c>
      <c r="G1351" s="4">
        <f t="shared" si="64"/>
        <v>500784.27869934461</v>
      </c>
      <c r="H1351" s="4">
        <f t="shared" si="65"/>
        <v>188713.50708923434</v>
      </c>
      <c r="I1351" s="17">
        <f t="shared" si="63"/>
        <v>0.62316407460040879</v>
      </c>
      <c r="J1351">
        <v>44.68</v>
      </c>
    </row>
    <row r="1352" spans="1:10" x14ac:dyDescent="0.25">
      <c r="A1352" t="s">
        <v>38</v>
      </c>
      <c r="B1352" t="s">
        <v>102</v>
      </c>
      <c r="C1352" t="s">
        <v>9</v>
      </c>
      <c r="D1352">
        <v>8.4600000000000009</v>
      </c>
      <c r="E1352" s="1">
        <v>5928394</v>
      </c>
      <c r="F1352" s="1">
        <v>501542</v>
      </c>
      <c r="G1352" s="4">
        <f t="shared" si="64"/>
        <v>372488.08360980335</v>
      </c>
      <c r="H1352" s="4">
        <f t="shared" si="65"/>
        <v>115072.90103783659</v>
      </c>
      <c r="I1352" s="17">
        <f t="shared" si="63"/>
        <v>0.69106957752135711</v>
      </c>
      <c r="J1352">
        <v>44.04</v>
      </c>
    </row>
    <row r="1353" spans="1:10" x14ac:dyDescent="0.25">
      <c r="A1353" t="s">
        <v>39</v>
      </c>
      <c r="B1353" t="s">
        <v>102</v>
      </c>
      <c r="C1353" t="s">
        <v>9</v>
      </c>
      <c r="D1353">
        <v>8.3800000000000008</v>
      </c>
      <c r="E1353" s="1">
        <v>6253101</v>
      </c>
      <c r="F1353" s="1">
        <v>524010</v>
      </c>
      <c r="G1353" s="4">
        <f t="shared" si="64"/>
        <v>462825.82508294098</v>
      </c>
      <c r="H1353" s="4">
        <f t="shared" si="65"/>
        <v>136126.52746568626</v>
      </c>
      <c r="I1353" s="17">
        <f t="shared" si="63"/>
        <v>0.70587957696333903</v>
      </c>
      <c r="J1353">
        <v>46.34</v>
      </c>
    </row>
    <row r="1354" spans="1:10" x14ac:dyDescent="0.25">
      <c r="A1354" t="s">
        <v>40</v>
      </c>
      <c r="B1354" t="s">
        <v>102</v>
      </c>
      <c r="C1354" t="s">
        <v>9</v>
      </c>
      <c r="D1354">
        <v>4.3</v>
      </c>
      <c r="E1354" s="1">
        <v>6138698</v>
      </c>
      <c r="F1354" s="1">
        <v>263964</v>
      </c>
      <c r="G1354" s="4">
        <f t="shared" si="64"/>
        <v>505654.74752488232</v>
      </c>
      <c r="H1354" s="4">
        <f t="shared" si="65"/>
        <v>134151.75133164006</v>
      </c>
      <c r="I1354" s="17">
        <f t="shared" si="63"/>
        <v>0.73469694096951255</v>
      </c>
      <c r="J1354">
        <v>43.48</v>
      </c>
    </row>
    <row r="1355" spans="1:10" x14ac:dyDescent="0.25">
      <c r="A1355" t="s">
        <v>41</v>
      </c>
      <c r="B1355" t="s">
        <v>102</v>
      </c>
      <c r="C1355" t="s">
        <v>9</v>
      </c>
      <c r="D1355">
        <v>8.18</v>
      </c>
      <c r="E1355" s="1">
        <v>6274125</v>
      </c>
      <c r="F1355" s="1">
        <v>513223</v>
      </c>
      <c r="G1355" s="4">
        <f t="shared" si="64"/>
        <v>336471.22425746464</v>
      </c>
      <c r="H1355" s="4">
        <f t="shared" si="65"/>
        <v>162083.14125273851</v>
      </c>
      <c r="I1355" s="17">
        <f t="shared" si="63"/>
        <v>0.5182852809763191</v>
      </c>
      <c r="J1355">
        <v>46.25</v>
      </c>
    </row>
    <row r="1356" spans="1:10" x14ac:dyDescent="0.25">
      <c r="A1356" t="s">
        <v>42</v>
      </c>
      <c r="B1356" t="s">
        <v>102</v>
      </c>
      <c r="C1356" t="s">
        <v>9</v>
      </c>
      <c r="D1356">
        <v>12.5</v>
      </c>
      <c r="E1356" s="1">
        <v>5972439</v>
      </c>
      <c r="F1356" s="1">
        <v>746555</v>
      </c>
      <c r="G1356" s="4">
        <f t="shared" si="64"/>
        <v>460197.46727723937</v>
      </c>
      <c r="H1356" s="4">
        <f t="shared" si="65"/>
        <v>176445.5637749286</v>
      </c>
      <c r="I1356" s="17">
        <f t="shared" si="63"/>
        <v>0.6165872775900535</v>
      </c>
      <c r="J1356">
        <v>46.12</v>
      </c>
    </row>
    <row r="1357" spans="1:10" x14ac:dyDescent="0.25">
      <c r="A1357" t="s">
        <v>43</v>
      </c>
      <c r="B1357" t="s">
        <v>102</v>
      </c>
      <c r="C1357" t="s">
        <v>9</v>
      </c>
      <c r="D1357">
        <v>8.0500000000000007</v>
      </c>
      <c r="E1357" s="1">
        <v>6218175</v>
      </c>
      <c r="F1357" s="1">
        <v>500563</v>
      </c>
      <c r="G1357" s="4">
        <f t="shared" si="64"/>
        <v>660647.74018317182</v>
      </c>
      <c r="H1357" s="4">
        <f t="shared" si="65"/>
        <v>239204.40646327485</v>
      </c>
      <c r="I1357" s="17">
        <f t="shared" si="63"/>
        <v>0.63792443095778573</v>
      </c>
      <c r="J1357">
        <v>45.62</v>
      </c>
    </row>
    <row r="1358" spans="1:10" x14ac:dyDescent="0.25">
      <c r="A1358" t="s">
        <v>44</v>
      </c>
      <c r="B1358" t="s">
        <v>102</v>
      </c>
      <c r="C1358" t="s">
        <v>9</v>
      </c>
      <c r="D1358">
        <v>3.67</v>
      </c>
      <c r="E1358" s="1">
        <v>6112368</v>
      </c>
      <c r="F1358" s="1">
        <v>224324</v>
      </c>
      <c r="G1358" s="4">
        <f t="shared" si="64"/>
        <v>548588.42205495154</v>
      </c>
      <c r="H1358" s="4">
        <f t="shared" si="65"/>
        <v>215150.29693582427</v>
      </c>
      <c r="I1358" s="17">
        <f t="shared" si="63"/>
        <v>0.60781108698959585</v>
      </c>
      <c r="J1358">
        <v>42.74</v>
      </c>
    </row>
    <row r="1359" spans="1:10" x14ac:dyDescent="0.25">
      <c r="A1359" t="s">
        <v>45</v>
      </c>
      <c r="B1359" t="s">
        <v>102</v>
      </c>
      <c r="C1359" t="s">
        <v>9</v>
      </c>
      <c r="D1359">
        <v>9.2100000000000009</v>
      </c>
      <c r="E1359" s="1">
        <v>6270684</v>
      </c>
      <c r="F1359" s="1">
        <v>577530</v>
      </c>
      <c r="G1359" s="4">
        <f t="shared" si="64"/>
        <v>321603.32661648549</v>
      </c>
      <c r="H1359" s="4">
        <f t="shared" si="65"/>
        <v>266317.58985417662</v>
      </c>
      <c r="I1359" s="17">
        <f t="shared" si="63"/>
        <v>0.1719066072604328</v>
      </c>
      <c r="J1359">
        <v>46.45</v>
      </c>
    </row>
    <row r="1360" spans="1:10" x14ac:dyDescent="0.25">
      <c r="A1360" t="s">
        <v>46</v>
      </c>
      <c r="B1360" t="s">
        <v>102</v>
      </c>
      <c r="C1360" t="s">
        <v>9</v>
      </c>
      <c r="D1360">
        <v>12.99</v>
      </c>
      <c r="E1360" s="1">
        <v>5941942</v>
      </c>
      <c r="F1360" s="1">
        <v>771858</v>
      </c>
      <c r="G1360" s="4">
        <f t="shared" si="64"/>
        <v>500751.99798494566</v>
      </c>
      <c r="H1360" s="4">
        <f t="shared" si="65"/>
        <v>255781.80909992894</v>
      </c>
      <c r="I1360" s="17">
        <f t="shared" si="63"/>
        <v>0.48920461599911852</v>
      </c>
      <c r="J1360">
        <v>45.85</v>
      </c>
    </row>
    <row r="1361" spans="1:10" x14ac:dyDescent="0.25">
      <c r="A1361" t="s">
        <v>47</v>
      </c>
      <c r="B1361" t="s">
        <v>102</v>
      </c>
      <c r="C1361" t="s">
        <v>9</v>
      </c>
      <c r="D1361">
        <v>9.68</v>
      </c>
      <c r="E1361" s="1">
        <v>6167869</v>
      </c>
      <c r="F1361" s="1">
        <v>597050</v>
      </c>
      <c r="G1361" s="4">
        <f t="shared" si="64"/>
        <v>690526.19939548371</v>
      </c>
      <c r="H1361" s="4">
        <f t="shared" si="65"/>
        <v>285274.33690418687</v>
      </c>
      <c r="I1361" s="17">
        <f t="shared" si="63"/>
        <v>0.5868739851522965</v>
      </c>
      <c r="J1361">
        <v>45.78</v>
      </c>
    </row>
    <row r="1362" spans="1:10" x14ac:dyDescent="0.25">
      <c r="A1362" t="s">
        <v>48</v>
      </c>
      <c r="B1362" t="s">
        <v>102</v>
      </c>
      <c r="C1362" t="s">
        <v>9</v>
      </c>
      <c r="D1362">
        <v>6.16</v>
      </c>
      <c r="E1362" s="1">
        <v>6089734</v>
      </c>
      <c r="F1362" s="1">
        <v>375128</v>
      </c>
      <c r="G1362" s="4">
        <f t="shared" si="64"/>
        <v>625092.85981864505</v>
      </c>
      <c r="H1362" s="4">
        <f t="shared" si="65"/>
        <v>221911.93923954232</v>
      </c>
      <c r="I1362" s="17">
        <f t="shared" si="63"/>
        <v>0.64499364253828706</v>
      </c>
      <c r="J1362">
        <v>43.44</v>
      </c>
    </row>
    <row r="1363" spans="1:10" x14ac:dyDescent="0.25">
      <c r="A1363" t="s">
        <v>49</v>
      </c>
      <c r="B1363" t="s">
        <v>102</v>
      </c>
      <c r="C1363" t="s">
        <v>9</v>
      </c>
      <c r="D1363">
        <v>9.17</v>
      </c>
      <c r="E1363" s="1">
        <v>6088548</v>
      </c>
      <c r="F1363" s="1">
        <v>558320</v>
      </c>
      <c r="G1363" s="4">
        <f t="shared" si="64"/>
        <v>450117.45794559352</v>
      </c>
      <c r="H1363" s="4">
        <f t="shared" si="65"/>
        <v>219635.07258341488</v>
      </c>
      <c r="I1363" s="17">
        <f t="shared" si="63"/>
        <v>0.51204942464159531</v>
      </c>
      <c r="J1363">
        <v>44.79</v>
      </c>
    </row>
    <row r="1364" spans="1:10" x14ac:dyDescent="0.25">
      <c r="A1364" t="s">
        <v>50</v>
      </c>
      <c r="B1364" t="s">
        <v>102</v>
      </c>
      <c r="C1364" t="s">
        <v>9</v>
      </c>
      <c r="D1364">
        <v>12.21</v>
      </c>
      <c r="E1364" s="1">
        <v>6025235</v>
      </c>
      <c r="F1364" s="1">
        <v>735681</v>
      </c>
      <c r="G1364" s="4">
        <f t="shared" si="64"/>
        <v>525859.23738367809</v>
      </c>
      <c r="H1364" s="4">
        <f t="shared" si="65"/>
        <v>166260.86040177415</v>
      </c>
      <c r="I1364" s="17">
        <f t="shared" si="63"/>
        <v>0.68383010398566657</v>
      </c>
      <c r="J1364">
        <v>45.79</v>
      </c>
    </row>
    <row r="1365" spans="1:10" x14ac:dyDescent="0.25">
      <c r="A1365" t="s">
        <v>51</v>
      </c>
      <c r="B1365" t="s">
        <v>102</v>
      </c>
      <c r="C1365" t="s">
        <v>9</v>
      </c>
      <c r="D1365">
        <v>9.64</v>
      </c>
      <c r="E1365" s="1">
        <v>6308129</v>
      </c>
      <c r="F1365" s="1">
        <v>608104</v>
      </c>
      <c r="G1365" s="4">
        <f t="shared" si="64"/>
        <v>672734.4712151034</v>
      </c>
      <c r="H1365" s="4">
        <f t="shared" si="65"/>
        <v>198507.25706181006</v>
      </c>
      <c r="I1365" s="17">
        <f t="shared" si="63"/>
        <v>0.70492480234695987</v>
      </c>
      <c r="J1365">
        <v>46.5</v>
      </c>
    </row>
    <row r="1366" spans="1:10" x14ac:dyDescent="0.25">
      <c r="A1366" t="s">
        <v>52</v>
      </c>
      <c r="B1366" t="s">
        <v>102</v>
      </c>
      <c r="C1366" t="s">
        <v>9</v>
      </c>
      <c r="D1366">
        <v>6.69</v>
      </c>
      <c r="E1366" s="1">
        <v>6183428</v>
      </c>
      <c r="F1366" s="1">
        <v>413671</v>
      </c>
      <c r="G1366" s="4">
        <f t="shared" si="64"/>
        <v>627493.14136453101</v>
      </c>
      <c r="H1366" s="4">
        <f t="shared" si="65"/>
        <v>141315.3211603305</v>
      </c>
      <c r="I1366" s="17">
        <f t="shared" si="63"/>
        <v>0.77479383941467517</v>
      </c>
      <c r="J1366">
        <v>44.08</v>
      </c>
    </row>
    <row r="1367" spans="1:10" x14ac:dyDescent="0.25">
      <c r="A1367" t="s">
        <v>53</v>
      </c>
      <c r="B1367" t="s">
        <v>102</v>
      </c>
      <c r="C1367" t="s">
        <v>9</v>
      </c>
      <c r="D1367">
        <v>8.85</v>
      </c>
      <c r="E1367" s="1">
        <v>6254260</v>
      </c>
      <c r="F1367" s="1">
        <v>553502</v>
      </c>
      <c r="G1367" s="4">
        <f t="shared" si="64"/>
        <v>477817.64240935922</v>
      </c>
      <c r="H1367" s="4">
        <f t="shared" si="65"/>
        <v>176938.95182107296</v>
      </c>
      <c r="I1367" s="17">
        <f t="shared" si="63"/>
        <v>0.62969355646042768</v>
      </c>
      <c r="J1367">
        <v>45.56</v>
      </c>
    </row>
    <row r="1368" spans="1:10" x14ac:dyDescent="0.25">
      <c r="A1368" t="s">
        <v>54</v>
      </c>
      <c r="B1368" t="s">
        <v>102</v>
      </c>
      <c r="C1368" t="s">
        <v>9</v>
      </c>
      <c r="D1368">
        <v>12.56</v>
      </c>
      <c r="E1368" s="1">
        <v>6021921</v>
      </c>
      <c r="F1368" s="1">
        <v>756353</v>
      </c>
      <c r="G1368" s="4">
        <f t="shared" si="64"/>
        <v>530796.69272280775</v>
      </c>
      <c r="H1368" s="4">
        <f t="shared" si="65"/>
        <v>136167.94523811122</v>
      </c>
      <c r="I1368" s="17">
        <f t="shared" si="63"/>
        <v>0.74346497047746163</v>
      </c>
      <c r="J1368">
        <v>45.66</v>
      </c>
    </row>
    <row r="1369" spans="1:10" x14ac:dyDescent="0.25">
      <c r="A1369" t="s">
        <v>55</v>
      </c>
      <c r="B1369" t="s">
        <v>102</v>
      </c>
      <c r="C1369" t="s">
        <v>9</v>
      </c>
      <c r="D1369">
        <v>7.07</v>
      </c>
      <c r="E1369" s="1">
        <v>6395022</v>
      </c>
      <c r="F1369" s="1">
        <v>452128</v>
      </c>
      <c r="G1369" s="4">
        <f t="shared" si="64"/>
        <v>688686.10781684227</v>
      </c>
      <c r="H1369" s="4">
        <f t="shared" si="65"/>
        <v>184683.22236931778</v>
      </c>
      <c r="I1369" s="17">
        <f t="shared" si="63"/>
        <v>0.73183251371982849</v>
      </c>
      <c r="J1369">
        <v>45.55</v>
      </c>
    </row>
    <row r="1370" spans="1:10" x14ac:dyDescent="0.25">
      <c r="A1370" t="s">
        <v>56</v>
      </c>
      <c r="B1370" t="s">
        <v>102</v>
      </c>
      <c r="C1370" t="s">
        <v>9</v>
      </c>
      <c r="D1370">
        <v>6.13</v>
      </c>
      <c r="E1370" s="1">
        <v>6164219</v>
      </c>
      <c r="F1370" s="1">
        <v>377867</v>
      </c>
      <c r="G1370" s="4">
        <f t="shared" si="64"/>
        <v>523095.43234505266</v>
      </c>
      <c r="H1370" s="4">
        <f t="shared" si="65"/>
        <v>193703.81867713737</v>
      </c>
      <c r="I1370" s="17">
        <f t="shared" si="63"/>
        <v>0.6296969793661602</v>
      </c>
      <c r="J1370">
        <v>43.4</v>
      </c>
    </row>
    <row r="1371" spans="1:10" x14ac:dyDescent="0.25">
      <c r="A1371" t="s">
        <v>57</v>
      </c>
      <c r="B1371" t="s">
        <v>102</v>
      </c>
      <c r="C1371" t="s">
        <v>9</v>
      </c>
      <c r="D1371">
        <v>9.69</v>
      </c>
      <c r="E1371" s="1">
        <v>6189471</v>
      </c>
      <c r="F1371" s="1">
        <v>599760</v>
      </c>
      <c r="G1371" s="4">
        <f t="shared" si="64"/>
        <v>421435.52970351576</v>
      </c>
      <c r="H1371" s="4">
        <f t="shared" si="65"/>
        <v>206499.94647925819</v>
      </c>
      <c r="I1371" s="17">
        <f t="shared" si="63"/>
        <v>0.51000821733152635</v>
      </c>
      <c r="J1371">
        <v>45.22</v>
      </c>
    </row>
    <row r="1372" spans="1:10" x14ac:dyDescent="0.25">
      <c r="A1372" t="s">
        <v>58</v>
      </c>
      <c r="B1372" t="s">
        <v>102</v>
      </c>
      <c r="C1372" t="s">
        <v>9</v>
      </c>
      <c r="D1372">
        <v>10.41</v>
      </c>
      <c r="E1372" s="1">
        <v>6009820</v>
      </c>
      <c r="F1372" s="1">
        <v>625622</v>
      </c>
      <c r="G1372" s="4">
        <f t="shared" si="64"/>
        <v>546262.65891105472</v>
      </c>
      <c r="H1372" s="4">
        <f t="shared" si="65"/>
        <v>190482.41619793326</v>
      </c>
      <c r="I1372" s="17">
        <f t="shared" si="63"/>
        <v>0.65129885213525351</v>
      </c>
      <c r="J1372">
        <v>44.19</v>
      </c>
    </row>
    <row r="1373" spans="1:10" x14ac:dyDescent="0.25">
      <c r="A1373" t="s">
        <v>59</v>
      </c>
      <c r="B1373" t="s">
        <v>102</v>
      </c>
      <c r="C1373" t="s">
        <v>9</v>
      </c>
      <c r="D1373">
        <v>10.51</v>
      </c>
      <c r="E1373" s="1">
        <v>6373692</v>
      </c>
      <c r="F1373" s="1">
        <v>669875</v>
      </c>
      <c r="G1373" s="4">
        <f t="shared" si="64"/>
        <v>601814.19767331635</v>
      </c>
      <c r="H1373" s="4">
        <f t="shared" si="65"/>
        <v>140462.11741485648</v>
      </c>
      <c r="I1373" s="17">
        <f t="shared" si="63"/>
        <v>0.76660218725663287</v>
      </c>
      <c r="J1373">
        <v>46.85</v>
      </c>
    </row>
    <row r="1374" spans="1:10" x14ac:dyDescent="0.25">
      <c r="A1374" t="s">
        <v>60</v>
      </c>
      <c r="B1374" t="s">
        <v>102</v>
      </c>
      <c r="C1374" t="s">
        <v>9</v>
      </c>
      <c r="D1374">
        <v>3.69</v>
      </c>
      <c r="E1374" s="1">
        <v>4721590</v>
      </c>
      <c r="F1374" s="1">
        <v>174227</v>
      </c>
      <c r="G1374" s="4">
        <f t="shared" si="64"/>
        <v>649456.75930199481</v>
      </c>
      <c r="H1374" s="4">
        <f t="shared" si="65"/>
        <v>119345.15007314591</v>
      </c>
      <c r="I1374" s="17">
        <f t="shared" si="63"/>
        <v>0.81623849723049713</v>
      </c>
      <c r="J1374">
        <v>32.200000000000003</v>
      </c>
    </row>
    <row r="1375" spans="1:10" x14ac:dyDescent="0.25">
      <c r="A1375" t="s">
        <v>61</v>
      </c>
      <c r="B1375" t="s">
        <v>102</v>
      </c>
      <c r="C1375" t="s">
        <v>9</v>
      </c>
      <c r="D1375">
        <v>34</v>
      </c>
      <c r="E1375" s="1">
        <v>4159402</v>
      </c>
      <c r="F1375" s="1">
        <v>1414197</v>
      </c>
      <c r="G1375" s="4">
        <f t="shared" si="64"/>
        <v>316795.92779059842</v>
      </c>
      <c r="H1375" s="4">
        <f t="shared" si="65"/>
        <v>280935.04703498958</v>
      </c>
      <c r="I1375" s="17">
        <f t="shared" si="63"/>
        <v>0.11319867968540563</v>
      </c>
      <c r="J1375">
        <v>41.32</v>
      </c>
    </row>
    <row r="1376" spans="1:10" x14ac:dyDescent="0.25">
      <c r="A1376" t="s">
        <v>62</v>
      </c>
      <c r="B1376" t="s">
        <v>102</v>
      </c>
      <c r="C1376" t="s">
        <v>9</v>
      </c>
      <c r="D1376">
        <v>20</v>
      </c>
      <c r="E1376" s="1">
        <v>5364047</v>
      </c>
      <c r="F1376" s="1">
        <v>1072809</v>
      </c>
      <c r="G1376" s="4">
        <f t="shared" si="64"/>
        <v>1084976.6783371794</v>
      </c>
      <c r="H1376" s="4">
        <f t="shared" si="65"/>
        <v>691559.76127059513</v>
      </c>
      <c r="I1376" s="17">
        <f t="shared" si="63"/>
        <v>0.36260403096362376</v>
      </c>
      <c r="J1376">
        <v>43.9</v>
      </c>
    </row>
    <row r="1377" spans="1:10" x14ac:dyDescent="0.25">
      <c r="A1377" t="s">
        <v>63</v>
      </c>
      <c r="B1377" t="s">
        <v>102</v>
      </c>
      <c r="C1377" t="s">
        <v>9</v>
      </c>
      <c r="D1377">
        <v>9.11</v>
      </c>
      <c r="E1377" s="1">
        <v>6190307</v>
      </c>
      <c r="F1377" s="1">
        <v>563937</v>
      </c>
      <c r="G1377" s="4">
        <f t="shared" si="64"/>
        <v>1076459.3035011538</v>
      </c>
      <c r="H1377" s="4">
        <f t="shared" si="65"/>
        <v>690478.21346481622</v>
      </c>
      <c r="I1377" s="17">
        <f t="shared" si="63"/>
        <v>0.35856542721210627</v>
      </c>
      <c r="J1377">
        <v>44.52</v>
      </c>
    </row>
    <row r="1378" spans="1:10" x14ac:dyDescent="0.25">
      <c r="A1378" t="s">
        <v>64</v>
      </c>
      <c r="B1378" t="s">
        <v>102</v>
      </c>
      <c r="C1378" t="s">
        <v>9</v>
      </c>
      <c r="D1378">
        <v>9.7799999999999994</v>
      </c>
      <c r="E1378" s="1">
        <v>5902580</v>
      </c>
      <c r="F1378" s="1">
        <v>577272</v>
      </c>
      <c r="G1378" s="4">
        <f t="shared" si="64"/>
        <v>717693.69105034613</v>
      </c>
      <c r="H1378" s="4">
        <f t="shared" si="65"/>
        <v>699313.06229008047</v>
      </c>
      <c r="I1378" s="17">
        <f t="shared" si="63"/>
        <v>2.5610687385819939E-2</v>
      </c>
      <c r="J1378">
        <v>42.69</v>
      </c>
    </row>
    <row r="1379" spans="1:10" x14ac:dyDescent="0.25">
      <c r="A1379" t="s">
        <v>65</v>
      </c>
      <c r="B1379" t="s">
        <v>102</v>
      </c>
      <c r="C1379" t="s">
        <v>9</v>
      </c>
      <c r="D1379">
        <v>11.89</v>
      </c>
      <c r="E1379" s="1">
        <v>5988263</v>
      </c>
      <c r="F1379" s="1">
        <v>712004</v>
      </c>
      <c r="G1379" s="4">
        <f t="shared" si="64"/>
        <v>619398.50731510378</v>
      </c>
      <c r="H1379" s="4">
        <f t="shared" si="65"/>
        <v>306890.54253902141</v>
      </c>
      <c r="I1379" s="17">
        <f t="shared" si="63"/>
        <v>0.50453457844240757</v>
      </c>
      <c r="J1379">
        <v>44.28</v>
      </c>
    </row>
    <row r="1380" spans="1:10" x14ac:dyDescent="0.25">
      <c r="A1380" t="s">
        <v>66</v>
      </c>
      <c r="B1380" t="s">
        <v>102</v>
      </c>
      <c r="C1380" t="s">
        <v>9</v>
      </c>
      <c r="D1380">
        <v>10.95</v>
      </c>
      <c r="E1380" s="1">
        <v>5846217</v>
      </c>
      <c r="F1380" s="1">
        <v>640161</v>
      </c>
      <c r="G1380" s="4">
        <f t="shared" si="64"/>
        <v>684222.35219453112</v>
      </c>
      <c r="H1380" s="4">
        <f t="shared" si="65"/>
        <v>311433.85610162339</v>
      </c>
      <c r="I1380" s="17">
        <f t="shared" si="63"/>
        <v>0.54483530813813619</v>
      </c>
      <c r="J1380">
        <v>42.7</v>
      </c>
    </row>
    <row r="1381" spans="1:10" x14ac:dyDescent="0.25">
      <c r="A1381" t="s">
        <v>67</v>
      </c>
      <c r="B1381" t="s">
        <v>102</v>
      </c>
      <c r="C1381" t="s">
        <v>9</v>
      </c>
      <c r="D1381">
        <v>7.62</v>
      </c>
      <c r="E1381" s="1">
        <v>6141206</v>
      </c>
      <c r="F1381" s="1">
        <v>467960</v>
      </c>
      <c r="G1381" s="4">
        <f t="shared" si="64"/>
        <v>653379.40565835929</v>
      </c>
      <c r="H1381" s="4">
        <f t="shared" si="65"/>
        <v>100391.61875718135</v>
      </c>
      <c r="I1381" s="17">
        <f t="shared" si="63"/>
        <v>0.84635019425501401</v>
      </c>
      <c r="J1381">
        <v>43.17</v>
      </c>
    </row>
    <row r="1382" spans="1:10" x14ac:dyDescent="0.25">
      <c r="A1382" t="s">
        <v>68</v>
      </c>
      <c r="B1382" t="s">
        <v>102</v>
      </c>
      <c r="C1382" t="s">
        <v>9</v>
      </c>
      <c r="D1382">
        <v>1.82</v>
      </c>
      <c r="E1382" s="1">
        <v>5965598</v>
      </c>
      <c r="F1382" s="1">
        <v>108574</v>
      </c>
      <c r="G1382" s="4">
        <f t="shared" si="64"/>
        <v>523585.82169750775</v>
      </c>
      <c r="H1382" s="4">
        <f t="shared" si="65"/>
        <v>122334.97187002862</v>
      </c>
      <c r="I1382" s="17">
        <f t="shared" si="63"/>
        <v>0.76635163367600612</v>
      </c>
      <c r="J1382">
        <v>39.4</v>
      </c>
    </row>
    <row r="1383" spans="1:10" x14ac:dyDescent="0.25">
      <c r="A1383" t="s">
        <v>69</v>
      </c>
      <c r="B1383" t="s">
        <v>102</v>
      </c>
      <c r="C1383" t="s">
        <v>9</v>
      </c>
      <c r="D1383">
        <v>10.16</v>
      </c>
      <c r="E1383" s="1">
        <v>5976946</v>
      </c>
      <c r="F1383" s="1">
        <v>607258</v>
      </c>
      <c r="G1383" s="4">
        <f t="shared" si="64"/>
        <v>233077.54650925231</v>
      </c>
      <c r="H1383" s="4">
        <f t="shared" si="65"/>
        <v>263664.28837987251</v>
      </c>
      <c r="I1383" s="17">
        <f t="shared" si="63"/>
        <v>-0.13122989463683077</v>
      </c>
      <c r="J1383">
        <v>43.07</v>
      </c>
    </row>
    <row r="1384" spans="1:10" x14ac:dyDescent="0.25">
      <c r="A1384" t="s">
        <v>70</v>
      </c>
      <c r="B1384" t="s">
        <v>102</v>
      </c>
      <c r="C1384" t="s">
        <v>9</v>
      </c>
      <c r="D1384">
        <v>8.36</v>
      </c>
      <c r="E1384" s="1">
        <v>5919742</v>
      </c>
      <c r="F1384" s="1">
        <v>494890</v>
      </c>
      <c r="G1384" s="4">
        <f t="shared" si="64"/>
        <v>495003.86395277566</v>
      </c>
      <c r="H1384" s="4">
        <f t="shared" si="65"/>
        <v>339914.78339819465</v>
      </c>
      <c r="I1384" s="17">
        <f t="shared" si="63"/>
        <v>0.3133088281698278</v>
      </c>
      <c r="J1384">
        <v>41.76</v>
      </c>
    </row>
    <row r="1385" spans="1:10" x14ac:dyDescent="0.25">
      <c r="A1385" t="s">
        <v>71</v>
      </c>
      <c r="B1385" t="s">
        <v>102</v>
      </c>
      <c r="C1385" t="s">
        <v>9</v>
      </c>
      <c r="D1385">
        <v>6.98</v>
      </c>
      <c r="E1385" s="1">
        <v>6136356</v>
      </c>
      <c r="F1385" s="1">
        <v>428318</v>
      </c>
      <c r="G1385" s="4">
        <f t="shared" si="64"/>
        <v>494924.15918583272</v>
      </c>
      <c r="H1385" s="4">
        <f t="shared" si="65"/>
        <v>322617.33621956594</v>
      </c>
      <c r="I1385" s="17">
        <f t="shared" si="63"/>
        <v>0.34814793290696788</v>
      </c>
      <c r="J1385">
        <v>42.57</v>
      </c>
    </row>
    <row r="1386" spans="1:10" x14ac:dyDescent="0.25">
      <c r="A1386" t="s">
        <v>72</v>
      </c>
      <c r="B1386" t="s">
        <v>102</v>
      </c>
      <c r="C1386" t="s">
        <v>9</v>
      </c>
      <c r="D1386">
        <v>2.82</v>
      </c>
      <c r="E1386" s="1">
        <v>6080502</v>
      </c>
      <c r="F1386" s="1">
        <v>171470</v>
      </c>
      <c r="G1386" s="4">
        <f t="shared" si="64"/>
        <v>448299.84775574983</v>
      </c>
      <c r="H1386" s="4">
        <f t="shared" si="65"/>
        <v>219429.11169747575</v>
      </c>
      <c r="I1386" s="17">
        <f t="shared" si="63"/>
        <v>0.51053047910685712</v>
      </c>
      <c r="J1386">
        <v>40.32</v>
      </c>
    </row>
    <row r="1387" spans="1:10" x14ac:dyDescent="0.25">
      <c r="A1387" t="s">
        <v>73</v>
      </c>
      <c r="B1387" t="s">
        <v>102</v>
      </c>
      <c r="C1387" t="s">
        <v>9</v>
      </c>
      <c r="D1387">
        <v>9.3699999999999992</v>
      </c>
      <c r="E1387" s="1">
        <v>5947791</v>
      </c>
      <c r="F1387" s="1">
        <v>557308</v>
      </c>
      <c r="G1387" s="4">
        <f t="shared" si="64"/>
        <v>254518.95432672492</v>
      </c>
      <c r="H1387" s="4">
        <f t="shared" si="65"/>
        <v>164388.92705507862</v>
      </c>
      <c r="I1387" s="17">
        <f t="shared" si="63"/>
        <v>0.35411911662950951</v>
      </c>
      <c r="J1387">
        <v>42.22</v>
      </c>
    </row>
    <row r="1388" spans="1:10" x14ac:dyDescent="0.25">
      <c r="A1388" t="s">
        <v>74</v>
      </c>
      <c r="B1388" t="s">
        <v>102</v>
      </c>
      <c r="C1388" t="s">
        <v>9</v>
      </c>
      <c r="D1388">
        <v>9.69</v>
      </c>
      <c r="E1388" s="1">
        <v>5910017</v>
      </c>
      <c r="F1388" s="1">
        <v>572681</v>
      </c>
      <c r="G1388" s="4">
        <f t="shared" si="64"/>
        <v>466471.28629801748</v>
      </c>
      <c r="H1388" s="4">
        <f t="shared" si="65"/>
        <v>239966.90829479857</v>
      </c>
      <c r="I1388" s="17">
        <f t="shared" si="63"/>
        <v>0.48556981888593809</v>
      </c>
      <c r="J1388">
        <v>42.04</v>
      </c>
    </row>
    <row r="1389" spans="1:10" x14ac:dyDescent="0.25">
      <c r="A1389" t="s">
        <v>75</v>
      </c>
      <c r="B1389" t="s">
        <v>102</v>
      </c>
      <c r="C1389" t="s">
        <v>9</v>
      </c>
      <c r="D1389">
        <v>6.55</v>
      </c>
      <c r="E1389" s="1">
        <v>6210240</v>
      </c>
      <c r="F1389" s="1">
        <v>406771</v>
      </c>
      <c r="G1389" s="4">
        <f t="shared" si="64"/>
        <v>540818.08588940522</v>
      </c>
      <c r="H1389" s="4">
        <f t="shared" si="65"/>
        <v>244674.25560859576</v>
      </c>
      <c r="I1389" s="17">
        <f t="shared" si="63"/>
        <v>0.54758492366945266</v>
      </c>
      <c r="J1389">
        <v>42.62</v>
      </c>
    </row>
    <row r="1390" spans="1:10" x14ac:dyDescent="0.25">
      <c r="A1390" t="s">
        <v>76</v>
      </c>
      <c r="B1390" t="s">
        <v>102</v>
      </c>
      <c r="C1390" t="s">
        <v>9</v>
      </c>
      <c r="D1390">
        <v>3.33</v>
      </c>
      <c r="E1390" s="1">
        <v>6206233</v>
      </c>
      <c r="F1390" s="1">
        <v>206668</v>
      </c>
      <c r="G1390" s="4">
        <f t="shared" si="64"/>
        <v>446985.12576682155</v>
      </c>
      <c r="H1390" s="4">
        <f t="shared" si="65"/>
        <v>200773.77874931056</v>
      </c>
      <c r="I1390" s="17">
        <f t="shared" si="63"/>
        <v>0.55082671172810327</v>
      </c>
      <c r="J1390">
        <v>41.11</v>
      </c>
    </row>
    <row r="1391" spans="1:10" x14ac:dyDescent="0.25">
      <c r="A1391" t="s">
        <v>77</v>
      </c>
      <c r="B1391" t="s">
        <v>102</v>
      </c>
      <c r="C1391" t="s">
        <v>9</v>
      </c>
      <c r="D1391">
        <v>11.19</v>
      </c>
      <c r="E1391" s="1">
        <v>5786235</v>
      </c>
      <c r="F1391" s="1">
        <v>647480</v>
      </c>
      <c r="G1391" s="4">
        <f t="shared" si="64"/>
        <v>278763.13773004641</v>
      </c>
      <c r="H1391" s="4">
        <f t="shared" si="65"/>
        <v>170295.2783226094</v>
      </c>
      <c r="I1391" s="17">
        <f t="shared" si="63"/>
        <v>0.38910402677586819</v>
      </c>
      <c r="J1391">
        <v>41.65</v>
      </c>
    </row>
    <row r="1392" spans="1:10" x14ac:dyDescent="0.25">
      <c r="A1392" t="s">
        <v>78</v>
      </c>
      <c r="B1392" t="s">
        <v>102</v>
      </c>
      <c r="C1392" t="s">
        <v>9</v>
      </c>
      <c r="D1392">
        <v>14.15</v>
      </c>
      <c r="E1392" s="1">
        <v>5626003</v>
      </c>
      <c r="F1392" s="1">
        <v>796079</v>
      </c>
      <c r="G1392" s="4">
        <f t="shared" si="64"/>
        <v>536864.94131901395</v>
      </c>
      <c r="H1392" s="4">
        <f t="shared" si="65"/>
        <v>265626.97321272915</v>
      </c>
      <c r="I1392" s="17">
        <f t="shared" si="63"/>
        <v>0.50522570432683689</v>
      </c>
      <c r="J1392">
        <v>41.82</v>
      </c>
    </row>
    <row r="1393" spans="1:10" x14ac:dyDescent="0.25">
      <c r="A1393" t="s">
        <v>79</v>
      </c>
      <c r="B1393" t="s">
        <v>102</v>
      </c>
      <c r="C1393" t="s">
        <v>9</v>
      </c>
      <c r="D1393">
        <v>6.45</v>
      </c>
      <c r="E1393" s="1">
        <v>6291790</v>
      </c>
      <c r="F1393" s="1">
        <v>405820</v>
      </c>
      <c r="G1393" s="4">
        <f t="shared" si="64"/>
        <v>718314.78239570407</v>
      </c>
      <c r="H1393" s="4">
        <f t="shared" si="65"/>
        <v>294899.06390542956</v>
      </c>
      <c r="I1393" s="17">
        <f t="shared" si="63"/>
        <v>0.58945705819683936</v>
      </c>
      <c r="J1393">
        <v>42.86</v>
      </c>
    </row>
    <row r="1394" spans="1:10" x14ac:dyDescent="0.25">
      <c r="A1394" t="s">
        <v>80</v>
      </c>
      <c r="B1394" t="s">
        <v>102</v>
      </c>
      <c r="C1394" t="s">
        <v>9</v>
      </c>
      <c r="D1394">
        <v>4.2</v>
      </c>
      <c r="E1394" s="1">
        <v>6325854</v>
      </c>
      <c r="F1394" s="1">
        <v>265686</v>
      </c>
      <c r="G1394" s="4">
        <f t="shared" si="64"/>
        <v>499568.43471871119</v>
      </c>
      <c r="H1394" s="4">
        <f t="shared" si="65"/>
        <v>316647.56526492146</v>
      </c>
      <c r="I1394" s="17">
        <f t="shared" si="63"/>
        <v>0.36615778087898171</v>
      </c>
      <c r="J1394">
        <v>42.01</v>
      </c>
    </row>
    <row r="1395" spans="1:10" x14ac:dyDescent="0.25">
      <c r="A1395" t="s">
        <v>81</v>
      </c>
      <c r="B1395" t="s">
        <v>102</v>
      </c>
      <c r="C1395" t="s">
        <v>9</v>
      </c>
      <c r="D1395">
        <v>11.03</v>
      </c>
      <c r="E1395" s="1">
        <v>5766629</v>
      </c>
      <c r="F1395" s="1">
        <v>636059</v>
      </c>
      <c r="G1395" s="4">
        <f t="shared" si="64"/>
        <v>335850.73041561333</v>
      </c>
      <c r="H1395" s="4">
        <f t="shared" si="65"/>
        <v>270521.66303419543</v>
      </c>
      <c r="I1395" s="17">
        <f t="shared" si="63"/>
        <v>0.19451816377047493</v>
      </c>
      <c r="J1395">
        <v>41.17</v>
      </c>
    </row>
    <row r="1396" spans="1:10" x14ac:dyDescent="0.25">
      <c r="A1396" t="s">
        <v>82</v>
      </c>
      <c r="B1396" t="s">
        <v>102</v>
      </c>
      <c r="C1396" t="s">
        <v>9</v>
      </c>
      <c r="D1396">
        <v>10.79</v>
      </c>
      <c r="E1396" s="1">
        <v>5871405</v>
      </c>
      <c r="F1396" s="1">
        <v>633525</v>
      </c>
      <c r="G1396" s="4">
        <f t="shared" si="64"/>
        <v>545996.51912468392</v>
      </c>
      <c r="H1396" s="4">
        <f t="shared" si="65"/>
        <v>284299.71709526458</v>
      </c>
      <c r="I1396" s="17">
        <f t="shared" si="63"/>
        <v>0.47930122787038903</v>
      </c>
      <c r="J1396">
        <v>41.74</v>
      </c>
    </row>
    <row r="1397" spans="1:10" x14ac:dyDescent="0.25">
      <c r="A1397" t="s">
        <v>83</v>
      </c>
      <c r="B1397" t="s">
        <v>102</v>
      </c>
      <c r="C1397" t="s">
        <v>9</v>
      </c>
      <c r="D1397">
        <v>6.74</v>
      </c>
      <c r="E1397" s="1">
        <v>6284145</v>
      </c>
      <c r="F1397" s="1">
        <v>423551</v>
      </c>
      <c r="G1397" s="4">
        <f t="shared" si="64"/>
        <v>607266.45573740522</v>
      </c>
      <c r="H1397" s="4">
        <f t="shared" si="65"/>
        <v>225453.05007262196</v>
      </c>
      <c r="I1397" s="17">
        <f t="shared" si="63"/>
        <v>0.62874114329457942</v>
      </c>
      <c r="J1397">
        <v>42.67</v>
      </c>
    </row>
    <row r="1398" spans="1:10" x14ac:dyDescent="0.25">
      <c r="A1398" t="s">
        <v>84</v>
      </c>
      <c r="B1398" t="s">
        <v>102</v>
      </c>
      <c r="C1398" t="s">
        <v>9</v>
      </c>
      <c r="D1398">
        <v>5.05</v>
      </c>
      <c r="E1398" s="1">
        <v>6330552</v>
      </c>
      <c r="F1398" s="1">
        <v>319693</v>
      </c>
      <c r="G1398" s="4">
        <f t="shared" si="64"/>
        <v>478665.6367212215</v>
      </c>
      <c r="H1398" s="4">
        <f t="shared" si="65"/>
        <v>209394.05337623993</v>
      </c>
      <c r="I1398" s="17">
        <f t="shared" si="63"/>
        <v>0.56254630098255276</v>
      </c>
      <c r="J1398">
        <v>42.16</v>
      </c>
    </row>
    <row r="1399" spans="1:10" x14ac:dyDescent="0.25">
      <c r="A1399" t="s">
        <v>7</v>
      </c>
      <c r="B1399" t="s">
        <v>103</v>
      </c>
      <c r="C1399" t="s">
        <v>9</v>
      </c>
      <c r="D1399">
        <v>5.23</v>
      </c>
      <c r="E1399" s="1">
        <v>14209938</v>
      </c>
      <c r="F1399" s="1">
        <v>743180</v>
      </c>
      <c r="G1399" s="4">
        <f t="shared" si="64"/>
        <v>367384.79101636645</v>
      </c>
      <c r="H1399" s="4">
        <f t="shared" si="65"/>
        <v>149091.58579794783</v>
      </c>
      <c r="I1399" s="17">
        <f t="shared" si="63"/>
        <v>0.59418138844156443</v>
      </c>
      <c r="J1399">
        <v>39.92</v>
      </c>
    </row>
    <row r="1400" spans="1:10" x14ac:dyDescent="0.25">
      <c r="A1400" t="s">
        <v>10</v>
      </c>
      <c r="B1400" t="s">
        <v>103</v>
      </c>
      <c r="C1400" t="s">
        <v>9</v>
      </c>
      <c r="D1400">
        <v>3.6</v>
      </c>
      <c r="E1400" s="1">
        <v>14678178</v>
      </c>
      <c r="F1400" s="1">
        <v>528414</v>
      </c>
      <c r="G1400" s="4">
        <f t="shared" si="64"/>
        <v>630441.43730490992</v>
      </c>
      <c r="H1400" s="4">
        <f t="shared" si="65"/>
        <v>258357.44424985629</v>
      </c>
      <c r="I1400" s="17">
        <f t="shared" si="63"/>
        <v>0.59019596593409995</v>
      </c>
      <c r="J1400">
        <v>40.450000000000003</v>
      </c>
    </row>
    <row r="1401" spans="1:10" x14ac:dyDescent="0.25">
      <c r="A1401" t="s">
        <v>11</v>
      </c>
      <c r="B1401" t="s">
        <v>103</v>
      </c>
      <c r="C1401" t="s">
        <v>9</v>
      </c>
      <c r="D1401">
        <v>8.0299999999999994</v>
      </c>
      <c r="E1401" s="1">
        <v>13199688</v>
      </c>
      <c r="F1401" s="1">
        <v>1059935</v>
      </c>
      <c r="G1401" s="4">
        <f t="shared" si="64"/>
        <v>559022.23119147297</v>
      </c>
      <c r="H1401" s="4">
        <f t="shared" si="65"/>
        <v>242833.23240731668</v>
      </c>
      <c r="I1401" s="17">
        <f t="shared" si="63"/>
        <v>0.56561077742873722</v>
      </c>
      <c r="J1401">
        <v>38.03</v>
      </c>
    </row>
    <row r="1402" spans="1:10" x14ac:dyDescent="0.25">
      <c r="A1402" t="s">
        <v>12</v>
      </c>
      <c r="B1402" t="s">
        <v>103</v>
      </c>
      <c r="C1402" t="s">
        <v>9</v>
      </c>
      <c r="D1402">
        <v>11.31</v>
      </c>
      <c r="E1402" s="1">
        <v>13351063</v>
      </c>
      <c r="F1402" s="1">
        <v>1510005</v>
      </c>
      <c r="G1402" s="4">
        <f t="shared" si="64"/>
        <v>909661.16935744183</v>
      </c>
      <c r="H1402" s="4">
        <f t="shared" si="65"/>
        <v>366308.26681611803</v>
      </c>
      <c r="I1402" s="17">
        <f t="shared" si="63"/>
        <v>0.59731350622026935</v>
      </c>
      <c r="J1402">
        <v>39.81</v>
      </c>
    </row>
    <row r="1403" spans="1:10" x14ac:dyDescent="0.25">
      <c r="A1403" t="s">
        <v>13</v>
      </c>
      <c r="B1403" t="s">
        <v>103</v>
      </c>
      <c r="C1403" t="s">
        <v>9</v>
      </c>
      <c r="D1403">
        <v>7.57</v>
      </c>
      <c r="E1403" s="1">
        <v>13492549</v>
      </c>
      <c r="F1403" s="1">
        <v>1021386</v>
      </c>
      <c r="G1403" s="4">
        <f t="shared" si="64"/>
        <v>1329901.8508072325</v>
      </c>
      <c r="H1403" s="4">
        <f t="shared" si="65"/>
        <v>455242.0290017947</v>
      </c>
      <c r="I1403" s="17">
        <f t="shared" si="63"/>
        <v>0.65768749872370735</v>
      </c>
      <c r="J1403">
        <v>38.51</v>
      </c>
    </row>
    <row r="1404" spans="1:10" x14ac:dyDescent="0.25">
      <c r="A1404" t="s">
        <v>14</v>
      </c>
      <c r="B1404" t="s">
        <v>103</v>
      </c>
      <c r="C1404" t="s">
        <v>9</v>
      </c>
      <c r="D1404">
        <v>7.5</v>
      </c>
      <c r="E1404" s="1">
        <v>14600380</v>
      </c>
      <c r="F1404" s="1">
        <v>1095029</v>
      </c>
      <c r="G1404" s="4">
        <f t="shared" si="64"/>
        <v>1113940.7552421698</v>
      </c>
      <c r="H1404" s="4">
        <f t="shared" si="65"/>
        <v>485286.28909312078</v>
      </c>
      <c r="I1404" s="17">
        <f t="shared" si="63"/>
        <v>0.56435179626081655</v>
      </c>
      <c r="J1404">
        <v>41.54</v>
      </c>
    </row>
    <row r="1405" spans="1:10" x14ac:dyDescent="0.25">
      <c r="A1405" t="s">
        <v>15</v>
      </c>
      <c r="B1405" t="s">
        <v>103</v>
      </c>
      <c r="C1405" t="s">
        <v>9</v>
      </c>
      <c r="D1405">
        <v>7.48</v>
      </c>
      <c r="E1405" s="1">
        <v>12236929</v>
      </c>
      <c r="F1405" s="1">
        <v>915322</v>
      </c>
      <c r="G1405" s="4">
        <f t="shared" si="64"/>
        <v>1100702.5265726508</v>
      </c>
      <c r="H1405" s="4">
        <f t="shared" si="65"/>
        <v>389851.42455223924</v>
      </c>
      <c r="I1405" s="17">
        <f t="shared" si="63"/>
        <v>0.64581581749780104</v>
      </c>
      <c r="J1405">
        <v>34.729999999999997</v>
      </c>
    </row>
    <row r="1406" spans="1:10" x14ac:dyDescent="0.25">
      <c r="A1406" t="s">
        <v>16</v>
      </c>
      <c r="B1406" t="s">
        <v>103</v>
      </c>
      <c r="C1406" t="s">
        <v>9</v>
      </c>
      <c r="D1406">
        <v>5.91</v>
      </c>
      <c r="E1406" s="1">
        <v>14174744</v>
      </c>
      <c r="F1406" s="1">
        <v>837727</v>
      </c>
      <c r="G1406" s="4">
        <f t="shared" si="64"/>
        <v>970936.15797179518</v>
      </c>
      <c r="H1406" s="4">
        <f t="shared" si="65"/>
        <v>208091.02520932484</v>
      </c>
      <c r="I1406" s="17">
        <f t="shared" si="63"/>
        <v>0.78568001253140085</v>
      </c>
      <c r="J1406">
        <v>39.47</v>
      </c>
    </row>
    <row r="1407" spans="1:10" x14ac:dyDescent="0.25">
      <c r="A1407" t="s">
        <v>17</v>
      </c>
      <c r="B1407" t="s">
        <v>103</v>
      </c>
      <c r="C1407" t="s">
        <v>9</v>
      </c>
      <c r="D1407">
        <v>3.83</v>
      </c>
      <c r="E1407" s="1">
        <v>14584093</v>
      </c>
      <c r="F1407" s="1">
        <v>558571</v>
      </c>
      <c r="G1407" s="4">
        <f t="shared" si="64"/>
        <v>877689.74739153846</v>
      </c>
      <c r="H1407" s="4">
        <f t="shared" si="65"/>
        <v>132247.58836647734</v>
      </c>
      <c r="I1407" s="17">
        <f t="shared" si="63"/>
        <v>0.84932307941443741</v>
      </c>
      <c r="J1407">
        <v>39.64</v>
      </c>
    </row>
    <row r="1408" spans="1:10" x14ac:dyDescent="0.25">
      <c r="A1408" t="s">
        <v>18</v>
      </c>
      <c r="B1408" t="s">
        <v>103</v>
      </c>
      <c r="C1408" t="s">
        <v>9</v>
      </c>
      <c r="D1408">
        <v>4.6500000000000004</v>
      </c>
      <c r="E1408" s="1">
        <v>14784248</v>
      </c>
      <c r="F1408" s="1">
        <v>687468</v>
      </c>
      <c r="G1408" s="4">
        <f t="shared" si="64"/>
        <v>654306.62421746156</v>
      </c>
      <c r="H1408" s="4">
        <f t="shared" si="65"/>
        <v>226529.90555822314</v>
      </c>
      <c r="I1408" s="17">
        <f t="shared" si="63"/>
        <v>0.6537863179527662</v>
      </c>
      <c r="J1408">
        <v>40.43</v>
      </c>
    </row>
    <row r="1409" spans="1:10" x14ac:dyDescent="0.25">
      <c r="A1409" t="s">
        <v>19</v>
      </c>
      <c r="B1409" t="s">
        <v>103</v>
      </c>
      <c r="C1409" t="s">
        <v>9</v>
      </c>
      <c r="D1409">
        <v>5.27</v>
      </c>
      <c r="E1409" s="1">
        <v>12435186</v>
      </c>
      <c r="F1409" s="1">
        <v>655334</v>
      </c>
      <c r="G1409" s="4">
        <f t="shared" si="64"/>
        <v>677519.5872652384</v>
      </c>
      <c r="H1409" s="4">
        <f t="shared" si="65"/>
        <v>200566.80644953024</v>
      </c>
      <c r="I1409" s="17">
        <f t="shared" si="63"/>
        <v>0.70396899186471573</v>
      </c>
      <c r="J1409">
        <v>34.15</v>
      </c>
    </row>
    <row r="1410" spans="1:10" x14ac:dyDescent="0.25">
      <c r="A1410" t="s">
        <v>20</v>
      </c>
      <c r="B1410" t="s">
        <v>103</v>
      </c>
      <c r="C1410" t="s">
        <v>9</v>
      </c>
      <c r="D1410">
        <v>8.76</v>
      </c>
      <c r="E1410" s="1">
        <v>13719846</v>
      </c>
      <c r="F1410" s="1">
        <v>1201859</v>
      </c>
      <c r="G1410" s="4">
        <f t="shared" si="64"/>
        <v>661989.67617957154</v>
      </c>
      <c r="H1410" s="4">
        <f t="shared" si="65"/>
        <v>185677.72444286256</v>
      </c>
      <c r="I1410" s="17">
        <f t="shared" si="63"/>
        <v>0.71951567958818807</v>
      </c>
      <c r="J1410">
        <v>39.03</v>
      </c>
    </row>
    <row r="1411" spans="1:10" x14ac:dyDescent="0.25">
      <c r="A1411" t="s">
        <v>21</v>
      </c>
      <c r="B1411" t="s">
        <v>103</v>
      </c>
      <c r="C1411" t="s">
        <v>9</v>
      </c>
      <c r="D1411">
        <v>5.0999999999999996</v>
      </c>
      <c r="E1411" s="1">
        <v>13825735</v>
      </c>
      <c r="F1411" s="1">
        <v>705112</v>
      </c>
      <c r="G1411" s="4">
        <f t="shared" si="64"/>
        <v>1039898.2028538714</v>
      </c>
      <c r="H1411" s="4">
        <f t="shared" si="65"/>
        <v>312543.73770104611</v>
      </c>
      <c r="I1411" s="17">
        <f t="shared" ref="I1411:I1474" si="66">(G1411-H1411)/G1411</f>
        <v>0.69944775667146197</v>
      </c>
      <c r="J1411">
        <v>37.729999999999997</v>
      </c>
    </row>
    <row r="1412" spans="1:10" x14ac:dyDescent="0.25">
      <c r="A1412" t="s">
        <v>22</v>
      </c>
      <c r="B1412" t="s">
        <v>103</v>
      </c>
      <c r="C1412" t="s">
        <v>9</v>
      </c>
      <c r="D1412">
        <v>4.17</v>
      </c>
      <c r="E1412" s="1">
        <v>15298148</v>
      </c>
      <c r="F1412" s="1">
        <v>637933</v>
      </c>
      <c r="G1412" s="4">
        <f t="shared" ref="G1412:G1475" si="67">0.7*F1411+0.3*G1411</f>
        <v>805547.86085616145</v>
      </c>
      <c r="H1412" s="4">
        <f t="shared" si="65"/>
        <v>366984.50862215954</v>
      </c>
      <c r="I1412" s="17">
        <f t="shared" si="66"/>
        <v>0.54442867214355595</v>
      </c>
      <c r="J1412">
        <v>41.25</v>
      </c>
    </row>
    <row r="1413" spans="1:10" x14ac:dyDescent="0.25">
      <c r="A1413" t="s">
        <v>23</v>
      </c>
      <c r="B1413" t="s">
        <v>103</v>
      </c>
      <c r="C1413" t="s">
        <v>9</v>
      </c>
      <c r="D1413">
        <v>2.41</v>
      </c>
      <c r="E1413" s="1">
        <v>15399084</v>
      </c>
      <c r="F1413" s="1">
        <v>371118</v>
      </c>
      <c r="G1413" s="4">
        <f t="shared" si="67"/>
        <v>688217.45825684839</v>
      </c>
      <c r="H1413" s="4">
        <f t="shared" si="65"/>
        <v>379313.16437453567</v>
      </c>
      <c r="I1413" s="17">
        <f t="shared" si="66"/>
        <v>0.4488469308301492</v>
      </c>
      <c r="J1413">
        <v>40.68</v>
      </c>
    </row>
    <row r="1414" spans="1:10" x14ac:dyDescent="0.25">
      <c r="A1414" t="s">
        <v>24</v>
      </c>
      <c r="B1414" t="s">
        <v>103</v>
      </c>
      <c r="C1414" t="s">
        <v>9</v>
      </c>
      <c r="D1414">
        <v>5.76</v>
      </c>
      <c r="E1414" s="1">
        <v>14870442</v>
      </c>
      <c r="F1414" s="1">
        <v>856537</v>
      </c>
      <c r="G1414" s="4">
        <f t="shared" si="67"/>
        <v>466247.83747705445</v>
      </c>
      <c r="H1414" s="4">
        <f t="shared" ref="H1414:H1477" si="68">SQRT(SUMXMY2(F1411:F1413,G1411:G1413)/3)</f>
        <v>283271.72445547202</v>
      </c>
      <c r="I1414" s="17">
        <f t="shared" si="66"/>
        <v>0.39244388566324934</v>
      </c>
      <c r="J1414">
        <v>40.590000000000003</v>
      </c>
    </row>
    <row r="1415" spans="1:10" x14ac:dyDescent="0.25">
      <c r="A1415" t="s">
        <v>25</v>
      </c>
      <c r="B1415" t="s">
        <v>103</v>
      </c>
      <c r="C1415" t="s">
        <v>9</v>
      </c>
      <c r="D1415">
        <v>2.5499999999999998</v>
      </c>
      <c r="E1415" s="1">
        <v>13849569</v>
      </c>
      <c r="F1415" s="1">
        <v>353164</v>
      </c>
      <c r="G1415" s="4">
        <f t="shared" si="67"/>
        <v>739450.25124311622</v>
      </c>
      <c r="H1415" s="4">
        <f t="shared" si="68"/>
        <v>306035.09514949389</v>
      </c>
      <c r="I1415" s="17">
        <f t="shared" si="66"/>
        <v>0.58613159622975664</v>
      </c>
      <c r="J1415">
        <v>36.47</v>
      </c>
    </row>
    <row r="1416" spans="1:10" x14ac:dyDescent="0.25">
      <c r="A1416" t="s">
        <v>26</v>
      </c>
      <c r="B1416" t="s">
        <v>103</v>
      </c>
      <c r="C1416" t="s">
        <v>9</v>
      </c>
      <c r="D1416">
        <v>5.13</v>
      </c>
      <c r="E1416" s="1">
        <v>15358818</v>
      </c>
      <c r="F1416" s="1">
        <v>787907</v>
      </c>
      <c r="G1416" s="4">
        <f t="shared" si="67"/>
        <v>469049.87537293485</v>
      </c>
      <c r="H1416" s="4">
        <f t="shared" si="68"/>
        <v>366103.24805493001</v>
      </c>
      <c r="I1416" s="17">
        <f t="shared" si="66"/>
        <v>0.21947906336432443</v>
      </c>
      <c r="J1416">
        <v>41.45</v>
      </c>
    </row>
    <row r="1417" spans="1:10" x14ac:dyDescent="0.25">
      <c r="A1417" t="s">
        <v>27</v>
      </c>
      <c r="B1417" t="s">
        <v>103</v>
      </c>
      <c r="C1417" t="s">
        <v>9</v>
      </c>
      <c r="D1417">
        <v>0.8</v>
      </c>
      <c r="E1417" s="1">
        <v>13784519</v>
      </c>
      <c r="F1417" s="1">
        <v>110276</v>
      </c>
      <c r="G1417" s="4">
        <f t="shared" si="67"/>
        <v>692249.86261188029</v>
      </c>
      <c r="H1417" s="4">
        <f t="shared" si="68"/>
        <v>366611.76749969984</v>
      </c>
      <c r="I1417" s="17">
        <f t="shared" si="66"/>
        <v>0.47040543118858524</v>
      </c>
      <c r="J1417">
        <v>35.5</v>
      </c>
    </row>
    <row r="1418" spans="1:10" x14ac:dyDescent="0.25">
      <c r="A1418" t="s">
        <v>28</v>
      </c>
      <c r="B1418" t="s">
        <v>103</v>
      </c>
      <c r="C1418" t="s">
        <v>9</v>
      </c>
      <c r="D1418">
        <v>6.82</v>
      </c>
      <c r="E1418" s="1">
        <v>13949398</v>
      </c>
      <c r="F1418" s="1">
        <v>951349</v>
      </c>
      <c r="G1418" s="4">
        <f t="shared" si="67"/>
        <v>284868.15878356405</v>
      </c>
      <c r="H1418" s="4">
        <f t="shared" si="68"/>
        <v>443313.47471373325</v>
      </c>
      <c r="I1418" s="17">
        <f t="shared" si="66"/>
        <v>-0.55620577816333672</v>
      </c>
      <c r="J1418">
        <v>38.15</v>
      </c>
    </row>
    <row r="1419" spans="1:10" x14ac:dyDescent="0.25">
      <c r="A1419" t="s">
        <v>29</v>
      </c>
      <c r="B1419" t="s">
        <v>103</v>
      </c>
      <c r="C1419" t="s">
        <v>9</v>
      </c>
      <c r="D1419">
        <v>1.06</v>
      </c>
      <c r="E1419" s="1">
        <v>15234360</v>
      </c>
      <c r="F1419" s="1">
        <v>161484</v>
      </c>
      <c r="G1419" s="4">
        <f t="shared" si="67"/>
        <v>751404.74763506919</v>
      </c>
      <c r="H1419" s="4">
        <f t="shared" si="68"/>
        <v>543004.03755325172</v>
      </c>
      <c r="I1419" s="17">
        <f t="shared" si="66"/>
        <v>0.27734814124841056</v>
      </c>
      <c r="J1419">
        <v>39.15</v>
      </c>
    </row>
    <row r="1420" spans="1:10" x14ac:dyDescent="0.25">
      <c r="A1420" t="s">
        <v>30</v>
      </c>
      <c r="B1420" t="s">
        <v>103</v>
      </c>
      <c r="C1420" t="s">
        <v>9</v>
      </c>
      <c r="D1420">
        <v>3</v>
      </c>
      <c r="E1420" s="1">
        <v>14006433</v>
      </c>
      <c r="F1420" s="1">
        <v>420193</v>
      </c>
      <c r="G1420" s="4">
        <f t="shared" si="67"/>
        <v>338460.22429052077</v>
      </c>
      <c r="H1420" s="4">
        <f t="shared" si="68"/>
        <v>613975.23754688969</v>
      </c>
      <c r="I1420" s="17">
        <f t="shared" si="66"/>
        <v>-0.81402479075319001</v>
      </c>
      <c r="J1420">
        <v>36.630000000000003</v>
      </c>
    </row>
    <row r="1421" spans="1:10" x14ac:dyDescent="0.25">
      <c r="A1421" t="s">
        <v>31</v>
      </c>
      <c r="B1421" t="s">
        <v>103</v>
      </c>
      <c r="C1421" t="s">
        <v>9</v>
      </c>
      <c r="D1421">
        <v>7.49</v>
      </c>
      <c r="E1421" s="1">
        <v>15205714</v>
      </c>
      <c r="F1421" s="1">
        <v>1138908</v>
      </c>
      <c r="G1421" s="4">
        <f t="shared" si="67"/>
        <v>395673.16728715622</v>
      </c>
      <c r="H1421" s="4">
        <f t="shared" si="68"/>
        <v>516037.28767860145</v>
      </c>
      <c r="I1421" s="17">
        <f t="shared" si="66"/>
        <v>-0.30420086663115081</v>
      </c>
      <c r="J1421">
        <v>41.6</v>
      </c>
    </row>
    <row r="1422" spans="1:10" x14ac:dyDescent="0.25">
      <c r="A1422" t="s">
        <v>32</v>
      </c>
      <c r="B1422" t="s">
        <v>103</v>
      </c>
      <c r="C1422" t="s">
        <v>9</v>
      </c>
      <c r="D1422">
        <v>3.76</v>
      </c>
      <c r="E1422" s="1">
        <v>14532296</v>
      </c>
      <c r="F1422" s="1">
        <v>546414</v>
      </c>
      <c r="G1422" s="4">
        <f t="shared" si="67"/>
        <v>915937.55018614687</v>
      </c>
      <c r="H1422" s="4">
        <f t="shared" si="68"/>
        <v>549874.15277594316</v>
      </c>
      <c r="I1422" s="17">
        <f t="shared" si="66"/>
        <v>0.39965977738963565</v>
      </c>
      <c r="J1422">
        <v>38.130000000000003</v>
      </c>
    </row>
    <row r="1423" spans="1:10" x14ac:dyDescent="0.25">
      <c r="A1423" t="s">
        <v>33</v>
      </c>
      <c r="B1423" t="s">
        <v>103</v>
      </c>
      <c r="C1423" t="s">
        <v>9</v>
      </c>
      <c r="D1423">
        <v>5.23</v>
      </c>
      <c r="E1423" s="1">
        <v>14537018</v>
      </c>
      <c r="F1423" s="1">
        <v>760286</v>
      </c>
      <c r="G1423" s="4">
        <f t="shared" si="67"/>
        <v>657271.06505584402</v>
      </c>
      <c r="H1423" s="4">
        <f t="shared" si="68"/>
        <v>481534.32460730453</v>
      </c>
      <c r="I1423" s="17">
        <f t="shared" si="66"/>
        <v>0.26737331033065986</v>
      </c>
      <c r="J1423">
        <v>38.64</v>
      </c>
    </row>
    <row r="1424" spans="1:10" x14ac:dyDescent="0.25">
      <c r="A1424" t="s">
        <v>34</v>
      </c>
      <c r="B1424" t="s">
        <v>103</v>
      </c>
      <c r="C1424" t="s">
        <v>9</v>
      </c>
      <c r="D1424">
        <v>4.43</v>
      </c>
      <c r="E1424" s="1">
        <v>13962211</v>
      </c>
      <c r="F1424" s="1">
        <v>618526</v>
      </c>
      <c r="G1424" s="4">
        <f t="shared" si="67"/>
        <v>729381.51951675315</v>
      </c>
      <c r="H1424" s="4">
        <f t="shared" si="68"/>
        <v>482893.27582859388</v>
      </c>
      <c r="I1424" s="17">
        <f t="shared" si="66"/>
        <v>0.33794144366513207</v>
      </c>
      <c r="J1424">
        <v>36.72</v>
      </c>
    </row>
    <row r="1425" spans="1:10" x14ac:dyDescent="0.25">
      <c r="A1425" t="s">
        <v>35</v>
      </c>
      <c r="B1425" t="s">
        <v>103</v>
      </c>
      <c r="C1425" t="s">
        <v>9</v>
      </c>
      <c r="D1425">
        <v>13.31</v>
      </c>
      <c r="E1425" s="1">
        <v>14529426</v>
      </c>
      <c r="F1425" s="1">
        <v>1933867</v>
      </c>
      <c r="G1425" s="4">
        <f t="shared" si="67"/>
        <v>651782.65585502586</v>
      </c>
      <c r="H1425" s="4">
        <f t="shared" si="68"/>
        <v>230541.88135134414</v>
      </c>
      <c r="I1425" s="17">
        <f t="shared" si="66"/>
        <v>0.64629024832071791</v>
      </c>
      <c r="J1425">
        <v>42.03</v>
      </c>
    </row>
    <row r="1426" spans="1:10" x14ac:dyDescent="0.25">
      <c r="A1426" t="s">
        <v>36</v>
      </c>
      <c r="B1426" t="s">
        <v>103</v>
      </c>
      <c r="C1426" t="s">
        <v>9</v>
      </c>
      <c r="D1426">
        <v>6.68</v>
      </c>
      <c r="E1426" s="1">
        <v>14036756</v>
      </c>
      <c r="F1426" s="1">
        <v>937655</v>
      </c>
      <c r="G1426" s="4">
        <f t="shared" si="67"/>
        <v>1549241.6967565077</v>
      </c>
      <c r="H1426" s="4">
        <f t="shared" si="68"/>
        <v>745350.31775457249</v>
      </c>
      <c r="I1426" s="17">
        <f t="shared" si="66"/>
        <v>0.51889345651163543</v>
      </c>
      <c r="J1426">
        <v>37.64</v>
      </c>
    </row>
    <row r="1427" spans="1:10" x14ac:dyDescent="0.25">
      <c r="A1427" t="s">
        <v>37</v>
      </c>
      <c r="B1427" t="s">
        <v>103</v>
      </c>
      <c r="C1427" t="s">
        <v>9</v>
      </c>
      <c r="D1427">
        <v>3.48</v>
      </c>
      <c r="E1427" s="1">
        <v>14888304</v>
      </c>
      <c r="F1427" s="1">
        <v>518113</v>
      </c>
      <c r="G1427" s="4">
        <f t="shared" si="67"/>
        <v>1121131.0090269523</v>
      </c>
      <c r="H1427" s="4">
        <f t="shared" si="68"/>
        <v>822611.18789671105</v>
      </c>
      <c r="I1427" s="17">
        <f t="shared" si="66"/>
        <v>0.26626667064479059</v>
      </c>
      <c r="J1427">
        <v>38.51</v>
      </c>
    </row>
    <row r="1428" spans="1:10" x14ac:dyDescent="0.25">
      <c r="A1428" t="s">
        <v>38</v>
      </c>
      <c r="B1428" t="s">
        <v>103</v>
      </c>
      <c r="C1428" t="s">
        <v>9</v>
      </c>
      <c r="D1428">
        <v>9.27</v>
      </c>
      <c r="E1428" s="1">
        <v>14117414</v>
      </c>
      <c r="F1428" s="1">
        <v>1308684</v>
      </c>
      <c r="G1428" s="4">
        <f t="shared" si="67"/>
        <v>699018.40270808572</v>
      </c>
      <c r="H1428" s="4">
        <f t="shared" si="68"/>
        <v>890956.27883041394</v>
      </c>
      <c r="I1428" s="17">
        <f t="shared" si="66"/>
        <v>-0.2745820072529373</v>
      </c>
      <c r="J1428">
        <v>38.75</v>
      </c>
    </row>
    <row r="1429" spans="1:10" x14ac:dyDescent="0.25">
      <c r="A1429" t="s">
        <v>39</v>
      </c>
      <c r="B1429" t="s">
        <v>103</v>
      </c>
      <c r="C1429" t="s">
        <v>9</v>
      </c>
      <c r="D1429">
        <v>10.17</v>
      </c>
      <c r="E1429" s="1">
        <v>14382481</v>
      </c>
      <c r="F1429" s="1">
        <v>1462698</v>
      </c>
      <c r="G1429" s="4">
        <f t="shared" si="67"/>
        <v>1125784.3208124256</v>
      </c>
      <c r="H1429" s="4">
        <f t="shared" si="68"/>
        <v>608101.18329701037</v>
      </c>
      <c r="I1429" s="17">
        <f t="shared" si="66"/>
        <v>0.4598421988519325</v>
      </c>
      <c r="J1429">
        <v>39.78</v>
      </c>
    </row>
    <row r="1430" spans="1:10" x14ac:dyDescent="0.25">
      <c r="A1430" t="s">
        <v>40</v>
      </c>
      <c r="B1430" t="s">
        <v>103</v>
      </c>
      <c r="C1430" t="s">
        <v>9</v>
      </c>
      <c r="D1430">
        <v>9.34</v>
      </c>
      <c r="E1430" s="1">
        <v>14286761</v>
      </c>
      <c r="F1430" s="1">
        <v>1334383</v>
      </c>
      <c r="G1430" s="4">
        <f t="shared" si="67"/>
        <v>1361623.8962437278</v>
      </c>
      <c r="H1430" s="4">
        <f t="shared" si="68"/>
        <v>531925.33528552169</v>
      </c>
      <c r="I1430" s="17">
        <f t="shared" si="66"/>
        <v>0.60934488829629929</v>
      </c>
      <c r="J1430">
        <v>39.07</v>
      </c>
    </row>
    <row r="1431" spans="1:10" x14ac:dyDescent="0.25">
      <c r="A1431" t="s">
        <v>41</v>
      </c>
      <c r="B1431" t="s">
        <v>103</v>
      </c>
      <c r="C1431" t="s">
        <v>9</v>
      </c>
      <c r="D1431">
        <v>6.2</v>
      </c>
      <c r="E1431" s="1">
        <v>14629445</v>
      </c>
      <c r="F1431" s="1">
        <v>907026</v>
      </c>
      <c r="G1431" s="4">
        <f t="shared" si="67"/>
        <v>1342555.2688731183</v>
      </c>
      <c r="H1431" s="4">
        <f t="shared" si="68"/>
        <v>402469.47469059727</v>
      </c>
      <c r="I1431" s="17">
        <f t="shared" si="66"/>
        <v>0.70022129887552975</v>
      </c>
      <c r="J1431">
        <v>38.57</v>
      </c>
    </row>
    <row r="1432" spans="1:10" x14ac:dyDescent="0.25">
      <c r="A1432" t="s">
        <v>42</v>
      </c>
      <c r="B1432" t="s">
        <v>103</v>
      </c>
      <c r="C1432" t="s">
        <v>9</v>
      </c>
      <c r="D1432">
        <v>13.22</v>
      </c>
      <c r="E1432" s="1">
        <v>14295458</v>
      </c>
      <c r="F1432" s="1">
        <v>1889860</v>
      </c>
      <c r="G1432" s="4">
        <f t="shared" si="67"/>
        <v>1037684.7806619355</v>
      </c>
      <c r="H1432" s="4">
        <f t="shared" si="68"/>
        <v>318296.84137977363</v>
      </c>
      <c r="I1432" s="17">
        <f t="shared" si="66"/>
        <v>0.69326249424537856</v>
      </c>
      <c r="J1432">
        <v>40.65</v>
      </c>
    </row>
    <row r="1433" spans="1:10" x14ac:dyDescent="0.25">
      <c r="A1433" t="s">
        <v>43</v>
      </c>
      <c r="B1433" t="s">
        <v>103</v>
      </c>
      <c r="C1433" t="s">
        <v>9</v>
      </c>
      <c r="D1433">
        <v>11.99</v>
      </c>
      <c r="E1433" s="1">
        <v>14593183</v>
      </c>
      <c r="F1433" s="1">
        <v>1749723</v>
      </c>
      <c r="G1433" s="4">
        <f t="shared" si="67"/>
        <v>1634207.4341985807</v>
      </c>
      <c r="H1433" s="4">
        <f t="shared" si="68"/>
        <v>552759.86797378631</v>
      </c>
      <c r="I1433" s="17">
        <f t="shared" si="66"/>
        <v>0.66175660665449054</v>
      </c>
      <c r="J1433">
        <v>40.82</v>
      </c>
    </row>
    <row r="1434" spans="1:10" x14ac:dyDescent="0.25">
      <c r="A1434" t="s">
        <v>44</v>
      </c>
      <c r="B1434" t="s">
        <v>103</v>
      </c>
      <c r="C1434" t="s">
        <v>9</v>
      </c>
      <c r="D1434">
        <v>14.58</v>
      </c>
      <c r="E1434" s="1">
        <v>14547388</v>
      </c>
      <c r="F1434" s="1">
        <v>2121009</v>
      </c>
      <c r="G1434" s="4">
        <f t="shared" si="67"/>
        <v>1715068.3302595741</v>
      </c>
      <c r="H1434" s="4">
        <f t="shared" si="68"/>
        <v>556546.55224322237</v>
      </c>
      <c r="I1434" s="17">
        <f t="shared" si="66"/>
        <v>0.67549598903794716</v>
      </c>
      <c r="J1434">
        <v>41.83</v>
      </c>
    </row>
    <row r="1435" spans="1:10" x14ac:dyDescent="0.25">
      <c r="A1435" t="s">
        <v>45</v>
      </c>
      <c r="B1435" t="s">
        <v>103</v>
      </c>
      <c r="C1435" t="s">
        <v>9</v>
      </c>
      <c r="D1435">
        <v>5.82</v>
      </c>
      <c r="E1435" s="1">
        <v>14813168</v>
      </c>
      <c r="F1435" s="1">
        <v>862126</v>
      </c>
      <c r="G1435" s="4">
        <f t="shared" si="67"/>
        <v>1999226.799077872</v>
      </c>
      <c r="H1435" s="4">
        <f t="shared" si="68"/>
        <v>549039.8521496735</v>
      </c>
      <c r="I1435" s="17">
        <f t="shared" si="66"/>
        <v>0.72537390334957796</v>
      </c>
      <c r="J1435">
        <v>38.54</v>
      </c>
    </row>
    <row r="1436" spans="1:10" x14ac:dyDescent="0.25">
      <c r="A1436" t="s">
        <v>46</v>
      </c>
      <c r="B1436" t="s">
        <v>103</v>
      </c>
      <c r="C1436" t="s">
        <v>9</v>
      </c>
      <c r="D1436">
        <v>9.58</v>
      </c>
      <c r="E1436" s="1">
        <v>15265319</v>
      </c>
      <c r="F1436" s="1">
        <v>1462418</v>
      </c>
      <c r="G1436" s="4">
        <f t="shared" si="67"/>
        <v>1203256.2397233616</v>
      </c>
      <c r="H1436" s="4">
        <f t="shared" si="68"/>
        <v>700268.97226595785</v>
      </c>
      <c r="I1436" s="17">
        <f t="shared" si="66"/>
        <v>0.41802174038427975</v>
      </c>
      <c r="J1436">
        <v>41.28</v>
      </c>
    </row>
    <row r="1437" spans="1:10" x14ac:dyDescent="0.25">
      <c r="A1437" t="s">
        <v>47</v>
      </c>
      <c r="B1437" t="s">
        <v>103</v>
      </c>
      <c r="C1437" t="s">
        <v>9</v>
      </c>
      <c r="D1437">
        <v>8.92</v>
      </c>
      <c r="E1437" s="1">
        <v>14728164</v>
      </c>
      <c r="F1437" s="1">
        <v>1313752</v>
      </c>
      <c r="G1437" s="4">
        <f t="shared" si="67"/>
        <v>1384669.4719170085</v>
      </c>
      <c r="H1437" s="4">
        <f t="shared" si="68"/>
        <v>712963.50364810077</v>
      </c>
      <c r="I1437" s="17">
        <f t="shared" si="66"/>
        <v>0.48510202751777509</v>
      </c>
      <c r="J1437">
        <v>39.450000000000003</v>
      </c>
    </row>
    <row r="1438" spans="1:10" x14ac:dyDescent="0.25">
      <c r="A1438" t="s">
        <v>48</v>
      </c>
      <c r="B1438" t="s">
        <v>103</v>
      </c>
      <c r="C1438" t="s">
        <v>9</v>
      </c>
      <c r="D1438">
        <v>12.1</v>
      </c>
      <c r="E1438" s="1">
        <v>15028831</v>
      </c>
      <c r="F1438" s="1">
        <v>1818489</v>
      </c>
      <c r="G1438" s="4">
        <f t="shared" si="67"/>
        <v>1335027.2415751023</v>
      </c>
      <c r="H1438" s="4">
        <f t="shared" si="68"/>
        <v>674584.39874150674</v>
      </c>
      <c r="I1438" s="17">
        <f t="shared" si="66"/>
        <v>0.49470364518883281</v>
      </c>
      <c r="J1438">
        <v>41.61</v>
      </c>
    </row>
    <row r="1439" spans="1:10" x14ac:dyDescent="0.25">
      <c r="A1439" t="s">
        <v>49</v>
      </c>
      <c r="B1439" t="s">
        <v>103</v>
      </c>
      <c r="C1439" t="s">
        <v>9</v>
      </c>
      <c r="D1439">
        <v>4.03</v>
      </c>
      <c r="E1439" s="1">
        <v>15226003</v>
      </c>
      <c r="F1439" s="1">
        <v>613608</v>
      </c>
      <c r="G1439" s="4">
        <f t="shared" si="67"/>
        <v>1673450.4724725306</v>
      </c>
      <c r="H1439" s="4">
        <f t="shared" si="68"/>
        <v>319337.53181238583</v>
      </c>
      <c r="I1439" s="17">
        <f t="shared" si="66"/>
        <v>0.80917419603069385</v>
      </c>
      <c r="J1439">
        <v>38.520000000000003</v>
      </c>
    </row>
    <row r="1440" spans="1:10" x14ac:dyDescent="0.25">
      <c r="A1440" t="s">
        <v>50</v>
      </c>
      <c r="B1440" t="s">
        <v>103</v>
      </c>
      <c r="C1440" t="s">
        <v>9</v>
      </c>
      <c r="D1440">
        <v>13.7</v>
      </c>
      <c r="E1440" s="1">
        <v>14610567</v>
      </c>
      <c r="F1440" s="1">
        <v>2001648</v>
      </c>
      <c r="G1440" s="4">
        <f t="shared" si="67"/>
        <v>931560.74174175912</v>
      </c>
      <c r="H1440" s="4">
        <f t="shared" si="68"/>
        <v>673802.79660522845</v>
      </c>
      <c r="I1440" s="17">
        <f t="shared" si="66"/>
        <v>0.2766947270175803</v>
      </c>
      <c r="J1440">
        <v>41.02</v>
      </c>
    </row>
    <row r="1441" spans="1:10" x14ac:dyDescent="0.25">
      <c r="A1441" t="s">
        <v>51</v>
      </c>
      <c r="B1441" t="s">
        <v>103</v>
      </c>
      <c r="C1441" t="s">
        <v>9</v>
      </c>
      <c r="D1441">
        <v>9.6999999999999993</v>
      </c>
      <c r="E1441" s="1">
        <v>14859873</v>
      </c>
      <c r="F1441" s="1">
        <v>1441408</v>
      </c>
      <c r="G1441" s="4">
        <f t="shared" si="67"/>
        <v>1680621.8225225275</v>
      </c>
      <c r="H1441" s="4">
        <f t="shared" si="68"/>
        <v>913252.07885567204</v>
      </c>
      <c r="I1441" s="17">
        <f t="shared" si="66"/>
        <v>0.45659870256538304</v>
      </c>
      <c r="J1441">
        <v>39.78</v>
      </c>
    </row>
    <row r="1442" spans="1:10" x14ac:dyDescent="0.25">
      <c r="A1442" t="s">
        <v>52</v>
      </c>
      <c r="B1442" t="s">
        <v>103</v>
      </c>
      <c r="C1442" t="s">
        <v>9</v>
      </c>
      <c r="D1442">
        <v>12.5</v>
      </c>
      <c r="E1442" s="1">
        <v>15052044</v>
      </c>
      <c r="F1442" s="1">
        <v>1881506</v>
      </c>
      <c r="G1442" s="4">
        <f t="shared" si="67"/>
        <v>1513172.1467567582</v>
      </c>
      <c r="H1442" s="4">
        <f t="shared" si="68"/>
        <v>880449.89628961182</v>
      </c>
      <c r="I1442" s="17">
        <f t="shared" si="66"/>
        <v>0.41814294019572396</v>
      </c>
      <c r="J1442">
        <v>41.48</v>
      </c>
    </row>
    <row r="1443" spans="1:10" x14ac:dyDescent="0.25">
      <c r="A1443" t="s">
        <v>53</v>
      </c>
      <c r="B1443" t="s">
        <v>103</v>
      </c>
      <c r="C1443" t="s">
        <v>9</v>
      </c>
      <c r="D1443">
        <v>5.65</v>
      </c>
      <c r="E1443" s="1">
        <v>15290705</v>
      </c>
      <c r="F1443" s="1">
        <v>863925</v>
      </c>
      <c r="G1443" s="4">
        <f t="shared" si="67"/>
        <v>1771005.8440270275</v>
      </c>
      <c r="H1443" s="4">
        <f t="shared" si="68"/>
        <v>667827.27822331735</v>
      </c>
      <c r="I1443" s="17">
        <f t="shared" si="66"/>
        <v>0.62291074279869763</v>
      </c>
      <c r="J1443">
        <v>38.99</v>
      </c>
    </row>
    <row r="1444" spans="1:10" x14ac:dyDescent="0.25">
      <c r="A1444" t="s">
        <v>54</v>
      </c>
      <c r="B1444" t="s">
        <v>103</v>
      </c>
      <c r="C1444" t="s">
        <v>9</v>
      </c>
      <c r="D1444">
        <v>14.66</v>
      </c>
      <c r="E1444" s="1">
        <v>15178549</v>
      </c>
      <c r="F1444" s="1">
        <v>2225175</v>
      </c>
      <c r="G1444" s="4">
        <f t="shared" si="67"/>
        <v>1136049.2532081082</v>
      </c>
      <c r="H1444" s="4">
        <f t="shared" si="68"/>
        <v>581861.59234295506</v>
      </c>
      <c r="I1444" s="17">
        <f t="shared" si="66"/>
        <v>0.48782010049315511</v>
      </c>
      <c r="J1444">
        <v>42.69</v>
      </c>
    </row>
    <row r="1445" spans="1:10" x14ac:dyDescent="0.25">
      <c r="A1445" t="s">
        <v>55</v>
      </c>
      <c r="B1445" t="s">
        <v>103</v>
      </c>
      <c r="C1445" t="s">
        <v>9</v>
      </c>
      <c r="D1445">
        <v>10.47</v>
      </c>
      <c r="E1445" s="1">
        <v>15278556</v>
      </c>
      <c r="F1445" s="1">
        <v>1599665</v>
      </c>
      <c r="G1445" s="4">
        <f t="shared" si="67"/>
        <v>1898437.2759624324</v>
      </c>
      <c r="H1445" s="4">
        <f t="shared" si="68"/>
        <v>845509.78259091219</v>
      </c>
      <c r="I1445" s="17">
        <f t="shared" si="66"/>
        <v>0.55462853932728839</v>
      </c>
      <c r="J1445">
        <v>40.869999999999997</v>
      </c>
    </row>
    <row r="1446" spans="1:10" x14ac:dyDescent="0.25">
      <c r="A1446" t="s">
        <v>56</v>
      </c>
      <c r="B1446" t="s">
        <v>103</v>
      </c>
      <c r="C1446" t="s">
        <v>9</v>
      </c>
      <c r="D1446">
        <v>13.96</v>
      </c>
      <c r="E1446" s="1">
        <v>15485313</v>
      </c>
      <c r="F1446" s="1">
        <v>2161750</v>
      </c>
      <c r="G1446" s="4">
        <f t="shared" si="67"/>
        <v>1689296.6827887297</v>
      </c>
      <c r="H1446" s="4">
        <f t="shared" si="68"/>
        <v>836312.42623187823</v>
      </c>
      <c r="I1446" s="17">
        <f t="shared" si="66"/>
        <v>0.50493454776026991</v>
      </c>
      <c r="J1446">
        <v>43</v>
      </c>
    </row>
    <row r="1447" spans="1:10" x14ac:dyDescent="0.25">
      <c r="A1447" t="s">
        <v>57</v>
      </c>
      <c r="B1447" t="s">
        <v>103</v>
      </c>
      <c r="C1447" t="s">
        <v>9</v>
      </c>
      <c r="D1447">
        <v>8</v>
      </c>
      <c r="E1447" s="1">
        <v>15484353</v>
      </c>
      <c r="F1447" s="1">
        <v>1238748</v>
      </c>
      <c r="G1447" s="4">
        <f t="shared" si="67"/>
        <v>2020014.0048366189</v>
      </c>
      <c r="H1447" s="4">
        <f t="shared" si="68"/>
        <v>706793.67620088882</v>
      </c>
      <c r="I1447" s="17">
        <f t="shared" si="66"/>
        <v>0.65010456635024416</v>
      </c>
      <c r="J1447">
        <v>40.119999999999997</v>
      </c>
    </row>
    <row r="1448" spans="1:10" x14ac:dyDescent="0.25">
      <c r="A1448" t="s">
        <v>58</v>
      </c>
      <c r="B1448" t="s">
        <v>103</v>
      </c>
      <c r="C1448" t="s">
        <v>9</v>
      </c>
      <c r="D1448">
        <v>14.48</v>
      </c>
      <c r="E1448" s="1">
        <v>15040572</v>
      </c>
      <c r="F1448" s="1">
        <v>2177875</v>
      </c>
      <c r="G1448" s="4">
        <f t="shared" si="67"/>
        <v>1473127.8014509855</v>
      </c>
      <c r="H1448" s="4">
        <f t="shared" si="68"/>
        <v>554633.08596496982</v>
      </c>
      <c r="I1448" s="17">
        <f t="shared" si="66"/>
        <v>0.62349968182076709</v>
      </c>
      <c r="J1448">
        <v>41.83</v>
      </c>
    </row>
    <row r="1449" spans="1:10" x14ac:dyDescent="0.25">
      <c r="A1449" t="s">
        <v>59</v>
      </c>
      <c r="B1449" t="s">
        <v>103</v>
      </c>
      <c r="C1449" t="s">
        <v>9</v>
      </c>
      <c r="D1449">
        <v>9.4700000000000006</v>
      </c>
      <c r="E1449" s="1">
        <v>15059769</v>
      </c>
      <c r="F1449" s="1">
        <v>1426160</v>
      </c>
      <c r="G1449" s="4">
        <f t="shared" si="67"/>
        <v>1966450.8404352956</v>
      </c>
      <c r="H1449" s="4">
        <f t="shared" si="68"/>
        <v>665897.21957671246</v>
      </c>
      <c r="I1449" s="17">
        <f t="shared" si="66"/>
        <v>0.66137103156399846</v>
      </c>
      <c r="J1449">
        <v>39.47</v>
      </c>
    </row>
    <row r="1450" spans="1:10" x14ac:dyDescent="0.25">
      <c r="A1450" t="s">
        <v>60</v>
      </c>
      <c r="B1450" t="s">
        <v>103</v>
      </c>
      <c r="C1450" t="s">
        <v>9</v>
      </c>
      <c r="D1450">
        <v>12.25</v>
      </c>
      <c r="E1450" s="1">
        <v>13051219</v>
      </c>
      <c r="F1450" s="1">
        <v>1598774</v>
      </c>
      <c r="G1450" s="4">
        <f t="shared" si="67"/>
        <v>1588247.2521305885</v>
      </c>
      <c r="H1450" s="4">
        <f t="shared" si="68"/>
        <v>682876.11771446362</v>
      </c>
      <c r="I1450" s="17">
        <f t="shared" si="66"/>
        <v>0.57004420010901657</v>
      </c>
      <c r="J1450">
        <v>35.21</v>
      </c>
    </row>
    <row r="1451" spans="1:10" x14ac:dyDescent="0.25">
      <c r="A1451" t="s">
        <v>61</v>
      </c>
      <c r="B1451" t="s">
        <v>103</v>
      </c>
      <c r="C1451" t="s">
        <v>9</v>
      </c>
      <c r="D1451">
        <v>10.45</v>
      </c>
      <c r="E1451" s="1">
        <v>15586833</v>
      </c>
      <c r="F1451" s="1">
        <v>1628824</v>
      </c>
      <c r="G1451" s="4">
        <f t="shared" si="67"/>
        <v>1595615.9756391763</v>
      </c>
      <c r="H1451" s="4">
        <f t="shared" si="68"/>
        <v>512735.67541884852</v>
      </c>
      <c r="I1451" s="17">
        <f t="shared" si="66"/>
        <v>0.67865972561884425</v>
      </c>
      <c r="J1451">
        <v>41.11</v>
      </c>
    </row>
    <row r="1452" spans="1:10" x14ac:dyDescent="0.25">
      <c r="A1452" t="s">
        <v>62</v>
      </c>
      <c r="B1452" t="s">
        <v>103</v>
      </c>
      <c r="C1452" t="s">
        <v>9</v>
      </c>
      <c r="D1452">
        <v>12.97</v>
      </c>
      <c r="E1452" s="1">
        <v>15381854</v>
      </c>
      <c r="F1452" s="1">
        <v>1995026</v>
      </c>
      <c r="G1452" s="4">
        <f t="shared" si="67"/>
        <v>1618861.5926917526</v>
      </c>
      <c r="H1452" s="4">
        <f t="shared" si="68"/>
        <v>312584.80319263408</v>
      </c>
      <c r="I1452" s="17">
        <f t="shared" si="66"/>
        <v>0.80691072998224289</v>
      </c>
      <c r="J1452">
        <v>41.65</v>
      </c>
    </row>
    <row r="1453" spans="1:10" x14ac:dyDescent="0.25">
      <c r="A1453" t="s">
        <v>63</v>
      </c>
      <c r="B1453" t="s">
        <v>103</v>
      </c>
      <c r="C1453" t="s">
        <v>9</v>
      </c>
      <c r="D1453">
        <v>14.4</v>
      </c>
      <c r="E1453" s="1">
        <v>14724453</v>
      </c>
      <c r="F1453" s="1">
        <v>2120321</v>
      </c>
      <c r="G1453" s="4">
        <f t="shared" si="67"/>
        <v>1882176.6778075257</v>
      </c>
      <c r="H1453" s="4">
        <f t="shared" si="68"/>
        <v>218107.95998634887</v>
      </c>
      <c r="I1453" s="17">
        <f t="shared" si="66"/>
        <v>0.88411929519793309</v>
      </c>
      <c r="J1453">
        <v>40.44</v>
      </c>
    </row>
    <row r="1454" spans="1:10" x14ac:dyDescent="0.25">
      <c r="A1454" t="s">
        <v>64</v>
      </c>
      <c r="B1454" t="s">
        <v>103</v>
      </c>
      <c r="C1454" t="s">
        <v>9</v>
      </c>
      <c r="D1454">
        <v>14.68</v>
      </c>
      <c r="E1454" s="1">
        <v>15036627</v>
      </c>
      <c r="F1454" s="1">
        <v>2207377</v>
      </c>
      <c r="G1454" s="4">
        <f t="shared" si="67"/>
        <v>2048877.7033422575</v>
      </c>
      <c r="H1454" s="4">
        <f t="shared" si="68"/>
        <v>257756.44343709893</v>
      </c>
      <c r="I1454" s="17">
        <f t="shared" si="66"/>
        <v>0.87419627681211498</v>
      </c>
      <c r="J1454">
        <v>41.34</v>
      </c>
    </row>
    <row r="1455" spans="1:10" x14ac:dyDescent="0.25">
      <c r="A1455" t="s">
        <v>65</v>
      </c>
      <c r="B1455" t="s">
        <v>103</v>
      </c>
      <c r="C1455" t="s">
        <v>9</v>
      </c>
      <c r="D1455">
        <v>11.56</v>
      </c>
      <c r="E1455" s="1">
        <v>15014467</v>
      </c>
      <c r="F1455" s="1">
        <v>1735672</v>
      </c>
      <c r="G1455" s="4">
        <f t="shared" si="67"/>
        <v>2159827.2110026772</v>
      </c>
      <c r="H1455" s="4">
        <f t="shared" si="68"/>
        <v>272845.74797192466</v>
      </c>
      <c r="I1455" s="17">
        <f t="shared" si="66"/>
        <v>0.87367241852404531</v>
      </c>
      <c r="J1455">
        <v>39.729999999999997</v>
      </c>
    </row>
    <row r="1456" spans="1:10" x14ac:dyDescent="0.25">
      <c r="A1456" t="s">
        <v>66</v>
      </c>
      <c r="B1456" t="s">
        <v>103</v>
      </c>
      <c r="C1456" t="s">
        <v>9</v>
      </c>
      <c r="D1456">
        <v>23.93</v>
      </c>
      <c r="E1456" s="1">
        <v>14746937</v>
      </c>
      <c r="F1456" s="1">
        <v>3528942</v>
      </c>
      <c r="G1456" s="4">
        <f t="shared" si="67"/>
        <v>1862918.5633008031</v>
      </c>
      <c r="H1456" s="4">
        <f t="shared" si="68"/>
        <v>295376.81485081482</v>
      </c>
      <c r="I1456" s="17">
        <f t="shared" si="66"/>
        <v>0.84144405414724466</v>
      </c>
      <c r="J1456">
        <v>45.26</v>
      </c>
    </row>
    <row r="1457" spans="1:10" x14ac:dyDescent="0.25">
      <c r="A1457" t="s">
        <v>67</v>
      </c>
      <c r="B1457" t="s">
        <v>103</v>
      </c>
      <c r="C1457" t="s">
        <v>9</v>
      </c>
      <c r="D1457">
        <v>16.86</v>
      </c>
      <c r="E1457" s="1">
        <v>15029219</v>
      </c>
      <c r="F1457" s="1">
        <v>2533926</v>
      </c>
      <c r="G1457" s="4">
        <f t="shared" si="67"/>
        <v>3029134.9689902407</v>
      </c>
      <c r="H1457" s="4">
        <f t="shared" si="68"/>
        <v>996772.08389426174</v>
      </c>
      <c r="I1457" s="17">
        <f t="shared" si="66"/>
        <v>0.67093837214307595</v>
      </c>
      <c r="J1457">
        <v>42.11</v>
      </c>
    </row>
    <row r="1458" spans="1:10" x14ac:dyDescent="0.25">
      <c r="A1458" t="s">
        <v>68</v>
      </c>
      <c r="B1458" t="s">
        <v>103</v>
      </c>
      <c r="C1458" t="s">
        <v>9</v>
      </c>
      <c r="D1458">
        <v>27.74</v>
      </c>
      <c r="E1458" s="1">
        <v>14847311</v>
      </c>
      <c r="F1458" s="1">
        <v>4118644</v>
      </c>
      <c r="G1458" s="4">
        <f t="shared" si="67"/>
        <v>2682488.6906970721</v>
      </c>
      <c r="H1458" s="4">
        <f t="shared" si="68"/>
        <v>1032920.399905063</v>
      </c>
      <c r="I1458" s="17">
        <f t="shared" si="66"/>
        <v>0.61493951363625388</v>
      </c>
      <c r="J1458">
        <v>47.75</v>
      </c>
    </row>
    <row r="1459" spans="1:10" x14ac:dyDescent="0.25">
      <c r="A1459" t="s">
        <v>69</v>
      </c>
      <c r="B1459" t="s">
        <v>103</v>
      </c>
      <c r="C1459" t="s">
        <v>9</v>
      </c>
      <c r="D1459">
        <v>14.03</v>
      </c>
      <c r="E1459" s="1">
        <v>15982179</v>
      </c>
      <c r="F1459" s="1">
        <v>2242300</v>
      </c>
      <c r="G1459" s="4">
        <f t="shared" si="67"/>
        <v>3687797.4072091216</v>
      </c>
      <c r="H1459" s="4">
        <f t="shared" si="68"/>
        <v>1301717.8505137444</v>
      </c>
      <c r="I1459" s="17">
        <f t="shared" si="66"/>
        <v>0.64702023815921395</v>
      </c>
      <c r="J1459">
        <v>43.1</v>
      </c>
    </row>
    <row r="1460" spans="1:10" x14ac:dyDescent="0.25">
      <c r="A1460" t="s">
        <v>70</v>
      </c>
      <c r="B1460" t="s">
        <v>103</v>
      </c>
      <c r="C1460" t="s">
        <v>9</v>
      </c>
      <c r="D1460">
        <v>25.61</v>
      </c>
      <c r="E1460" s="1">
        <v>14972793</v>
      </c>
      <c r="F1460" s="1">
        <v>3834532</v>
      </c>
      <c r="G1460" s="4">
        <f t="shared" si="67"/>
        <v>2675949.2221627366</v>
      </c>
      <c r="H1460" s="4">
        <f t="shared" si="68"/>
        <v>1210679.8021023367</v>
      </c>
      <c r="I1460" s="17">
        <f t="shared" si="66"/>
        <v>0.54756996430453575</v>
      </c>
      <c r="J1460">
        <v>46.57</v>
      </c>
    </row>
    <row r="1461" spans="1:10" x14ac:dyDescent="0.25">
      <c r="A1461" t="s">
        <v>71</v>
      </c>
      <c r="B1461" t="s">
        <v>103</v>
      </c>
      <c r="C1461" t="s">
        <v>9</v>
      </c>
      <c r="D1461">
        <v>17.63</v>
      </c>
      <c r="E1461" s="1">
        <v>15221859</v>
      </c>
      <c r="F1461" s="1">
        <v>2683614</v>
      </c>
      <c r="G1461" s="4">
        <f t="shared" si="67"/>
        <v>3486957.166648821</v>
      </c>
      <c r="H1461" s="4">
        <f t="shared" si="68"/>
        <v>1353306.9225405338</v>
      </c>
      <c r="I1461" s="17">
        <f t="shared" si="66"/>
        <v>0.61189459524071399</v>
      </c>
      <c r="J1461">
        <v>42.66</v>
      </c>
    </row>
    <row r="1462" spans="1:10" x14ac:dyDescent="0.25">
      <c r="A1462" t="s">
        <v>72</v>
      </c>
      <c r="B1462" t="s">
        <v>103</v>
      </c>
      <c r="C1462" t="s">
        <v>9</v>
      </c>
      <c r="D1462">
        <v>27.33</v>
      </c>
      <c r="E1462" s="1">
        <v>14911908</v>
      </c>
      <c r="F1462" s="1">
        <v>4075424</v>
      </c>
      <c r="G1462" s="4">
        <f t="shared" si="67"/>
        <v>2924616.949994646</v>
      </c>
      <c r="H1462" s="4">
        <f t="shared" si="68"/>
        <v>1165781.1473786947</v>
      </c>
      <c r="I1462" s="17">
        <f t="shared" si="66"/>
        <v>0.60139014191898565</v>
      </c>
      <c r="J1462">
        <v>47.25</v>
      </c>
    </row>
    <row r="1463" spans="1:10" x14ac:dyDescent="0.25">
      <c r="A1463" t="s">
        <v>73</v>
      </c>
      <c r="B1463" t="s">
        <v>103</v>
      </c>
      <c r="C1463" t="s">
        <v>9</v>
      </c>
      <c r="D1463">
        <v>22.04</v>
      </c>
      <c r="E1463" s="1">
        <v>14586302</v>
      </c>
      <c r="F1463" s="1">
        <v>3214821</v>
      </c>
      <c r="G1463" s="4">
        <f t="shared" si="67"/>
        <v>3730181.8849983937</v>
      </c>
      <c r="H1463" s="4">
        <f t="shared" si="68"/>
        <v>1050718.9860351959</v>
      </c>
      <c r="I1463" s="17">
        <f t="shared" si="66"/>
        <v>0.71831963737187898</v>
      </c>
      <c r="J1463">
        <v>42.98</v>
      </c>
    </row>
    <row r="1464" spans="1:10" x14ac:dyDescent="0.25">
      <c r="A1464" t="s">
        <v>74</v>
      </c>
      <c r="B1464" t="s">
        <v>103</v>
      </c>
      <c r="C1464" t="s">
        <v>9</v>
      </c>
      <c r="D1464">
        <v>25.97</v>
      </c>
      <c r="E1464" s="1">
        <v>15168206</v>
      </c>
      <c r="F1464" s="1">
        <v>3939183</v>
      </c>
      <c r="G1464" s="4">
        <f t="shared" si="67"/>
        <v>3369429.2654995178</v>
      </c>
      <c r="H1464" s="4">
        <f t="shared" si="68"/>
        <v>863194.44536552881</v>
      </c>
      <c r="I1464" s="17">
        <f t="shared" si="66"/>
        <v>0.74381582833508142</v>
      </c>
      <c r="J1464">
        <v>46.97</v>
      </c>
    </row>
    <row r="1465" spans="1:10" x14ac:dyDescent="0.25">
      <c r="A1465" t="s">
        <v>75</v>
      </c>
      <c r="B1465" t="s">
        <v>103</v>
      </c>
      <c r="C1465" t="s">
        <v>9</v>
      </c>
      <c r="D1465">
        <v>18.55</v>
      </c>
      <c r="E1465" s="1">
        <v>15475193</v>
      </c>
      <c r="F1465" s="1">
        <v>2870648</v>
      </c>
      <c r="G1465" s="4">
        <f t="shared" si="67"/>
        <v>3768256.8796498552</v>
      </c>
      <c r="H1465" s="4">
        <f t="shared" si="68"/>
        <v>798868.58036967902</v>
      </c>
      <c r="I1465" s="17">
        <f t="shared" si="66"/>
        <v>0.7880004984044745</v>
      </c>
      <c r="J1465">
        <v>43.45</v>
      </c>
    </row>
    <row r="1466" spans="1:10" x14ac:dyDescent="0.25">
      <c r="A1466" t="s">
        <v>76</v>
      </c>
      <c r="B1466" t="s">
        <v>103</v>
      </c>
      <c r="C1466" t="s">
        <v>9</v>
      </c>
      <c r="D1466">
        <v>25</v>
      </c>
      <c r="E1466" s="1">
        <v>15337775</v>
      </c>
      <c r="F1466" s="1">
        <v>3834444</v>
      </c>
      <c r="G1466" s="4">
        <f t="shared" si="67"/>
        <v>3139930.6638949565</v>
      </c>
      <c r="H1466" s="4">
        <f t="shared" si="68"/>
        <v>682133.38397262688</v>
      </c>
      <c r="I1466" s="17">
        <f t="shared" si="66"/>
        <v>0.78275527169556414</v>
      </c>
      <c r="J1466">
        <v>46.66</v>
      </c>
    </row>
    <row r="1467" spans="1:10" x14ac:dyDescent="0.25">
      <c r="A1467" t="s">
        <v>77</v>
      </c>
      <c r="B1467" t="s">
        <v>103</v>
      </c>
      <c r="C1467" t="s">
        <v>9</v>
      </c>
      <c r="D1467">
        <v>13.77</v>
      </c>
      <c r="E1467" s="1">
        <v>15888973</v>
      </c>
      <c r="F1467" s="1">
        <v>2187912</v>
      </c>
      <c r="G1467" s="4">
        <f t="shared" si="67"/>
        <v>3626089.9991684868</v>
      </c>
      <c r="H1467" s="4">
        <f t="shared" si="68"/>
        <v>733182.51316464425</v>
      </c>
      <c r="I1467" s="17">
        <f t="shared" si="66"/>
        <v>0.79780355332251185</v>
      </c>
      <c r="J1467">
        <v>41.95</v>
      </c>
    </row>
    <row r="1468" spans="1:10" x14ac:dyDescent="0.25">
      <c r="A1468" t="s">
        <v>78</v>
      </c>
      <c r="B1468" t="s">
        <v>103</v>
      </c>
      <c r="C1468" t="s">
        <v>9</v>
      </c>
      <c r="D1468">
        <v>29.84</v>
      </c>
      <c r="E1468" s="1">
        <v>15212950</v>
      </c>
      <c r="F1468" s="1">
        <v>4539544</v>
      </c>
      <c r="G1468" s="4">
        <f t="shared" si="67"/>
        <v>2619365.3997505456</v>
      </c>
      <c r="H1468" s="4">
        <f t="shared" si="68"/>
        <v>1057734.4392846278</v>
      </c>
      <c r="I1468" s="17">
        <f t="shared" si="66"/>
        <v>0.59618675600381654</v>
      </c>
      <c r="J1468">
        <v>49.24</v>
      </c>
    </row>
    <row r="1469" spans="1:10" x14ac:dyDescent="0.25">
      <c r="A1469" t="s">
        <v>79</v>
      </c>
      <c r="B1469" t="s">
        <v>103</v>
      </c>
      <c r="C1469" t="s">
        <v>9</v>
      </c>
      <c r="D1469">
        <v>17.38</v>
      </c>
      <c r="E1469" s="1">
        <v>15017745</v>
      </c>
      <c r="F1469" s="1">
        <v>2610084</v>
      </c>
      <c r="G1469" s="4">
        <f t="shared" si="67"/>
        <v>3963490.4199251635</v>
      </c>
      <c r="H1469" s="4">
        <f t="shared" si="68"/>
        <v>1441965.1623364533</v>
      </c>
      <c r="I1469" s="17">
        <f t="shared" si="66"/>
        <v>0.63618805407288459</v>
      </c>
      <c r="J1469">
        <v>41.18</v>
      </c>
    </row>
    <row r="1470" spans="1:10" x14ac:dyDescent="0.25">
      <c r="A1470" t="s">
        <v>80</v>
      </c>
      <c r="B1470" t="s">
        <v>103</v>
      </c>
      <c r="C1470" t="s">
        <v>9</v>
      </c>
      <c r="D1470">
        <v>25.59</v>
      </c>
      <c r="E1470" s="1">
        <v>14893195</v>
      </c>
      <c r="F1470" s="1">
        <v>3811169</v>
      </c>
      <c r="G1470" s="4">
        <f t="shared" si="67"/>
        <v>3016105.9259775486</v>
      </c>
      <c r="H1470" s="4">
        <f t="shared" si="68"/>
        <v>1590298.7928523447</v>
      </c>
      <c r="I1470" s="17">
        <f t="shared" si="66"/>
        <v>0.47273112023182218</v>
      </c>
      <c r="J1470">
        <v>45.24</v>
      </c>
    </row>
    <row r="1471" spans="1:10" x14ac:dyDescent="0.25">
      <c r="A1471" t="s">
        <v>81</v>
      </c>
      <c r="B1471" t="s">
        <v>103</v>
      </c>
      <c r="C1471" t="s">
        <v>9</v>
      </c>
      <c r="D1471">
        <v>15.85</v>
      </c>
      <c r="E1471" s="1">
        <v>15459542</v>
      </c>
      <c r="F1471" s="1">
        <v>2450337</v>
      </c>
      <c r="G1471" s="4">
        <f t="shared" si="67"/>
        <v>3572650.0777932643</v>
      </c>
      <c r="H1471" s="4">
        <f t="shared" si="68"/>
        <v>1431889.204981148</v>
      </c>
      <c r="I1471" s="17">
        <f t="shared" si="66"/>
        <v>0.59920810216443321</v>
      </c>
      <c r="J1471">
        <v>41.43</v>
      </c>
    </row>
    <row r="1472" spans="1:10" x14ac:dyDescent="0.25">
      <c r="A1472" t="s">
        <v>82</v>
      </c>
      <c r="B1472" t="s">
        <v>103</v>
      </c>
      <c r="C1472" t="s">
        <v>9</v>
      </c>
      <c r="D1472">
        <v>33.14</v>
      </c>
      <c r="E1472" s="1">
        <v>14299406</v>
      </c>
      <c r="F1472" s="1">
        <v>4738823</v>
      </c>
      <c r="G1472" s="4">
        <f t="shared" si="67"/>
        <v>2787030.9233379792</v>
      </c>
      <c r="H1472" s="4">
        <f t="shared" si="68"/>
        <v>1114064.7607978135</v>
      </c>
      <c r="I1472" s="17">
        <f t="shared" si="66"/>
        <v>0.60026824551213909</v>
      </c>
      <c r="J1472">
        <v>48.13</v>
      </c>
    </row>
    <row r="1473" spans="1:10" x14ac:dyDescent="0.25">
      <c r="A1473" t="s">
        <v>83</v>
      </c>
      <c r="B1473" t="s">
        <v>103</v>
      </c>
      <c r="C1473" t="s">
        <v>9</v>
      </c>
      <c r="D1473">
        <v>22.76</v>
      </c>
      <c r="E1473" s="1">
        <v>14442981</v>
      </c>
      <c r="F1473" s="1">
        <v>3287222</v>
      </c>
      <c r="G1473" s="4">
        <f t="shared" si="67"/>
        <v>4153285.3770013936</v>
      </c>
      <c r="H1473" s="4">
        <f t="shared" si="68"/>
        <v>1378550.4762588446</v>
      </c>
      <c r="I1473" s="17">
        <f t="shared" si="66"/>
        <v>0.66808192764877228</v>
      </c>
      <c r="J1473">
        <v>41.98</v>
      </c>
    </row>
    <row r="1474" spans="1:10" x14ac:dyDescent="0.25">
      <c r="A1474" t="s">
        <v>84</v>
      </c>
      <c r="B1474" t="s">
        <v>103</v>
      </c>
      <c r="C1474" t="s">
        <v>9</v>
      </c>
      <c r="D1474">
        <v>27.56</v>
      </c>
      <c r="E1474" s="1">
        <v>14968237</v>
      </c>
      <c r="F1474" s="1">
        <v>4125246</v>
      </c>
      <c r="G1474" s="4">
        <f t="shared" si="67"/>
        <v>3547041.0131004183</v>
      </c>
      <c r="H1474" s="4">
        <f t="shared" si="68"/>
        <v>1392736.4823839304</v>
      </c>
      <c r="I1474" s="17">
        <f t="shared" si="66"/>
        <v>0.60735258565094541</v>
      </c>
      <c r="J1474">
        <v>46.29</v>
      </c>
    </row>
    <row r="1475" spans="1:10" x14ac:dyDescent="0.25">
      <c r="A1475" t="s">
        <v>54</v>
      </c>
      <c r="B1475" t="s">
        <v>104</v>
      </c>
      <c r="C1475" t="s">
        <v>9</v>
      </c>
      <c r="D1475">
        <v>5.48</v>
      </c>
      <c r="E1475" s="1">
        <v>146688</v>
      </c>
      <c r="F1475" s="1">
        <v>8039</v>
      </c>
      <c r="G1475" s="4">
        <f t="shared" si="67"/>
        <v>3951784.5039301254</v>
      </c>
      <c r="H1475" s="4">
        <f t="shared" si="68"/>
        <v>1277220.8227735781</v>
      </c>
      <c r="I1475" s="17">
        <f t="shared" ref="I1475:I1538" si="69">(G1475-H1475)/G1475</f>
        <v>0.67679896980633492</v>
      </c>
      <c r="J1475">
        <v>44.06</v>
      </c>
    </row>
    <row r="1476" spans="1:10" x14ac:dyDescent="0.25">
      <c r="A1476" t="s">
        <v>55</v>
      </c>
      <c r="B1476" t="s">
        <v>104</v>
      </c>
      <c r="C1476" t="s">
        <v>9</v>
      </c>
      <c r="D1476">
        <v>13.11</v>
      </c>
      <c r="E1476" s="1">
        <v>162426</v>
      </c>
      <c r="F1476" s="1">
        <v>21294</v>
      </c>
      <c r="G1476" s="4">
        <f t="shared" ref="G1476:G1539" si="70">0.7*F1475+0.3*G1475</f>
        <v>1191162.6511790375</v>
      </c>
      <c r="H1476" s="4">
        <f t="shared" si="68"/>
        <v>2354960.3945450746</v>
      </c>
      <c r="I1476" s="17">
        <f t="shared" si="69"/>
        <v>-0.97702672444782068</v>
      </c>
      <c r="J1476">
        <v>53.04</v>
      </c>
    </row>
    <row r="1477" spans="1:10" x14ac:dyDescent="0.25">
      <c r="A1477" t="s">
        <v>56</v>
      </c>
      <c r="B1477" t="s">
        <v>104</v>
      </c>
      <c r="C1477" t="s">
        <v>9</v>
      </c>
      <c r="D1477">
        <v>1</v>
      </c>
      <c r="E1477" s="1">
        <v>161647</v>
      </c>
      <c r="F1477" s="1">
        <v>1616</v>
      </c>
      <c r="G1477" s="4">
        <f t="shared" si="70"/>
        <v>372254.59535371122</v>
      </c>
      <c r="H1477" s="4">
        <f t="shared" si="68"/>
        <v>2398335.6915199952</v>
      </c>
      <c r="I1477" s="17">
        <f t="shared" si="69"/>
        <v>-5.4427295766251849</v>
      </c>
      <c r="J1477">
        <v>46.3</v>
      </c>
    </row>
    <row r="1478" spans="1:10" x14ac:dyDescent="0.25">
      <c r="A1478" t="s">
        <v>60</v>
      </c>
      <c r="B1478" t="s">
        <v>104</v>
      </c>
      <c r="C1478" t="s">
        <v>9</v>
      </c>
      <c r="D1478">
        <v>0</v>
      </c>
      <c r="E1478" s="1">
        <v>133399</v>
      </c>
      <c r="F1478">
        <v>0</v>
      </c>
      <c r="G1478" s="4">
        <f t="shared" si="70"/>
        <v>112807.57860611335</v>
      </c>
      <c r="H1478" s="4">
        <f t="shared" ref="H1478:H1541" si="71">SQRT(SUMXMY2(F1475:F1477,G1475:G1477)/3)</f>
        <v>2384609.9771343679</v>
      </c>
      <c r="I1478" s="17">
        <f t="shared" si="69"/>
        <v>-20.138739139687015</v>
      </c>
      <c r="J1478">
        <v>37.72</v>
      </c>
    </row>
    <row r="1479" spans="1:10" x14ac:dyDescent="0.25">
      <c r="A1479" t="s">
        <v>62</v>
      </c>
      <c r="B1479" t="s">
        <v>104</v>
      </c>
      <c r="C1479" t="s">
        <v>9</v>
      </c>
      <c r="D1479">
        <v>5.81</v>
      </c>
      <c r="E1479" s="1">
        <v>141313</v>
      </c>
      <c r="F1479" s="1">
        <v>8210</v>
      </c>
      <c r="G1479" s="4">
        <f t="shared" si="70"/>
        <v>33842.273581834008</v>
      </c>
      <c r="H1479" s="4">
        <f t="shared" si="71"/>
        <v>711498.6950487463</v>
      </c>
      <c r="I1479" s="17">
        <f t="shared" si="69"/>
        <v>-20.023962628523499</v>
      </c>
      <c r="J1479">
        <v>42.36</v>
      </c>
    </row>
    <row r="1480" spans="1:10" x14ac:dyDescent="0.25">
      <c r="A1480" t="s">
        <v>64</v>
      </c>
      <c r="B1480" t="s">
        <v>104</v>
      </c>
      <c r="C1480" t="s">
        <v>9</v>
      </c>
      <c r="D1480">
        <v>12.68</v>
      </c>
      <c r="E1480" s="1">
        <v>160503</v>
      </c>
      <c r="F1480" s="1">
        <v>20352</v>
      </c>
      <c r="G1480" s="4">
        <f t="shared" si="70"/>
        <v>15899.682074550203</v>
      </c>
      <c r="H1480" s="4">
        <f t="shared" si="71"/>
        <v>224169.23042329765</v>
      </c>
      <c r="I1480" s="17">
        <f t="shared" si="69"/>
        <v>-13.098975650721579</v>
      </c>
      <c r="J1480">
        <v>51.82</v>
      </c>
    </row>
    <row r="1481" spans="1:10" x14ac:dyDescent="0.25">
      <c r="A1481" t="s">
        <v>66</v>
      </c>
      <c r="B1481" t="s">
        <v>104</v>
      </c>
      <c r="C1481" t="s">
        <v>9</v>
      </c>
      <c r="D1481">
        <v>1.37</v>
      </c>
      <c r="E1481" s="1">
        <v>154044</v>
      </c>
      <c r="F1481" s="1">
        <v>2110</v>
      </c>
      <c r="G1481" s="4">
        <f t="shared" si="70"/>
        <v>19016.30462236506</v>
      </c>
      <c r="H1481" s="4">
        <f t="shared" si="71"/>
        <v>66839.07633228162</v>
      </c>
      <c r="I1481" s="17">
        <f t="shared" si="69"/>
        <v>-2.5148299135717589</v>
      </c>
      <c r="J1481">
        <v>43.98</v>
      </c>
    </row>
    <row r="1482" spans="1:10" x14ac:dyDescent="0.25">
      <c r="A1482" t="s">
        <v>74</v>
      </c>
      <c r="B1482" t="s">
        <v>104</v>
      </c>
      <c r="C1482" t="s">
        <v>9</v>
      </c>
      <c r="D1482">
        <v>0</v>
      </c>
      <c r="E1482" s="1">
        <v>169640</v>
      </c>
      <c r="F1482">
        <v>0</v>
      </c>
      <c r="G1482" s="4">
        <f t="shared" si="70"/>
        <v>7181.891386709518</v>
      </c>
      <c r="H1482" s="4">
        <f t="shared" si="71"/>
        <v>17913.307156668656</v>
      </c>
      <c r="I1482" s="17">
        <f t="shared" si="69"/>
        <v>-1.4942325345964169</v>
      </c>
      <c r="J1482">
        <v>47.5</v>
      </c>
    </row>
    <row r="1483" spans="1:10" x14ac:dyDescent="0.25">
      <c r="A1483" t="s">
        <v>7</v>
      </c>
      <c r="B1483" t="s">
        <v>105</v>
      </c>
      <c r="C1483" t="s">
        <v>9</v>
      </c>
      <c r="D1483">
        <v>8.17</v>
      </c>
      <c r="E1483" s="1">
        <v>17782398</v>
      </c>
      <c r="F1483" s="1">
        <v>1452822</v>
      </c>
      <c r="G1483" s="4">
        <f t="shared" si="70"/>
        <v>2154.5674160128551</v>
      </c>
      <c r="H1483" s="4">
        <f t="shared" si="71"/>
        <v>10912.161942590727</v>
      </c>
      <c r="I1483" s="17">
        <f t="shared" si="69"/>
        <v>-4.064664888873275</v>
      </c>
      <c r="J1483">
        <v>63.34</v>
      </c>
    </row>
    <row r="1484" spans="1:10" x14ac:dyDescent="0.25">
      <c r="A1484" t="s">
        <v>10</v>
      </c>
      <c r="B1484" t="s">
        <v>105</v>
      </c>
      <c r="C1484" t="s">
        <v>9</v>
      </c>
      <c r="D1484">
        <v>2.6</v>
      </c>
      <c r="E1484" s="1">
        <v>18168328</v>
      </c>
      <c r="F1484" s="1">
        <v>472377</v>
      </c>
      <c r="G1484" s="4">
        <f t="shared" si="70"/>
        <v>1017621.7702248037</v>
      </c>
      <c r="H1484" s="4">
        <f t="shared" si="71"/>
        <v>837610.37136600527</v>
      </c>
      <c r="I1484" s="17">
        <f t="shared" si="69"/>
        <v>0.17689420974065045</v>
      </c>
      <c r="J1484">
        <v>60.92</v>
      </c>
    </row>
    <row r="1485" spans="1:10" x14ac:dyDescent="0.25">
      <c r="A1485" t="s">
        <v>11</v>
      </c>
      <c r="B1485" t="s">
        <v>105</v>
      </c>
      <c r="C1485" t="s">
        <v>9</v>
      </c>
      <c r="D1485">
        <v>9.11</v>
      </c>
      <c r="E1485" s="1">
        <v>17700247</v>
      </c>
      <c r="F1485" s="1">
        <v>1612493</v>
      </c>
      <c r="G1485" s="4">
        <f t="shared" si="70"/>
        <v>635950.43106744112</v>
      </c>
      <c r="H1485" s="4">
        <f t="shared" si="71"/>
        <v>894758.7084387996</v>
      </c>
      <c r="I1485" s="17">
        <f t="shared" si="69"/>
        <v>-0.40696297184192398</v>
      </c>
      <c r="J1485">
        <v>63.51</v>
      </c>
    </row>
    <row r="1486" spans="1:10" x14ac:dyDescent="0.25">
      <c r="A1486" t="s">
        <v>12</v>
      </c>
      <c r="B1486" t="s">
        <v>105</v>
      </c>
      <c r="C1486" t="s">
        <v>9</v>
      </c>
      <c r="D1486">
        <v>11.58</v>
      </c>
      <c r="E1486" s="1">
        <v>17653242</v>
      </c>
      <c r="F1486" s="1">
        <v>2044245</v>
      </c>
      <c r="G1486" s="4">
        <f t="shared" si="70"/>
        <v>1319530.2293202323</v>
      </c>
      <c r="H1486" s="4">
        <f t="shared" si="71"/>
        <v>1057570.0525819741</v>
      </c>
      <c r="I1486" s="17">
        <f t="shared" si="69"/>
        <v>0.19852533190786339</v>
      </c>
      <c r="J1486">
        <v>65.02</v>
      </c>
    </row>
    <row r="1487" spans="1:10" x14ac:dyDescent="0.25">
      <c r="A1487" t="s">
        <v>13</v>
      </c>
      <c r="B1487" t="s">
        <v>105</v>
      </c>
      <c r="C1487" t="s">
        <v>9</v>
      </c>
      <c r="D1487">
        <v>9.81</v>
      </c>
      <c r="E1487" s="1">
        <v>18507825</v>
      </c>
      <c r="F1487" s="1">
        <v>1815618</v>
      </c>
      <c r="G1487" s="4">
        <f t="shared" si="70"/>
        <v>1826830.5687960696</v>
      </c>
      <c r="H1487" s="4">
        <f t="shared" si="71"/>
        <v>769445.41656882735</v>
      </c>
      <c r="I1487" s="17">
        <f t="shared" si="69"/>
        <v>0.57880854978471674</v>
      </c>
      <c r="J1487">
        <v>66.73</v>
      </c>
    </row>
    <row r="1488" spans="1:10" x14ac:dyDescent="0.25">
      <c r="A1488" t="s">
        <v>14</v>
      </c>
      <c r="B1488" t="s">
        <v>105</v>
      </c>
      <c r="C1488" t="s">
        <v>9</v>
      </c>
      <c r="D1488">
        <v>4.08</v>
      </c>
      <c r="E1488" s="1">
        <v>17158603</v>
      </c>
      <c r="F1488" s="1">
        <v>700071</v>
      </c>
      <c r="G1488" s="4">
        <f t="shared" si="70"/>
        <v>1818981.7706388207</v>
      </c>
      <c r="H1488" s="4">
        <f t="shared" si="71"/>
        <v>702133.08555141138</v>
      </c>
      <c r="I1488" s="17">
        <f t="shared" si="69"/>
        <v>0.6139966343341503</v>
      </c>
      <c r="J1488">
        <v>58.09</v>
      </c>
    </row>
    <row r="1489" spans="1:10" x14ac:dyDescent="0.25">
      <c r="A1489" t="s">
        <v>15</v>
      </c>
      <c r="B1489" t="s">
        <v>105</v>
      </c>
      <c r="C1489" t="s">
        <v>9</v>
      </c>
      <c r="D1489">
        <v>3.27</v>
      </c>
      <c r="E1489" s="1">
        <v>17805142</v>
      </c>
      <c r="F1489" s="1">
        <v>582228</v>
      </c>
      <c r="G1489" s="4">
        <f t="shared" si="70"/>
        <v>1035744.2311916462</v>
      </c>
      <c r="H1489" s="4">
        <f t="shared" si="71"/>
        <v>769696.59242933604</v>
      </c>
      <c r="I1489" s="17">
        <f t="shared" si="69"/>
        <v>0.25686615551429776</v>
      </c>
      <c r="J1489">
        <v>59.69</v>
      </c>
    </row>
    <row r="1490" spans="1:10" x14ac:dyDescent="0.25">
      <c r="A1490" t="s">
        <v>16</v>
      </c>
      <c r="B1490" t="s">
        <v>105</v>
      </c>
      <c r="C1490" t="s">
        <v>9</v>
      </c>
      <c r="D1490">
        <v>6.17</v>
      </c>
      <c r="E1490" s="1">
        <v>18626660</v>
      </c>
      <c r="F1490" s="1">
        <v>1149265</v>
      </c>
      <c r="G1490" s="4">
        <f t="shared" si="70"/>
        <v>718282.86935749382</v>
      </c>
      <c r="H1490" s="4">
        <f t="shared" si="71"/>
        <v>697080.58030255511</v>
      </c>
      <c r="I1490" s="17">
        <f t="shared" si="69"/>
        <v>2.9518021324807898E-2</v>
      </c>
      <c r="J1490">
        <v>64.290000000000006</v>
      </c>
    </row>
    <row r="1491" spans="1:10" x14ac:dyDescent="0.25">
      <c r="A1491" t="s">
        <v>17</v>
      </c>
      <c r="B1491" t="s">
        <v>105</v>
      </c>
      <c r="C1491" t="s">
        <v>9</v>
      </c>
      <c r="D1491">
        <v>19.3</v>
      </c>
      <c r="E1491" s="1">
        <v>17836139</v>
      </c>
      <c r="F1491" s="1">
        <v>3442375</v>
      </c>
      <c r="G1491" s="4">
        <f t="shared" si="70"/>
        <v>1019970.3608072482</v>
      </c>
      <c r="H1491" s="4">
        <f t="shared" si="71"/>
        <v>740131.49316838477</v>
      </c>
      <c r="I1491" s="17">
        <f t="shared" si="69"/>
        <v>0.27435980337446958</v>
      </c>
      <c r="J1491">
        <v>71.47</v>
      </c>
    </row>
    <row r="1492" spans="1:10" x14ac:dyDescent="0.25">
      <c r="A1492" t="s">
        <v>18</v>
      </c>
      <c r="B1492" t="s">
        <v>105</v>
      </c>
      <c r="C1492" t="s">
        <v>9</v>
      </c>
      <c r="D1492">
        <v>12.03</v>
      </c>
      <c r="E1492" s="1">
        <v>17155077</v>
      </c>
      <c r="F1492" s="1">
        <v>2063756</v>
      </c>
      <c r="G1492" s="4">
        <f t="shared" si="70"/>
        <v>2715653.6082421746</v>
      </c>
      <c r="H1492" s="4">
        <f t="shared" si="71"/>
        <v>1444468.3918164028</v>
      </c>
      <c r="I1492" s="17">
        <f t="shared" si="69"/>
        <v>0.46809549368433701</v>
      </c>
      <c r="J1492">
        <v>62.97</v>
      </c>
    </row>
    <row r="1493" spans="1:10" x14ac:dyDescent="0.25">
      <c r="A1493" t="s">
        <v>19</v>
      </c>
      <c r="B1493" t="s">
        <v>105</v>
      </c>
      <c r="C1493" t="s">
        <v>9</v>
      </c>
      <c r="D1493">
        <v>4.5</v>
      </c>
      <c r="E1493" s="1">
        <v>17644912</v>
      </c>
      <c r="F1493" s="1">
        <v>794021</v>
      </c>
      <c r="G1493" s="4">
        <f t="shared" si="70"/>
        <v>2259325.2824726524</v>
      </c>
      <c r="H1493" s="4">
        <f t="shared" si="71"/>
        <v>1469553.2568944877</v>
      </c>
      <c r="I1493" s="17">
        <f t="shared" si="69"/>
        <v>0.34956100907870241</v>
      </c>
      <c r="J1493">
        <v>59.58</v>
      </c>
    </row>
    <row r="1494" spans="1:10" x14ac:dyDescent="0.25">
      <c r="A1494" t="s">
        <v>20</v>
      </c>
      <c r="B1494" t="s">
        <v>105</v>
      </c>
      <c r="C1494" t="s">
        <v>9</v>
      </c>
      <c r="D1494">
        <v>5.47</v>
      </c>
      <c r="E1494" s="1">
        <v>18144210</v>
      </c>
      <c r="F1494" s="1">
        <v>992488</v>
      </c>
      <c r="G1494" s="4">
        <f t="shared" si="70"/>
        <v>1233612.2847417956</v>
      </c>
      <c r="H1494" s="4">
        <f t="shared" si="71"/>
        <v>1677312.4701783236</v>
      </c>
      <c r="I1494" s="17">
        <f t="shared" si="69"/>
        <v>-0.35967555683785829</v>
      </c>
      <c r="J1494">
        <v>61.8</v>
      </c>
    </row>
    <row r="1495" spans="1:10" x14ac:dyDescent="0.25">
      <c r="A1495" t="s">
        <v>21</v>
      </c>
      <c r="B1495" t="s">
        <v>105</v>
      </c>
      <c r="C1495" t="s">
        <v>9</v>
      </c>
      <c r="D1495">
        <v>12.84</v>
      </c>
      <c r="E1495" s="1">
        <v>18099581</v>
      </c>
      <c r="F1495" s="1">
        <v>2323986</v>
      </c>
      <c r="G1495" s="4">
        <f t="shared" si="70"/>
        <v>1064825.2854225386</v>
      </c>
      <c r="H1495" s="4">
        <f t="shared" si="71"/>
        <v>936345.38722930744</v>
      </c>
      <c r="I1495" s="17">
        <f t="shared" si="69"/>
        <v>0.12065819618684999</v>
      </c>
      <c r="J1495">
        <v>66.77</v>
      </c>
    </row>
    <row r="1496" spans="1:10" x14ac:dyDescent="0.25">
      <c r="A1496" t="s">
        <v>22</v>
      </c>
      <c r="B1496" t="s">
        <v>105</v>
      </c>
      <c r="C1496" t="s">
        <v>9</v>
      </c>
      <c r="D1496">
        <v>6.8</v>
      </c>
      <c r="E1496" s="1">
        <v>17377130</v>
      </c>
      <c r="F1496" s="1">
        <v>1181645</v>
      </c>
      <c r="G1496" s="4">
        <f t="shared" si="70"/>
        <v>1946237.7856267616</v>
      </c>
      <c r="H1496" s="4">
        <f t="shared" si="71"/>
        <v>1124091.2279200119</v>
      </c>
      <c r="I1496" s="17">
        <f t="shared" si="69"/>
        <v>0.42242862808358628</v>
      </c>
      <c r="J1496">
        <v>59.87</v>
      </c>
    </row>
    <row r="1497" spans="1:10" x14ac:dyDescent="0.25">
      <c r="A1497" t="s">
        <v>23</v>
      </c>
      <c r="B1497" t="s">
        <v>105</v>
      </c>
      <c r="C1497" t="s">
        <v>9</v>
      </c>
      <c r="D1497">
        <v>2.52</v>
      </c>
      <c r="E1497" s="1">
        <v>17849223</v>
      </c>
      <c r="F1497" s="1">
        <v>449800</v>
      </c>
      <c r="G1497" s="4">
        <f t="shared" si="70"/>
        <v>1411022.8356880285</v>
      </c>
      <c r="H1497" s="4">
        <f t="shared" si="71"/>
        <v>861825.34070811141</v>
      </c>
      <c r="I1497" s="17">
        <f t="shared" si="69"/>
        <v>0.38921942373251744</v>
      </c>
      <c r="J1497">
        <v>58.71</v>
      </c>
    </row>
    <row r="1498" spans="1:10" x14ac:dyDescent="0.25">
      <c r="A1498" t="s">
        <v>24</v>
      </c>
      <c r="B1498" t="s">
        <v>105</v>
      </c>
      <c r="C1498" t="s">
        <v>9</v>
      </c>
      <c r="D1498">
        <v>6.21</v>
      </c>
      <c r="E1498" s="1">
        <v>17777485</v>
      </c>
      <c r="F1498" s="1">
        <v>1103982</v>
      </c>
      <c r="G1498" s="4">
        <f t="shared" si="70"/>
        <v>738166.8507064085</v>
      </c>
      <c r="H1498" s="4">
        <f t="shared" si="71"/>
        <v>1015551.9308592494</v>
      </c>
      <c r="I1498" s="17">
        <f t="shared" si="69"/>
        <v>-0.3757755850013989</v>
      </c>
      <c r="J1498">
        <v>60.69</v>
      </c>
    </row>
    <row r="1499" spans="1:10" x14ac:dyDescent="0.25">
      <c r="A1499" t="s">
        <v>25</v>
      </c>
      <c r="B1499" t="s">
        <v>105</v>
      </c>
      <c r="C1499" t="s">
        <v>9</v>
      </c>
      <c r="D1499">
        <v>3.59</v>
      </c>
      <c r="E1499" s="1">
        <v>18229170</v>
      </c>
      <c r="F1499" s="1">
        <v>654427</v>
      </c>
      <c r="G1499" s="4">
        <f t="shared" si="70"/>
        <v>994237.45521192241</v>
      </c>
      <c r="H1499" s="4">
        <f t="shared" si="71"/>
        <v>739903.64037788019</v>
      </c>
      <c r="I1499" s="17">
        <f t="shared" si="69"/>
        <v>0.25580791942688458</v>
      </c>
      <c r="J1499">
        <v>60.45</v>
      </c>
    </row>
    <row r="1500" spans="1:10" x14ac:dyDescent="0.25">
      <c r="A1500" t="s">
        <v>26</v>
      </c>
      <c r="B1500" t="s">
        <v>105</v>
      </c>
      <c r="C1500" t="s">
        <v>9</v>
      </c>
      <c r="D1500">
        <v>0.7</v>
      </c>
      <c r="E1500" s="1">
        <v>17385311</v>
      </c>
      <c r="F1500" s="1">
        <v>121697</v>
      </c>
      <c r="G1500" s="4">
        <f t="shared" si="70"/>
        <v>756370.13656357676</v>
      </c>
      <c r="H1500" s="4">
        <f t="shared" si="71"/>
        <v>625364.21621648106</v>
      </c>
      <c r="I1500" s="17">
        <f t="shared" si="69"/>
        <v>0.17320345425362255</v>
      </c>
      <c r="J1500">
        <v>55.9</v>
      </c>
    </row>
    <row r="1501" spans="1:10" x14ac:dyDescent="0.25">
      <c r="A1501" t="s">
        <v>27</v>
      </c>
      <c r="B1501" t="s">
        <v>105</v>
      </c>
      <c r="C1501" t="s">
        <v>9</v>
      </c>
      <c r="D1501">
        <v>2.83</v>
      </c>
      <c r="E1501" s="1">
        <v>17402243</v>
      </c>
      <c r="F1501" s="1">
        <v>492483</v>
      </c>
      <c r="G1501" s="4">
        <f t="shared" si="70"/>
        <v>312098.94096907298</v>
      </c>
      <c r="H1501" s="4">
        <f t="shared" si="71"/>
        <v>466226.64702891558</v>
      </c>
      <c r="I1501" s="17">
        <f t="shared" si="69"/>
        <v>-0.49384245131134769</v>
      </c>
      <c r="J1501">
        <v>57.09</v>
      </c>
    </row>
    <row r="1502" spans="1:10" x14ac:dyDescent="0.25">
      <c r="A1502" t="s">
        <v>28</v>
      </c>
      <c r="B1502" t="s">
        <v>105</v>
      </c>
      <c r="C1502" t="s">
        <v>9</v>
      </c>
      <c r="D1502">
        <v>3.21</v>
      </c>
      <c r="E1502" s="1">
        <v>16681303</v>
      </c>
      <c r="F1502" s="1">
        <v>535470</v>
      </c>
      <c r="G1502" s="4">
        <f t="shared" si="70"/>
        <v>438367.78229072189</v>
      </c>
      <c r="H1502" s="4">
        <f t="shared" si="71"/>
        <v>428493.30780431704</v>
      </c>
      <c r="I1502" s="17">
        <f t="shared" si="69"/>
        <v>2.2525547919614641E-2</v>
      </c>
      <c r="J1502">
        <v>54.87</v>
      </c>
    </row>
    <row r="1503" spans="1:10" x14ac:dyDescent="0.25">
      <c r="A1503" t="s">
        <v>29</v>
      </c>
      <c r="B1503" t="s">
        <v>105</v>
      </c>
      <c r="C1503" t="s">
        <v>9</v>
      </c>
      <c r="D1503">
        <v>2.89</v>
      </c>
      <c r="E1503" s="1">
        <v>18198296</v>
      </c>
      <c r="F1503" s="1">
        <v>525931</v>
      </c>
      <c r="G1503" s="4">
        <f t="shared" si="70"/>
        <v>506339.33468721656</v>
      </c>
      <c r="H1503" s="4">
        <f t="shared" si="71"/>
        <v>385044.25707182527</v>
      </c>
      <c r="I1503" s="17">
        <f t="shared" si="69"/>
        <v>0.2395529426729596</v>
      </c>
      <c r="J1503">
        <v>59.57</v>
      </c>
    </row>
    <row r="1504" spans="1:10" x14ac:dyDescent="0.25">
      <c r="A1504" t="s">
        <v>30</v>
      </c>
      <c r="B1504" t="s">
        <v>105</v>
      </c>
      <c r="C1504" t="s">
        <v>9</v>
      </c>
      <c r="D1504">
        <v>3.68</v>
      </c>
      <c r="E1504" s="1">
        <v>17015138</v>
      </c>
      <c r="F1504" s="1">
        <v>626157</v>
      </c>
      <c r="G1504" s="4">
        <f t="shared" si="70"/>
        <v>520053.50040616491</v>
      </c>
      <c r="H1504" s="4">
        <f t="shared" si="71"/>
        <v>118815.09834789674</v>
      </c>
      <c r="I1504" s="17">
        <f t="shared" si="69"/>
        <v>0.77153293217889818</v>
      </c>
      <c r="J1504">
        <v>56.08</v>
      </c>
    </row>
    <row r="1505" spans="1:10" x14ac:dyDescent="0.25">
      <c r="A1505" t="s">
        <v>31</v>
      </c>
      <c r="B1505" t="s">
        <v>105</v>
      </c>
      <c r="C1505" t="s">
        <v>9</v>
      </c>
      <c r="D1505">
        <v>2.2999999999999998</v>
      </c>
      <c r="E1505" s="1">
        <v>17373818</v>
      </c>
      <c r="F1505" s="1">
        <v>399598</v>
      </c>
      <c r="G1505" s="4">
        <f t="shared" si="70"/>
        <v>594325.95012184943</v>
      </c>
      <c r="H1505" s="4">
        <f t="shared" si="71"/>
        <v>83806.576233306681</v>
      </c>
      <c r="I1505" s="17">
        <f t="shared" si="69"/>
        <v>0.85898886593101897</v>
      </c>
      <c r="J1505">
        <v>56.37</v>
      </c>
    </row>
    <row r="1506" spans="1:10" x14ac:dyDescent="0.25">
      <c r="A1506" t="s">
        <v>32</v>
      </c>
      <c r="B1506" t="s">
        <v>105</v>
      </c>
      <c r="C1506" t="s">
        <v>9</v>
      </c>
      <c r="D1506">
        <v>2.12</v>
      </c>
      <c r="E1506" s="1">
        <v>17203829</v>
      </c>
      <c r="F1506" s="1">
        <v>364721</v>
      </c>
      <c r="G1506" s="4">
        <f t="shared" si="70"/>
        <v>458016.38503655477</v>
      </c>
      <c r="H1506" s="4">
        <f t="shared" si="71"/>
        <v>128531.13829528439</v>
      </c>
      <c r="I1506" s="17">
        <f t="shared" si="69"/>
        <v>0.71937436630127072</v>
      </c>
      <c r="J1506">
        <v>55.64</v>
      </c>
    </row>
    <row r="1507" spans="1:10" x14ac:dyDescent="0.25">
      <c r="A1507" t="s">
        <v>33</v>
      </c>
      <c r="B1507" t="s">
        <v>105</v>
      </c>
      <c r="C1507" t="s">
        <v>9</v>
      </c>
      <c r="D1507">
        <v>2.2000000000000002</v>
      </c>
      <c r="E1507" s="1">
        <v>17782265</v>
      </c>
      <c r="F1507" s="1">
        <v>391210</v>
      </c>
      <c r="G1507" s="4">
        <f t="shared" si="70"/>
        <v>392709.6155109664</v>
      </c>
      <c r="H1507" s="4">
        <f t="shared" si="71"/>
        <v>138901.5911281982</v>
      </c>
      <c r="I1507" s="17">
        <f t="shared" si="69"/>
        <v>0.64629949040725898</v>
      </c>
      <c r="J1507">
        <v>57.47</v>
      </c>
    </row>
    <row r="1508" spans="1:10" x14ac:dyDescent="0.25">
      <c r="A1508" t="s">
        <v>34</v>
      </c>
      <c r="B1508" t="s">
        <v>105</v>
      </c>
      <c r="C1508" t="s">
        <v>9</v>
      </c>
      <c r="D1508">
        <v>2.2400000000000002</v>
      </c>
      <c r="E1508" s="1">
        <v>16418900</v>
      </c>
      <c r="F1508" s="1">
        <v>367783</v>
      </c>
      <c r="G1508" s="4">
        <f t="shared" si="70"/>
        <v>391659.88465328992</v>
      </c>
      <c r="H1508" s="4">
        <f t="shared" si="71"/>
        <v>124666.55829913814</v>
      </c>
      <c r="I1508" s="17">
        <f t="shared" si="69"/>
        <v>0.68169689267641731</v>
      </c>
      <c r="J1508">
        <v>53.02</v>
      </c>
    </row>
    <row r="1509" spans="1:10" x14ac:dyDescent="0.25">
      <c r="A1509" t="s">
        <v>35</v>
      </c>
      <c r="B1509" t="s">
        <v>105</v>
      </c>
      <c r="C1509" t="s">
        <v>9</v>
      </c>
      <c r="D1509">
        <v>2.56</v>
      </c>
      <c r="E1509" s="1">
        <v>16873055</v>
      </c>
      <c r="F1509" s="1">
        <v>431950</v>
      </c>
      <c r="G1509" s="4">
        <f t="shared" si="70"/>
        <v>374946.06539598695</v>
      </c>
      <c r="H1509" s="4">
        <f t="shared" si="71"/>
        <v>55606.904057398751</v>
      </c>
      <c r="I1509" s="17">
        <f t="shared" si="69"/>
        <v>0.85169359225393837</v>
      </c>
      <c r="J1509">
        <v>54.58</v>
      </c>
    </row>
    <row r="1510" spans="1:10" x14ac:dyDescent="0.25">
      <c r="A1510" t="s">
        <v>36</v>
      </c>
      <c r="B1510" t="s">
        <v>105</v>
      </c>
      <c r="C1510" t="s">
        <v>9</v>
      </c>
      <c r="D1510">
        <v>1.39</v>
      </c>
      <c r="E1510" s="1">
        <v>17222000</v>
      </c>
      <c r="F1510" s="1">
        <v>239386</v>
      </c>
      <c r="G1510" s="4">
        <f t="shared" si="70"/>
        <v>414848.81961879611</v>
      </c>
      <c r="H1510" s="4">
        <f t="shared" si="71"/>
        <v>35692.216834887309</v>
      </c>
      <c r="I1510" s="17">
        <f t="shared" si="69"/>
        <v>0.91396331591907432</v>
      </c>
      <c r="J1510">
        <v>54.97</v>
      </c>
    </row>
    <row r="1511" spans="1:10" x14ac:dyDescent="0.25">
      <c r="A1511" t="s">
        <v>37</v>
      </c>
      <c r="B1511" t="s">
        <v>105</v>
      </c>
      <c r="C1511" t="s">
        <v>9</v>
      </c>
      <c r="D1511">
        <v>1.82</v>
      </c>
      <c r="E1511" s="1">
        <v>17536067</v>
      </c>
      <c r="F1511" s="1">
        <v>319156</v>
      </c>
      <c r="G1511" s="4">
        <f t="shared" si="70"/>
        <v>292024.84588563885</v>
      </c>
      <c r="H1511" s="4">
        <f t="shared" si="71"/>
        <v>107403.84110087078</v>
      </c>
      <c r="I1511" s="17">
        <f t="shared" si="69"/>
        <v>0.63220992112797258</v>
      </c>
      <c r="J1511">
        <v>56.14</v>
      </c>
    </row>
    <row r="1512" spans="1:10" x14ac:dyDescent="0.25">
      <c r="A1512" t="s">
        <v>38</v>
      </c>
      <c r="B1512" t="s">
        <v>105</v>
      </c>
      <c r="C1512" t="s">
        <v>9</v>
      </c>
      <c r="D1512">
        <v>1.34</v>
      </c>
      <c r="E1512" s="1">
        <v>16384171</v>
      </c>
      <c r="F1512" s="1">
        <v>219548</v>
      </c>
      <c r="G1512" s="4">
        <f t="shared" si="70"/>
        <v>311016.65376569162</v>
      </c>
      <c r="H1512" s="4">
        <f t="shared" si="71"/>
        <v>107661.11825614977</v>
      </c>
      <c r="I1512" s="17">
        <f t="shared" si="69"/>
        <v>0.65384130736208856</v>
      </c>
      <c r="J1512">
        <v>52.12</v>
      </c>
    </row>
    <row r="1513" spans="1:10" x14ac:dyDescent="0.25">
      <c r="A1513" t="s">
        <v>39</v>
      </c>
      <c r="B1513" t="s">
        <v>105</v>
      </c>
      <c r="C1513" t="s">
        <v>9</v>
      </c>
      <c r="D1513">
        <v>2.2000000000000002</v>
      </c>
      <c r="E1513" s="1">
        <v>16728240</v>
      </c>
      <c r="F1513" s="1">
        <v>368021</v>
      </c>
      <c r="G1513" s="4">
        <f t="shared" si="70"/>
        <v>246988.59612970747</v>
      </c>
      <c r="H1513" s="4">
        <f t="shared" si="71"/>
        <v>115310.90612464976</v>
      </c>
      <c r="I1513" s="17">
        <f t="shared" si="69"/>
        <v>0.53313267117768637</v>
      </c>
      <c r="J1513">
        <v>53.61</v>
      </c>
    </row>
    <row r="1514" spans="1:10" x14ac:dyDescent="0.25">
      <c r="A1514" t="s">
        <v>40</v>
      </c>
      <c r="B1514" t="s">
        <v>105</v>
      </c>
      <c r="C1514" t="s">
        <v>9</v>
      </c>
      <c r="D1514">
        <v>1.17</v>
      </c>
      <c r="E1514" s="1">
        <v>16376394</v>
      </c>
      <c r="F1514" s="1">
        <v>191604</v>
      </c>
      <c r="G1514" s="4">
        <f t="shared" si="70"/>
        <v>331711.2788389122</v>
      </c>
      <c r="H1514" s="4">
        <f t="shared" si="71"/>
        <v>88978.381141913327</v>
      </c>
      <c r="I1514" s="17">
        <f t="shared" si="69"/>
        <v>0.73175955471467824</v>
      </c>
      <c r="J1514">
        <v>51.86</v>
      </c>
    </row>
    <row r="1515" spans="1:10" x14ac:dyDescent="0.25">
      <c r="A1515" t="s">
        <v>41</v>
      </c>
      <c r="B1515" t="s">
        <v>105</v>
      </c>
      <c r="C1515" t="s">
        <v>9</v>
      </c>
      <c r="D1515">
        <v>1.8</v>
      </c>
      <c r="E1515" s="1">
        <v>16274296</v>
      </c>
      <c r="F1515" s="1">
        <v>292937</v>
      </c>
      <c r="G1515" s="4">
        <f t="shared" si="70"/>
        <v>233636.18365167367</v>
      </c>
      <c r="H1515" s="4">
        <f t="shared" si="71"/>
        <v>119227.24379935747</v>
      </c>
      <c r="I1515" s="17">
        <f t="shared" si="69"/>
        <v>0.48968844664441008</v>
      </c>
      <c r="J1515">
        <v>51.79</v>
      </c>
    </row>
    <row r="1516" spans="1:10" x14ac:dyDescent="0.25">
      <c r="A1516" t="s">
        <v>42</v>
      </c>
      <c r="B1516" t="s">
        <v>105</v>
      </c>
      <c r="C1516" t="s">
        <v>9</v>
      </c>
      <c r="D1516">
        <v>0.64</v>
      </c>
      <c r="E1516" s="1">
        <v>16108818</v>
      </c>
      <c r="F1516" s="1">
        <v>103096</v>
      </c>
      <c r="G1516" s="4">
        <f t="shared" si="70"/>
        <v>275146.75509550207</v>
      </c>
      <c r="H1516" s="4">
        <f t="shared" si="71"/>
        <v>112243.00897285946</v>
      </c>
      <c r="I1516" s="17">
        <f t="shared" si="69"/>
        <v>0.59206130221706421</v>
      </c>
      <c r="J1516">
        <v>50.59</v>
      </c>
    </row>
    <row r="1517" spans="1:10" x14ac:dyDescent="0.25">
      <c r="A1517" t="s">
        <v>43</v>
      </c>
      <c r="B1517" t="s">
        <v>105</v>
      </c>
      <c r="C1517" t="s">
        <v>9</v>
      </c>
      <c r="D1517">
        <v>2.59</v>
      </c>
      <c r="E1517" s="1">
        <v>16850621</v>
      </c>
      <c r="F1517" s="1">
        <v>436431</v>
      </c>
      <c r="G1517" s="4">
        <f t="shared" si="70"/>
        <v>154711.22652865062</v>
      </c>
      <c r="H1517" s="4">
        <f t="shared" si="71"/>
        <v>132599.77216188953</v>
      </c>
      <c r="I1517" s="17">
        <f t="shared" si="69"/>
        <v>0.14292081358857509</v>
      </c>
      <c r="J1517">
        <v>53.91</v>
      </c>
    </row>
    <row r="1518" spans="1:10" x14ac:dyDescent="0.25">
      <c r="A1518" t="s">
        <v>44</v>
      </c>
      <c r="B1518" t="s">
        <v>105</v>
      </c>
      <c r="C1518" t="s">
        <v>9</v>
      </c>
      <c r="D1518">
        <v>1.29</v>
      </c>
      <c r="E1518" s="1">
        <v>15440928</v>
      </c>
      <c r="F1518" s="1">
        <v>199188</v>
      </c>
      <c r="G1518" s="4">
        <f t="shared" si="70"/>
        <v>351915.06795859511</v>
      </c>
      <c r="H1518" s="4">
        <f t="shared" si="71"/>
        <v>193635.46499652276</v>
      </c>
      <c r="I1518" s="17">
        <f t="shared" si="69"/>
        <v>0.4497664845106743</v>
      </c>
      <c r="J1518">
        <v>48.68</v>
      </c>
    </row>
    <row r="1519" spans="1:10" x14ac:dyDescent="0.25">
      <c r="A1519" t="s">
        <v>45</v>
      </c>
      <c r="B1519" t="s">
        <v>105</v>
      </c>
      <c r="C1519" t="s">
        <v>9</v>
      </c>
      <c r="D1519">
        <v>2.67</v>
      </c>
      <c r="E1519" s="1">
        <v>15510576</v>
      </c>
      <c r="F1519" s="1">
        <v>414132</v>
      </c>
      <c r="G1519" s="4">
        <f t="shared" si="70"/>
        <v>245006.1203875785</v>
      </c>
      <c r="H1519" s="4">
        <f t="shared" si="71"/>
        <v>209994.4843568597</v>
      </c>
      <c r="I1519" s="17">
        <f t="shared" si="69"/>
        <v>0.14290106702368668</v>
      </c>
      <c r="J1519">
        <v>49.52</v>
      </c>
    </row>
    <row r="1520" spans="1:10" x14ac:dyDescent="0.25">
      <c r="A1520" t="s">
        <v>46</v>
      </c>
      <c r="B1520" t="s">
        <v>105</v>
      </c>
      <c r="C1520" t="s">
        <v>9</v>
      </c>
      <c r="D1520">
        <v>1.68</v>
      </c>
      <c r="E1520" s="1">
        <v>15640955</v>
      </c>
      <c r="F1520" s="1">
        <v>262768</v>
      </c>
      <c r="G1520" s="4">
        <f t="shared" si="70"/>
        <v>363394.2361162735</v>
      </c>
      <c r="H1520" s="4">
        <f t="shared" si="71"/>
        <v>209200.98088254195</v>
      </c>
      <c r="I1520" s="17">
        <f t="shared" si="69"/>
        <v>0.42431398164607953</v>
      </c>
      <c r="J1520">
        <v>49.36</v>
      </c>
    </row>
    <row r="1521" spans="1:10" x14ac:dyDescent="0.25">
      <c r="A1521" t="s">
        <v>47</v>
      </c>
      <c r="B1521" t="s">
        <v>105</v>
      </c>
      <c r="C1521" t="s">
        <v>9</v>
      </c>
      <c r="D1521">
        <v>1.21</v>
      </c>
      <c r="E1521" s="1">
        <v>16405972</v>
      </c>
      <c r="F1521" s="1">
        <v>198512</v>
      </c>
      <c r="G1521" s="4">
        <f t="shared" si="70"/>
        <v>292955.87083488202</v>
      </c>
      <c r="H1521" s="4">
        <f t="shared" si="71"/>
        <v>143822.5293394984</v>
      </c>
      <c r="I1521" s="17">
        <f t="shared" si="69"/>
        <v>0.50906418454893931</v>
      </c>
      <c r="J1521">
        <v>51.46</v>
      </c>
    </row>
    <row r="1522" spans="1:10" x14ac:dyDescent="0.25">
      <c r="A1522" t="s">
        <v>48</v>
      </c>
      <c r="B1522" t="s">
        <v>105</v>
      </c>
      <c r="C1522" t="s">
        <v>9</v>
      </c>
      <c r="D1522">
        <v>0.56999999999999995</v>
      </c>
      <c r="E1522" s="1">
        <v>15355003</v>
      </c>
      <c r="F1522" s="1">
        <v>87524</v>
      </c>
      <c r="G1522" s="4">
        <f t="shared" si="70"/>
        <v>226845.16125046462</v>
      </c>
      <c r="H1522" s="4">
        <f t="shared" si="71"/>
        <v>126027.57276072459</v>
      </c>
      <c r="I1522" s="17">
        <f t="shared" si="69"/>
        <v>0.44443349787137471</v>
      </c>
      <c r="J1522">
        <v>47.78</v>
      </c>
    </row>
    <row r="1523" spans="1:10" x14ac:dyDescent="0.25">
      <c r="A1523" t="s">
        <v>49</v>
      </c>
      <c r="B1523" t="s">
        <v>105</v>
      </c>
      <c r="C1523" t="s">
        <v>9</v>
      </c>
      <c r="D1523">
        <v>0.97</v>
      </c>
      <c r="E1523" s="1">
        <v>15844690</v>
      </c>
      <c r="F1523" s="1">
        <v>153693</v>
      </c>
      <c r="G1523" s="4">
        <f t="shared" si="70"/>
        <v>129320.34837513938</v>
      </c>
      <c r="H1523" s="4">
        <f t="shared" si="71"/>
        <v>113219.06509856878</v>
      </c>
      <c r="I1523" s="17">
        <f t="shared" si="69"/>
        <v>0.12450695871822998</v>
      </c>
      <c r="J1523">
        <v>49.44</v>
      </c>
    </row>
    <row r="1524" spans="1:10" x14ac:dyDescent="0.25">
      <c r="A1524" t="s">
        <v>50</v>
      </c>
      <c r="B1524" t="s">
        <v>105</v>
      </c>
      <c r="C1524" t="s">
        <v>9</v>
      </c>
      <c r="D1524">
        <v>0.92</v>
      </c>
      <c r="E1524" s="1">
        <v>16375303</v>
      </c>
      <c r="F1524" s="1">
        <v>150653</v>
      </c>
      <c r="G1524" s="4">
        <f t="shared" si="70"/>
        <v>146381.20451254179</v>
      </c>
      <c r="H1524" s="4">
        <f t="shared" si="71"/>
        <v>98190.387950621487</v>
      </c>
      <c r="I1524" s="17">
        <f t="shared" si="69"/>
        <v>0.32921451030819582</v>
      </c>
      <c r="J1524">
        <v>50.99</v>
      </c>
    </row>
    <row r="1525" spans="1:10" x14ac:dyDescent="0.25">
      <c r="A1525" t="s">
        <v>51</v>
      </c>
      <c r="B1525" t="s">
        <v>105</v>
      </c>
      <c r="C1525" t="s">
        <v>9</v>
      </c>
      <c r="D1525">
        <v>6.01</v>
      </c>
      <c r="E1525" s="1">
        <v>16455940</v>
      </c>
      <c r="F1525" s="1">
        <v>989002</v>
      </c>
      <c r="G1525" s="4">
        <f t="shared" si="70"/>
        <v>149371.46135376254</v>
      </c>
      <c r="H1525" s="4">
        <f t="shared" si="71"/>
        <v>81695.900256360183</v>
      </c>
      <c r="I1525" s="17">
        <f t="shared" si="69"/>
        <v>0.45306888266376105</v>
      </c>
      <c r="J1525">
        <v>53.94</v>
      </c>
    </row>
    <row r="1526" spans="1:10" x14ac:dyDescent="0.25">
      <c r="A1526" t="s">
        <v>52</v>
      </c>
      <c r="B1526" t="s">
        <v>105</v>
      </c>
      <c r="C1526" t="s">
        <v>9</v>
      </c>
      <c r="D1526">
        <v>2.91</v>
      </c>
      <c r="E1526" s="1">
        <v>16463934</v>
      </c>
      <c r="F1526" s="1">
        <v>479100</v>
      </c>
      <c r="G1526" s="4">
        <f t="shared" si="70"/>
        <v>737112.83840612869</v>
      </c>
      <c r="H1526" s="4">
        <f t="shared" si="71"/>
        <v>484971.37915939064</v>
      </c>
      <c r="I1526" s="17">
        <f t="shared" si="69"/>
        <v>0.3420662971926357</v>
      </c>
      <c r="J1526">
        <v>52.17</v>
      </c>
    </row>
    <row r="1527" spans="1:10" x14ac:dyDescent="0.25">
      <c r="A1527" t="s">
        <v>53</v>
      </c>
      <c r="B1527" t="s">
        <v>105</v>
      </c>
      <c r="C1527" t="s">
        <v>9</v>
      </c>
      <c r="D1527">
        <v>1.74</v>
      </c>
      <c r="E1527" s="1">
        <v>15062612</v>
      </c>
      <c r="F1527" s="1">
        <v>262089</v>
      </c>
      <c r="G1527" s="4">
        <f t="shared" si="70"/>
        <v>556503.85152183857</v>
      </c>
      <c r="H1527" s="4">
        <f t="shared" si="71"/>
        <v>507138.48024855583</v>
      </c>
      <c r="I1527" s="17">
        <f t="shared" si="69"/>
        <v>8.8706252685019416E-2</v>
      </c>
      <c r="J1527">
        <v>47.1</v>
      </c>
    </row>
    <row r="1528" spans="1:10" x14ac:dyDescent="0.25">
      <c r="A1528" t="s">
        <v>54</v>
      </c>
      <c r="B1528" t="s">
        <v>105</v>
      </c>
      <c r="C1528" t="s">
        <v>9</v>
      </c>
      <c r="D1528">
        <v>1.46</v>
      </c>
      <c r="E1528" s="1">
        <v>15595650</v>
      </c>
      <c r="F1528" s="1">
        <v>227696</v>
      </c>
      <c r="G1528" s="4">
        <f t="shared" si="70"/>
        <v>350413.45545655151</v>
      </c>
      <c r="H1528" s="4">
        <f t="shared" si="71"/>
        <v>534861.40603785834</v>
      </c>
      <c r="I1528" s="17">
        <f t="shared" si="69"/>
        <v>-0.52637234018594048</v>
      </c>
      <c r="J1528">
        <v>48.55</v>
      </c>
    </row>
    <row r="1529" spans="1:10" x14ac:dyDescent="0.25">
      <c r="A1529" t="s">
        <v>55</v>
      </c>
      <c r="B1529" t="s">
        <v>105</v>
      </c>
      <c r="C1529" t="s">
        <v>9</v>
      </c>
      <c r="D1529">
        <v>2.46</v>
      </c>
      <c r="E1529" s="1">
        <v>16223432</v>
      </c>
      <c r="F1529" s="1">
        <v>399096</v>
      </c>
      <c r="G1529" s="4">
        <f t="shared" si="70"/>
        <v>264511.23663696542</v>
      </c>
      <c r="H1529" s="4">
        <f t="shared" si="71"/>
        <v>236861.63573750819</v>
      </c>
      <c r="I1529" s="17">
        <f t="shared" si="69"/>
        <v>0.10453091237634479</v>
      </c>
      <c r="J1529">
        <v>50.95</v>
      </c>
    </row>
    <row r="1530" spans="1:10" x14ac:dyDescent="0.25">
      <c r="A1530" t="s">
        <v>56</v>
      </c>
      <c r="B1530" t="s">
        <v>105</v>
      </c>
      <c r="C1530" t="s">
        <v>9</v>
      </c>
      <c r="D1530">
        <v>3.73</v>
      </c>
      <c r="E1530" s="1">
        <v>15356936</v>
      </c>
      <c r="F1530" s="1">
        <v>572814</v>
      </c>
      <c r="G1530" s="4">
        <f t="shared" si="70"/>
        <v>358720.57099108957</v>
      </c>
      <c r="H1530" s="4">
        <f t="shared" si="71"/>
        <v>199877.24332686549</v>
      </c>
      <c r="I1530" s="17">
        <f t="shared" si="69"/>
        <v>0.44280518183098472</v>
      </c>
      <c r="J1530">
        <v>48.8</v>
      </c>
    </row>
    <row r="1531" spans="1:10" x14ac:dyDescent="0.25">
      <c r="A1531" t="s">
        <v>57</v>
      </c>
      <c r="B1531" t="s">
        <v>105</v>
      </c>
      <c r="C1531" t="s">
        <v>9</v>
      </c>
      <c r="D1531">
        <v>1.18</v>
      </c>
      <c r="E1531" s="1">
        <v>14954646</v>
      </c>
      <c r="F1531" s="1">
        <v>176465</v>
      </c>
      <c r="G1531" s="4">
        <f t="shared" si="70"/>
        <v>508585.97129732685</v>
      </c>
      <c r="H1531" s="4">
        <f t="shared" si="71"/>
        <v>162284.34792878013</v>
      </c>
      <c r="I1531" s="17">
        <f t="shared" si="69"/>
        <v>0.68091068749926975</v>
      </c>
      <c r="J1531">
        <v>46.23</v>
      </c>
    </row>
    <row r="1532" spans="1:10" x14ac:dyDescent="0.25">
      <c r="A1532" t="s">
        <v>58</v>
      </c>
      <c r="B1532" t="s">
        <v>105</v>
      </c>
      <c r="C1532" t="s">
        <v>9</v>
      </c>
      <c r="D1532">
        <v>1.17</v>
      </c>
      <c r="E1532" s="1">
        <v>15828488</v>
      </c>
      <c r="F1532" s="1">
        <v>185193</v>
      </c>
      <c r="G1532" s="4">
        <f t="shared" si="70"/>
        <v>276101.29138919804</v>
      </c>
      <c r="H1532" s="4">
        <f t="shared" si="71"/>
        <v>241007.18830895011</v>
      </c>
      <c r="I1532" s="17">
        <f t="shared" si="69"/>
        <v>0.12710589980826481</v>
      </c>
      <c r="J1532">
        <v>48.86</v>
      </c>
    </row>
    <row r="1533" spans="1:10" x14ac:dyDescent="0.25">
      <c r="A1533" t="s">
        <v>59</v>
      </c>
      <c r="B1533" t="s">
        <v>105</v>
      </c>
      <c r="C1533" t="s">
        <v>9</v>
      </c>
      <c r="D1533">
        <v>6.36</v>
      </c>
      <c r="E1533" s="1">
        <v>15848590</v>
      </c>
      <c r="F1533" s="1">
        <v>1007970</v>
      </c>
      <c r="G1533" s="4">
        <f t="shared" si="70"/>
        <v>212465.4874167594</v>
      </c>
      <c r="H1533" s="4">
        <f t="shared" si="71"/>
        <v>234097.31122162033</v>
      </c>
      <c r="I1533" s="17">
        <f t="shared" si="69"/>
        <v>-0.10181335363154423</v>
      </c>
      <c r="J1533">
        <v>51.56</v>
      </c>
    </row>
    <row r="1534" spans="1:10" x14ac:dyDescent="0.25">
      <c r="A1534" t="s">
        <v>60</v>
      </c>
      <c r="B1534" t="s">
        <v>105</v>
      </c>
      <c r="C1534" t="s">
        <v>9</v>
      </c>
      <c r="D1534">
        <v>53.19</v>
      </c>
      <c r="E1534" s="1">
        <v>5086200</v>
      </c>
      <c r="F1534" s="1">
        <v>2705350</v>
      </c>
      <c r="G1534" s="4">
        <f t="shared" si="70"/>
        <v>769318.64622502786</v>
      </c>
      <c r="H1534" s="4">
        <f t="shared" si="71"/>
        <v>500465.14582572167</v>
      </c>
      <c r="I1534" s="17">
        <f t="shared" si="69"/>
        <v>0.34946962707656221</v>
      </c>
      <c r="J1534">
        <v>33.049999999999997</v>
      </c>
    </row>
    <row r="1535" spans="1:10" x14ac:dyDescent="0.25">
      <c r="A1535" t="s">
        <v>61</v>
      </c>
      <c r="B1535" t="s">
        <v>105</v>
      </c>
      <c r="C1535" t="s">
        <v>9</v>
      </c>
      <c r="D1535">
        <v>39.08</v>
      </c>
      <c r="E1535" s="1">
        <v>5749335</v>
      </c>
      <c r="F1535" s="1">
        <v>2246840</v>
      </c>
      <c r="G1535" s="4">
        <f t="shared" si="70"/>
        <v>2124540.5938675082</v>
      </c>
      <c r="H1535" s="4">
        <f t="shared" si="71"/>
        <v>1209587.9670068584</v>
      </c>
      <c r="I1535" s="17">
        <f t="shared" si="69"/>
        <v>0.43065904671422278</v>
      </c>
      <c r="J1535">
        <v>28.67</v>
      </c>
    </row>
    <row r="1536" spans="1:10" x14ac:dyDescent="0.25">
      <c r="A1536" t="s">
        <v>62</v>
      </c>
      <c r="B1536" t="s">
        <v>105</v>
      </c>
      <c r="C1536" t="s">
        <v>9</v>
      </c>
      <c r="D1536">
        <v>1.31</v>
      </c>
      <c r="E1536" s="1">
        <v>11087685</v>
      </c>
      <c r="F1536" s="1">
        <v>145249</v>
      </c>
      <c r="G1536" s="4">
        <f t="shared" si="70"/>
        <v>2210150.1781602525</v>
      </c>
      <c r="H1536" s="4">
        <f t="shared" si="71"/>
        <v>1210509.8068004807</v>
      </c>
      <c r="I1536" s="17">
        <f t="shared" si="69"/>
        <v>0.45229522465838989</v>
      </c>
      <c r="J1536">
        <v>34.08</v>
      </c>
    </row>
    <row r="1537" spans="1:10" x14ac:dyDescent="0.25">
      <c r="A1537" t="s">
        <v>63</v>
      </c>
      <c r="B1537" t="s">
        <v>105</v>
      </c>
      <c r="C1537" t="s">
        <v>9</v>
      </c>
      <c r="D1537">
        <v>4.53</v>
      </c>
      <c r="E1537" s="1">
        <v>14175868</v>
      </c>
      <c r="F1537" s="1">
        <v>642167</v>
      </c>
      <c r="G1537" s="4">
        <f t="shared" si="70"/>
        <v>764719.35344807571</v>
      </c>
      <c r="H1537" s="4">
        <f t="shared" si="71"/>
        <v>1635745.6427276738</v>
      </c>
      <c r="I1537" s="17">
        <f t="shared" si="69"/>
        <v>-1.1390143133584765</v>
      </c>
      <c r="J1537">
        <v>44.97</v>
      </c>
    </row>
    <row r="1538" spans="1:10" x14ac:dyDescent="0.25">
      <c r="A1538" t="s">
        <v>64</v>
      </c>
      <c r="B1538" t="s">
        <v>105</v>
      </c>
      <c r="C1538" t="s">
        <v>9</v>
      </c>
      <c r="D1538">
        <v>1.8</v>
      </c>
      <c r="E1538" s="1">
        <v>14442862</v>
      </c>
      <c r="F1538" s="1">
        <v>259972</v>
      </c>
      <c r="G1538" s="4">
        <f t="shared" si="70"/>
        <v>678932.70603442262</v>
      </c>
      <c r="H1538" s="4">
        <f t="shared" si="71"/>
        <v>1196354.6157172103</v>
      </c>
      <c r="I1538" s="17">
        <f t="shared" si="69"/>
        <v>-0.76211074394249889</v>
      </c>
      <c r="J1538">
        <v>44.48</v>
      </c>
    </row>
    <row r="1539" spans="1:10" x14ac:dyDescent="0.25">
      <c r="A1539" t="s">
        <v>65</v>
      </c>
      <c r="B1539" t="s">
        <v>105</v>
      </c>
      <c r="C1539" t="s">
        <v>9</v>
      </c>
      <c r="D1539">
        <v>6.44</v>
      </c>
      <c r="E1539" s="1">
        <v>12531831</v>
      </c>
      <c r="F1539" s="1">
        <v>807050</v>
      </c>
      <c r="G1539" s="4">
        <f t="shared" si="70"/>
        <v>385660.21181032679</v>
      </c>
      <c r="H1539" s="4">
        <f t="shared" si="71"/>
        <v>1218518.7767810724</v>
      </c>
      <c r="I1539" s="17">
        <f t="shared" ref="I1539:I1602" si="72">(G1539-H1539)/G1539</f>
        <v>-2.1595656991972958</v>
      </c>
      <c r="J1539">
        <v>40.450000000000003</v>
      </c>
    </row>
    <row r="1540" spans="1:10" x14ac:dyDescent="0.25">
      <c r="A1540" t="s">
        <v>66</v>
      </c>
      <c r="B1540" t="s">
        <v>105</v>
      </c>
      <c r="C1540" t="s">
        <v>9</v>
      </c>
      <c r="D1540">
        <v>1.04</v>
      </c>
      <c r="E1540" s="1">
        <v>13038797</v>
      </c>
      <c r="F1540" s="1">
        <v>135603</v>
      </c>
      <c r="G1540" s="4">
        <f t="shared" ref="G1540:G1603" si="73">0.7*F1539+0.3*G1539</f>
        <v>680633.06354309805</v>
      </c>
      <c r="H1540" s="4">
        <f t="shared" si="71"/>
        <v>350293.45132667536</v>
      </c>
      <c r="I1540" s="17">
        <f t="shared" si="72"/>
        <v>0.48534170599472415</v>
      </c>
      <c r="J1540">
        <v>39.74</v>
      </c>
    </row>
    <row r="1541" spans="1:10" x14ac:dyDescent="0.25">
      <c r="A1541" t="s">
        <v>67</v>
      </c>
      <c r="B1541" t="s">
        <v>105</v>
      </c>
      <c r="C1541" t="s">
        <v>9</v>
      </c>
      <c r="D1541">
        <v>1.6</v>
      </c>
      <c r="E1541" s="1">
        <v>14028335</v>
      </c>
      <c r="F1541" s="1">
        <v>224453</v>
      </c>
      <c r="G1541" s="4">
        <f t="shared" si="73"/>
        <v>299112.01906292938</v>
      </c>
      <c r="H1541" s="4">
        <f t="shared" si="71"/>
        <v>465530.23423375096</v>
      </c>
      <c r="I1541" s="17">
        <f t="shared" si="72"/>
        <v>-0.55637421622903527</v>
      </c>
      <c r="J1541">
        <v>42.93</v>
      </c>
    </row>
    <row r="1542" spans="1:10" x14ac:dyDescent="0.25">
      <c r="A1542" t="s">
        <v>68</v>
      </c>
      <c r="B1542" t="s">
        <v>105</v>
      </c>
      <c r="C1542" t="s">
        <v>9</v>
      </c>
      <c r="D1542">
        <v>0.97</v>
      </c>
      <c r="E1542" s="1">
        <v>13482287</v>
      </c>
      <c r="F1542" s="1">
        <v>130778</v>
      </c>
      <c r="G1542" s="4">
        <f t="shared" si="73"/>
        <v>246850.70571887877</v>
      </c>
      <c r="H1542" s="4">
        <f t="shared" ref="H1542:H1605" si="74">SQRT(SUMXMY2(F1539:F1541,G1539:G1541)/3)</f>
        <v>400083.7799277255</v>
      </c>
      <c r="I1542" s="17">
        <f t="shared" si="72"/>
        <v>-0.62075201998147533</v>
      </c>
      <c r="J1542">
        <v>40.94</v>
      </c>
    </row>
    <row r="1543" spans="1:10" x14ac:dyDescent="0.25">
      <c r="A1543" t="s">
        <v>69</v>
      </c>
      <c r="B1543" t="s">
        <v>105</v>
      </c>
      <c r="C1543" t="s">
        <v>9</v>
      </c>
      <c r="D1543">
        <v>3.19</v>
      </c>
      <c r="E1543" s="1">
        <v>12662498</v>
      </c>
      <c r="F1543" s="1">
        <v>403934</v>
      </c>
      <c r="G1543" s="4">
        <f t="shared" si="73"/>
        <v>165599.81171566361</v>
      </c>
      <c r="H1543" s="4">
        <f t="shared" si="74"/>
        <v>324604.68897113088</v>
      </c>
      <c r="I1543" s="17">
        <f t="shared" si="72"/>
        <v>-0.96017547126490754</v>
      </c>
      <c r="J1543">
        <v>39.28</v>
      </c>
    </row>
    <row r="1544" spans="1:10" x14ac:dyDescent="0.25">
      <c r="A1544" t="s">
        <v>70</v>
      </c>
      <c r="B1544" t="s">
        <v>105</v>
      </c>
      <c r="C1544" t="s">
        <v>9</v>
      </c>
      <c r="D1544">
        <v>2.7</v>
      </c>
      <c r="E1544" s="1">
        <v>13043798</v>
      </c>
      <c r="F1544" s="1">
        <v>352183</v>
      </c>
      <c r="G1544" s="4">
        <f t="shared" si="73"/>
        <v>332433.74351469905</v>
      </c>
      <c r="H1544" s="4">
        <f t="shared" si="74"/>
        <v>159007.36612443859</v>
      </c>
      <c r="I1544" s="17">
        <f t="shared" si="72"/>
        <v>0.52168704523399911</v>
      </c>
      <c r="J1544">
        <v>40.200000000000003</v>
      </c>
    </row>
    <row r="1545" spans="1:10" x14ac:dyDescent="0.25">
      <c r="A1545" t="s">
        <v>71</v>
      </c>
      <c r="B1545" t="s">
        <v>105</v>
      </c>
      <c r="C1545" t="s">
        <v>9</v>
      </c>
      <c r="D1545">
        <v>2.72</v>
      </c>
      <c r="E1545" s="1">
        <v>14192854</v>
      </c>
      <c r="F1545" s="1">
        <v>386046</v>
      </c>
      <c r="G1545" s="4">
        <f t="shared" si="73"/>
        <v>346258.22305440967</v>
      </c>
      <c r="H1545" s="4">
        <f t="shared" si="74"/>
        <v>153477.56779605409</v>
      </c>
      <c r="I1545" s="17">
        <f t="shared" si="72"/>
        <v>0.55675401311137318</v>
      </c>
      <c r="J1545">
        <v>43.69</v>
      </c>
    </row>
    <row r="1546" spans="1:10" x14ac:dyDescent="0.25">
      <c r="A1546" t="s">
        <v>72</v>
      </c>
      <c r="B1546" t="s">
        <v>105</v>
      </c>
      <c r="C1546" t="s">
        <v>9</v>
      </c>
      <c r="D1546">
        <v>1.46</v>
      </c>
      <c r="E1546" s="1">
        <v>13456380</v>
      </c>
      <c r="F1546" s="1">
        <v>196463</v>
      </c>
      <c r="G1546" s="4">
        <f t="shared" si="73"/>
        <v>374109.66691632289</v>
      </c>
      <c r="H1546" s="4">
        <f t="shared" si="74"/>
        <v>139971.76576146556</v>
      </c>
      <c r="I1546" s="17">
        <f t="shared" si="72"/>
        <v>0.62585365164388274</v>
      </c>
      <c r="J1546">
        <v>40.83</v>
      </c>
    </row>
    <row r="1547" spans="1:10" x14ac:dyDescent="0.25">
      <c r="A1547" t="s">
        <v>73</v>
      </c>
      <c r="B1547" t="s">
        <v>105</v>
      </c>
      <c r="C1547" t="s">
        <v>9</v>
      </c>
      <c r="D1547">
        <v>29.82</v>
      </c>
      <c r="E1547" s="1">
        <v>7602435</v>
      </c>
      <c r="F1547" s="1">
        <v>2267046</v>
      </c>
      <c r="G1547" s="4">
        <f t="shared" si="73"/>
        <v>249757.00007489685</v>
      </c>
      <c r="H1547" s="4">
        <f t="shared" si="74"/>
        <v>105722.02323778652</v>
      </c>
      <c r="I1547" s="17">
        <f t="shared" si="72"/>
        <v>0.57670046002281128</v>
      </c>
      <c r="J1547">
        <v>32.340000000000003</v>
      </c>
    </row>
    <row r="1548" spans="1:10" x14ac:dyDescent="0.25">
      <c r="A1548" t="s">
        <v>74</v>
      </c>
      <c r="B1548" t="s">
        <v>105</v>
      </c>
      <c r="C1548" t="s">
        <v>9</v>
      </c>
      <c r="D1548">
        <v>3.59</v>
      </c>
      <c r="E1548" s="1">
        <v>10707331</v>
      </c>
      <c r="F1548" s="1">
        <v>384393</v>
      </c>
      <c r="G1548" s="4">
        <f t="shared" si="73"/>
        <v>1661859.3000224689</v>
      </c>
      <c r="H1548" s="4">
        <f t="shared" si="74"/>
        <v>1169415.283333167</v>
      </c>
      <c r="I1548" s="17">
        <f t="shared" si="72"/>
        <v>0.29632112458776982</v>
      </c>
      <c r="J1548">
        <v>33.119999999999997</v>
      </c>
    </row>
    <row r="1549" spans="1:10" x14ac:dyDescent="0.25">
      <c r="A1549" t="s">
        <v>75</v>
      </c>
      <c r="B1549" t="s">
        <v>105</v>
      </c>
      <c r="C1549" t="s">
        <v>9</v>
      </c>
      <c r="D1549">
        <v>4.2300000000000004</v>
      </c>
      <c r="E1549" s="1">
        <v>14089239</v>
      </c>
      <c r="F1549" s="1">
        <v>595975</v>
      </c>
      <c r="G1549" s="4">
        <f t="shared" si="73"/>
        <v>767632.89000674058</v>
      </c>
      <c r="H1549" s="4">
        <f t="shared" si="74"/>
        <v>1382381.2058881584</v>
      </c>
      <c r="I1549" s="17">
        <f t="shared" si="72"/>
        <v>-0.80083634232506595</v>
      </c>
      <c r="J1549">
        <v>43.8</v>
      </c>
    </row>
    <row r="1550" spans="1:10" x14ac:dyDescent="0.25">
      <c r="A1550" t="s">
        <v>76</v>
      </c>
      <c r="B1550" t="s">
        <v>105</v>
      </c>
      <c r="C1550" t="s">
        <v>9</v>
      </c>
      <c r="D1550">
        <v>5.05</v>
      </c>
      <c r="E1550" s="1">
        <v>13017311</v>
      </c>
      <c r="F1550" s="1">
        <v>657374</v>
      </c>
      <c r="G1550" s="4">
        <f t="shared" si="73"/>
        <v>647472.36700202222</v>
      </c>
      <c r="H1550" s="4">
        <f t="shared" si="74"/>
        <v>1382128.9722879801</v>
      </c>
      <c r="I1550" s="17">
        <f t="shared" si="72"/>
        <v>-1.1346532187738345</v>
      </c>
      <c r="J1550">
        <v>40.76</v>
      </c>
    </row>
    <row r="1551" spans="1:10" x14ac:dyDescent="0.25">
      <c r="A1551" t="s">
        <v>77</v>
      </c>
      <c r="B1551" t="s">
        <v>105</v>
      </c>
      <c r="C1551" t="s">
        <v>9</v>
      </c>
      <c r="D1551">
        <v>6.81</v>
      </c>
      <c r="E1551" s="1">
        <v>11791783</v>
      </c>
      <c r="F1551" s="1">
        <v>803020</v>
      </c>
      <c r="G1551" s="4">
        <f t="shared" si="73"/>
        <v>654403.5101006066</v>
      </c>
      <c r="H1551" s="4">
        <f t="shared" si="74"/>
        <v>744196.34981427877</v>
      </c>
      <c r="I1551" s="17">
        <f t="shared" si="72"/>
        <v>-0.13721326112671312</v>
      </c>
      <c r="J1551">
        <v>37.57</v>
      </c>
    </row>
    <row r="1552" spans="1:10" x14ac:dyDescent="0.25">
      <c r="A1552" t="s">
        <v>78</v>
      </c>
      <c r="B1552" t="s">
        <v>105</v>
      </c>
      <c r="C1552" t="s">
        <v>9</v>
      </c>
      <c r="D1552">
        <v>2.93</v>
      </c>
      <c r="E1552" s="1">
        <v>12421674</v>
      </c>
      <c r="F1552" s="1">
        <v>363955</v>
      </c>
      <c r="G1552" s="4">
        <f t="shared" si="73"/>
        <v>758435.05303018191</v>
      </c>
      <c r="H1552" s="4">
        <f t="shared" si="74"/>
        <v>131213.99138761763</v>
      </c>
      <c r="I1552" s="17">
        <f t="shared" si="72"/>
        <v>0.82699376714805406</v>
      </c>
      <c r="J1552">
        <v>37.94</v>
      </c>
    </row>
    <row r="1553" spans="1:10" x14ac:dyDescent="0.25">
      <c r="A1553" t="s">
        <v>79</v>
      </c>
      <c r="B1553" t="s">
        <v>105</v>
      </c>
      <c r="C1553" t="s">
        <v>9</v>
      </c>
      <c r="D1553">
        <v>3.81</v>
      </c>
      <c r="E1553" s="1">
        <v>13850256</v>
      </c>
      <c r="F1553" s="1">
        <v>527695</v>
      </c>
      <c r="G1553" s="4">
        <f t="shared" si="73"/>
        <v>482299.01590905455</v>
      </c>
      <c r="H1553" s="4">
        <f t="shared" si="74"/>
        <v>243447.06176411215</v>
      </c>
      <c r="I1553" s="17">
        <f t="shared" si="72"/>
        <v>0.49523624611745398</v>
      </c>
      <c r="J1553">
        <v>42.63</v>
      </c>
    </row>
    <row r="1554" spans="1:10" x14ac:dyDescent="0.25">
      <c r="A1554" t="s">
        <v>80</v>
      </c>
      <c r="B1554" t="s">
        <v>105</v>
      </c>
      <c r="C1554" t="s">
        <v>9</v>
      </c>
      <c r="D1554">
        <v>7.78</v>
      </c>
      <c r="E1554" s="1">
        <v>12530303</v>
      </c>
      <c r="F1554" s="1">
        <v>974858</v>
      </c>
      <c r="G1554" s="4">
        <f t="shared" si="73"/>
        <v>514076.20477271639</v>
      </c>
      <c r="H1554" s="4">
        <f t="shared" si="74"/>
        <v>244787.09707301226</v>
      </c>
      <c r="I1554" s="17">
        <f t="shared" si="72"/>
        <v>0.52383110752765216</v>
      </c>
      <c r="J1554">
        <v>40.17</v>
      </c>
    </row>
    <row r="1555" spans="1:10" x14ac:dyDescent="0.25">
      <c r="A1555" t="s">
        <v>81</v>
      </c>
      <c r="B1555" t="s">
        <v>105</v>
      </c>
      <c r="C1555" t="s">
        <v>9</v>
      </c>
      <c r="D1555">
        <v>5.8</v>
      </c>
      <c r="E1555" s="1">
        <v>12302972</v>
      </c>
      <c r="F1555" s="1">
        <v>713572</v>
      </c>
      <c r="G1555" s="4">
        <f t="shared" si="73"/>
        <v>836623.46143181482</v>
      </c>
      <c r="H1555" s="4">
        <f t="shared" si="74"/>
        <v>351186.16640520777</v>
      </c>
      <c r="I1555" s="17">
        <f t="shared" si="72"/>
        <v>0.58023390139671627</v>
      </c>
      <c r="J1555">
        <v>38.549999999999997</v>
      </c>
    </row>
    <row r="1556" spans="1:10" x14ac:dyDescent="0.25">
      <c r="A1556" t="s">
        <v>82</v>
      </c>
      <c r="B1556" t="s">
        <v>105</v>
      </c>
      <c r="C1556" t="s">
        <v>9</v>
      </c>
      <c r="D1556">
        <v>0.82</v>
      </c>
      <c r="E1556" s="1">
        <v>12112371</v>
      </c>
      <c r="F1556" s="1">
        <v>99321</v>
      </c>
      <c r="G1556" s="4">
        <f t="shared" si="73"/>
        <v>750487.43842954445</v>
      </c>
      <c r="H1556" s="4">
        <f t="shared" si="74"/>
        <v>276599.78328803822</v>
      </c>
      <c r="I1556" s="17">
        <f t="shared" si="72"/>
        <v>0.6314398228078999</v>
      </c>
      <c r="J1556">
        <v>36</v>
      </c>
    </row>
    <row r="1557" spans="1:10" x14ac:dyDescent="0.25">
      <c r="A1557" t="s">
        <v>83</v>
      </c>
      <c r="B1557" t="s">
        <v>105</v>
      </c>
      <c r="C1557" t="s">
        <v>9</v>
      </c>
      <c r="D1557">
        <v>3.89</v>
      </c>
      <c r="E1557" s="1">
        <v>13558345</v>
      </c>
      <c r="F1557" s="1">
        <v>527420</v>
      </c>
      <c r="G1557" s="4">
        <f t="shared" si="73"/>
        <v>294670.93152886332</v>
      </c>
      <c r="H1557" s="4">
        <f t="shared" si="74"/>
        <v>466004.02555857867</v>
      </c>
      <c r="I1557" s="17">
        <f t="shared" si="72"/>
        <v>-0.58143873622272468</v>
      </c>
      <c r="J1557">
        <v>41.53</v>
      </c>
    </row>
    <row r="1558" spans="1:10" x14ac:dyDescent="0.25">
      <c r="A1558" t="s">
        <v>84</v>
      </c>
      <c r="B1558" t="s">
        <v>105</v>
      </c>
      <c r="C1558" t="s">
        <v>9</v>
      </c>
      <c r="D1558">
        <v>3.54</v>
      </c>
      <c r="E1558" s="1">
        <v>12054760</v>
      </c>
      <c r="F1558" s="1">
        <v>426739</v>
      </c>
      <c r="G1558" s="4">
        <f t="shared" si="73"/>
        <v>457595.279458659</v>
      </c>
      <c r="H1558" s="4">
        <f t="shared" si="74"/>
        <v>405516.75738975534</v>
      </c>
      <c r="I1558" s="17">
        <f t="shared" si="72"/>
        <v>0.11380913310669029</v>
      </c>
      <c r="J1558">
        <v>36.729999999999997</v>
      </c>
    </row>
    <row r="1559" spans="1:10" x14ac:dyDescent="0.25">
      <c r="A1559" t="s">
        <v>7</v>
      </c>
      <c r="B1559" t="s">
        <v>106</v>
      </c>
      <c r="C1559" t="s">
        <v>9</v>
      </c>
      <c r="D1559">
        <v>5.71</v>
      </c>
      <c r="E1559" s="1">
        <v>12840058</v>
      </c>
      <c r="F1559" s="1">
        <v>733167</v>
      </c>
      <c r="G1559" s="4">
        <f t="shared" si="73"/>
        <v>435995.88383759768</v>
      </c>
      <c r="H1559" s="4">
        <f t="shared" si="74"/>
        <v>399642.32733501028</v>
      </c>
      <c r="I1559" s="17">
        <f t="shared" si="72"/>
        <v>8.3380503922666813E-2</v>
      </c>
      <c r="J1559">
        <v>79.13</v>
      </c>
    </row>
    <row r="1560" spans="1:10" x14ac:dyDescent="0.25">
      <c r="A1560" t="s">
        <v>10</v>
      </c>
      <c r="B1560" t="s">
        <v>106</v>
      </c>
      <c r="C1560" t="s">
        <v>9</v>
      </c>
      <c r="D1560">
        <v>2.38</v>
      </c>
      <c r="E1560" s="1">
        <v>11597906</v>
      </c>
      <c r="F1560" s="1">
        <v>276030</v>
      </c>
      <c r="G1560" s="4">
        <f t="shared" si="73"/>
        <v>644015.6651512793</v>
      </c>
      <c r="H1560" s="4">
        <f t="shared" si="74"/>
        <v>218658.72277548618</v>
      </c>
      <c r="I1560" s="17">
        <f t="shared" si="72"/>
        <v>0.66047608061812713</v>
      </c>
      <c r="J1560">
        <v>68.94</v>
      </c>
    </row>
    <row r="1561" spans="1:10" x14ac:dyDescent="0.25">
      <c r="A1561" t="s">
        <v>11</v>
      </c>
      <c r="B1561" t="s">
        <v>106</v>
      </c>
      <c r="C1561" t="s">
        <v>9</v>
      </c>
      <c r="D1561">
        <v>3.17</v>
      </c>
      <c r="E1561" s="1">
        <v>10829463</v>
      </c>
      <c r="F1561" s="1">
        <v>343294</v>
      </c>
      <c r="G1561" s="4">
        <f t="shared" si="73"/>
        <v>386425.6995453838</v>
      </c>
      <c r="H1561" s="4">
        <f t="shared" si="74"/>
        <v>273664.16890053911</v>
      </c>
      <c r="I1561" s="17">
        <f t="shared" si="72"/>
        <v>0.29180649935422165</v>
      </c>
      <c r="J1561">
        <v>64.790000000000006</v>
      </c>
    </row>
    <row r="1562" spans="1:10" x14ac:dyDescent="0.25">
      <c r="A1562" t="s">
        <v>12</v>
      </c>
      <c r="B1562" t="s">
        <v>106</v>
      </c>
      <c r="C1562" t="s">
        <v>9</v>
      </c>
      <c r="D1562">
        <v>5.03</v>
      </c>
      <c r="E1562" s="1">
        <v>11987505</v>
      </c>
      <c r="F1562" s="1">
        <v>602972</v>
      </c>
      <c r="G1562" s="4">
        <f t="shared" si="73"/>
        <v>356233.50986361515</v>
      </c>
      <c r="H1562" s="4">
        <f t="shared" si="74"/>
        <v>274216.74246461241</v>
      </c>
      <c r="I1562" s="17">
        <f t="shared" si="72"/>
        <v>0.23023316203577551</v>
      </c>
      <c r="J1562">
        <v>73.010000000000005</v>
      </c>
    </row>
    <row r="1563" spans="1:10" x14ac:dyDescent="0.25">
      <c r="A1563" t="s">
        <v>13</v>
      </c>
      <c r="B1563" t="s">
        <v>106</v>
      </c>
      <c r="C1563" t="s">
        <v>9</v>
      </c>
      <c r="D1563">
        <v>3.83</v>
      </c>
      <c r="E1563" s="1">
        <v>11461146</v>
      </c>
      <c r="F1563" s="1">
        <v>438962</v>
      </c>
      <c r="G1563" s="4">
        <f t="shared" si="73"/>
        <v>528950.45295908453</v>
      </c>
      <c r="H1563" s="4">
        <f t="shared" si="74"/>
        <v>257004.32926138656</v>
      </c>
      <c r="I1563" s="17">
        <f t="shared" si="72"/>
        <v>0.51412400192940877</v>
      </c>
      <c r="J1563">
        <v>68.83</v>
      </c>
    </row>
    <row r="1564" spans="1:10" x14ac:dyDescent="0.25">
      <c r="A1564" t="s">
        <v>14</v>
      </c>
      <c r="B1564" t="s">
        <v>106</v>
      </c>
      <c r="C1564" t="s">
        <v>9</v>
      </c>
      <c r="D1564">
        <v>7.61</v>
      </c>
      <c r="E1564" s="1">
        <v>8798470</v>
      </c>
      <c r="F1564" s="1">
        <v>669564</v>
      </c>
      <c r="G1564" s="4">
        <f t="shared" si="73"/>
        <v>465958.5358877253</v>
      </c>
      <c r="H1564" s="4">
        <f t="shared" si="74"/>
        <v>153664.2960985901</v>
      </c>
      <c r="I1564" s="17">
        <f t="shared" si="72"/>
        <v>0.67021894811770077</v>
      </c>
      <c r="J1564">
        <v>54.91</v>
      </c>
    </row>
    <row r="1565" spans="1:10" x14ac:dyDescent="0.25">
      <c r="A1565" t="s">
        <v>15</v>
      </c>
      <c r="B1565" t="s">
        <v>106</v>
      </c>
      <c r="C1565" t="s">
        <v>9</v>
      </c>
      <c r="D1565">
        <v>2.74</v>
      </c>
      <c r="E1565" s="1">
        <v>9121167</v>
      </c>
      <c r="F1565" s="1">
        <v>249920</v>
      </c>
      <c r="G1565" s="4">
        <f t="shared" si="73"/>
        <v>608482.36076631758</v>
      </c>
      <c r="H1565" s="4">
        <f t="shared" si="74"/>
        <v>191861.92013800537</v>
      </c>
      <c r="I1565" s="17">
        <f t="shared" si="72"/>
        <v>0.68468778635361571</v>
      </c>
      <c r="J1565">
        <v>53.99</v>
      </c>
    </row>
    <row r="1566" spans="1:10" x14ac:dyDescent="0.25">
      <c r="A1566" t="s">
        <v>16</v>
      </c>
      <c r="B1566" t="s">
        <v>106</v>
      </c>
      <c r="C1566" t="s">
        <v>9</v>
      </c>
      <c r="D1566">
        <v>2.76</v>
      </c>
      <c r="E1566" s="1">
        <v>11910609</v>
      </c>
      <c r="F1566" s="1">
        <v>328733</v>
      </c>
      <c r="G1566" s="4">
        <f t="shared" si="73"/>
        <v>357488.70822989527</v>
      </c>
      <c r="H1566" s="4">
        <f t="shared" si="74"/>
        <v>243666.48876463572</v>
      </c>
      <c r="I1566" s="17">
        <f t="shared" si="72"/>
        <v>0.3183938872610832</v>
      </c>
      <c r="J1566">
        <v>70.41</v>
      </c>
    </row>
    <row r="1567" spans="1:10" x14ac:dyDescent="0.25">
      <c r="A1567" t="s">
        <v>17</v>
      </c>
      <c r="B1567" t="s">
        <v>106</v>
      </c>
      <c r="C1567" t="s">
        <v>9</v>
      </c>
      <c r="D1567">
        <v>1.86</v>
      </c>
      <c r="E1567" s="1">
        <v>10743204</v>
      </c>
      <c r="F1567" s="1">
        <v>199824</v>
      </c>
      <c r="G1567" s="4">
        <f t="shared" si="73"/>
        <v>337359.71246896859</v>
      </c>
      <c r="H1567" s="4">
        <f t="shared" si="74"/>
        <v>238641.32244192506</v>
      </c>
      <c r="I1567" s="17">
        <f t="shared" si="72"/>
        <v>0.29262056605565773</v>
      </c>
      <c r="J1567">
        <v>62.83</v>
      </c>
    </row>
    <row r="1568" spans="1:10" x14ac:dyDescent="0.25">
      <c r="A1568" t="s">
        <v>18</v>
      </c>
      <c r="B1568" t="s">
        <v>106</v>
      </c>
      <c r="C1568" t="s">
        <v>9</v>
      </c>
      <c r="D1568">
        <v>6.48</v>
      </c>
      <c r="E1568" s="1">
        <v>10309634</v>
      </c>
      <c r="F1568" s="1">
        <v>668064</v>
      </c>
      <c r="G1568" s="4">
        <f t="shared" si="73"/>
        <v>241084.71374069055</v>
      </c>
      <c r="H1568" s="4">
        <f t="shared" si="74"/>
        <v>222343.52514256292</v>
      </c>
      <c r="I1568" s="17">
        <f t="shared" si="72"/>
        <v>7.7736942783877841E-2</v>
      </c>
      <c r="J1568">
        <v>63.17</v>
      </c>
    </row>
    <row r="1569" spans="1:10" x14ac:dyDescent="0.25">
      <c r="A1569" t="s">
        <v>19</v>
      </c>
      <c r="B1569" t="s">
        <v>106</v>
      </c>
      <c r="C1569" t="s">
        <v>9</v>
      </c>
      <c r="D1569">
        <v>4.38</v>
      </c>
      <c r="E1569" s="1">
        <v>11040798</v>
      </c>
      <c r="F1569" s="1">
        <v>483587</v>
      </c>
      <c r="G1569" s="4">
        <f t="shared" si="73"/>
        <v>539970.21412220714</v>
      </c>
      <c r="H1569" s="4">
        <f t="shared" si="74"/>
        <v>259521.53016314399</v>
      </c>
      <c r="I1569" s="17">
        <f t="shared" si="72"/>
        <v>0.51937806313070345</v>
      </c>
      <c r="J1569">
        <v>66.069999999999993</v>
      </c>
    </row>
    <row r="1570" spans="1:10" x14ac:dyDescent="0.25">
      <c r="A1570" t="s">
        <v>20</v>
      </c>
      <c r="B1570" t="s">
        <v>106</v>
      </c>
      <c r="C1570" t="s">
        <v>9</v>
      </c>
      <c r="D1570">
        <v>2.5</v>
      </c>
      <c r="E1570" s="1">
        <v>12635254</v>
      </c>
      <c r="F1570" s="1">
        <v>315881</v>
      </c>
      <c r="G1570" s="4">
        <f t="shared" si="73"/>
        <v>500501.96423666214</v>
      </c>
      <c r="H1570" s="4">
        <f t="shared" si="74"/>
        <v>261027.7443322879</v>
      </c>
      <c r="I1570" s="17">
        <f t="shared" si="72"/>
        <v>0.47846809206754476</v>
      </c>
      <c r="J1570">
        <v>74.03</v>
      </c>
    </row>
    <row r="1571" spans="1:10" x14ac:dyDescent="0.25">
      <c r="A1571" t="s">
        <v>21</v>
      </c>
      <c r="B1571" t="s">
        <v>106</v>
      </c>
      <c r="C1571" t="s">
        <v>9</v>
      </c>
      <c r="D1571">
        <v>1.94</v>
      </c>
      <c r="E1571" s="1">
        <v>9931079</v>
      </c>
      <c r="F1571" s="1">
        <v>192663</v>
      </c>
      <c r="G1571" s="4">
        <f t="shared" si="73"/>
        <v>371267.28927099862</v>
      </c>
      <c r="H1571" s="4">
        <f t="shared" si="74"/>
        <v>270539.75565212523</v>
      </c>
      <c r="I1571" s="17">
        <f t="shared" si="72"/>
        <v>0.27130732097798543</v>
      </c>
      <c r="J1571">
        <v>57.76</v>
      </c>
    </row>
    <row r="1572" spans="1:10" x14ac:dyDescent="0.25">
      <c r="A1572" t="s">
        <v>22</v>
      </c>
      <c r="B1572" t="s">
        <v>106</v>
      </c>
      <c r="C1572" t="s">
        <v>9</v>
      </c>
      <c r="D1572">
        <v>15.8</v>
      </c>
      <c r="E1572" s="1">
        <v>9234905</v>
      </c>
      <c r="F1572" s="1">
        <v>1459115</v>
      </c>
      <c r="G1572" s="4">
        <f t="shared" si="73"/>
        <v>246244.28678129957</v>
      </c>
      <c r="H1572" s="4">
        <f t="shared" si="74"/>
        <v>151837.03919709896</v>
      </c>
      <c r="I1572" s="17">
        <f t="shared" si="72"/>
        <v>0.38338858057668507</v>
      </c>
      <c r="J1572">
        <v>62.47</v>
      </c>
    </row>
    <row r="1573" spans="1:10" x14ac:dyDescent="0.25">
      <c r="A1573" t="s">
        <v>23</v>
      </c>
      <c r="B1573" t="s">
        <v>106</v>
      </c>
      <c r="C1573" t="s">
        <v>9</v>
      </c>
      <c r="D1573">
        <v>4.99</v>
      </c>
      <c r="E1573" s="1">
        <v>12364421</v>
      </c>
      <c r="F1573" s="1">
        <v>616985</v>
      </c>
      <c r="G1573" s="4">
        <f t="shared" si="73"/>
        <v>1095253.7860343899</v>
      </c>
      <c r="H1573" s="4">
        <f t="shared" si="74"/>
        <v>715783.89652308519</v>
      </c>
      <c r="I1573" s="17">
        <f t="shared" si="72"/>
        <v>0.34646754418924208</v>
      </c>
      <c r="J1573">
        <v>74</v>
      </c>
    </row>
    <row r="1574" spans="1:10" x14ac:dyDescent="0.25">
      <c r="A1574" t="s">
        <v>24</v>
      </c>
      <c r="B1574" t="s">
        <v>106</v>
      </c>
      <c r="C1574" t="s">
        <v>9</v>
      </c>
      <c r="D1574">
        <v>2.12</v>
      </c>
      <c r="E1574" s="1">
        <v>11545305</v>
      </c>
      <c r="F1574" s="1">
        <v>244760</v>
      </c>
      <c r="G1574" s="4">
        <f t="shared" si="73"/>
        <v>760465.63581031701</v>
      </c>
      <c r="H1574" s="4">
        <f t="shared" si="74"/>
        <v>759757.83221244172</v>
      </c>
      <c r="I1574" s="17">
        <f t="shared" si="72"/>
        <v>9.3075027265510286E-4</v>
      </c>
      <c r="J1574">
        <v>66.97</v>
      </c>
    </row>
    <row r="1575" spans="1:10" x14ac:dyDescent="0.25">
      <c r="A1575" t="s">
        <v>25</v>
      </c>
      <c r="B1575" t="s">
        <v>106</v>
      </c>
      <c r="C1575" t="s">
        <v>9</v>
      </c>
      <c r="D1575">
        <v>1.77</v>
      </c>
      <c r="E1575" s="1">
        <v>9587156</v>
      </c>
      <c r="F1575" s="1">
        <v>169693</v>
      </c>
      <c r="G1575" s="4">
        <f t="shared" si="73"/>
        <v>399471.69074309513</v>
      </c>
      <c r="H1575" s="4">
        <f t="shared" si="74"/>
        <v>809474.87123545539</v>
      </c>
      <c r="I1575" s="17">
        <f t="shared" si="72"/>
        <v>-1.0263635446348514</v>
      </c>
      <c r="J1575">
        <v>55.33</v>
      </c>
    </row>
    <row r="1576" spans="1:10" x14ac:dyDescent="0.25">
      <c r="A1576" t="s">
        <v>26</v>
      </c>
      <c r="B1576" t="s">
        <v>106</v>
      </c>
      <c r="C1576" t="s">
        <v>9</v>
      </c>
      <c r="D1576">
        <v>14.7</v>
      </c>
      <c r="E1576" s="1">
        <v>9216543</v>
      </c>
      <c r="F1576" s="1">
        <v>1354832</v>
      </c>
      <c r="G1576" s="4">
        <f t="shared" si="73"/>
        <v>238626.60722292852</v>
      </c>
      <c r="H1576" s="4">
        <f t="shared" si="74"/>
        <v>427196.90277472098</v>
      </c>
      <c r="I1576" s="17">
        <f t="shared" si="72"/>
        <v>-0.79023164158566483</v>
      </c>
      <c r="J1576">
        <v>61.16</v>
      </c>
    </row>
    <row r="1577" spans="1:10" x14ac:dyDescent="0.25">
      <c r="A1577" t="s">
        <v>27</v>
      </c>
      <c r="B1577" t="s">
        <v>106</v>
      </c>
      <c r="C1577" t="s">
        <v>9</v>
      </c>
      <c r="D1577">
        <v>4.24</v>
      </c>
      <c r="E1577" s="1">
        <v>9624337</v>
      </c>
      <c r="F1577" s="1">
        <v>408072</v>
      </c>
      <c r="G1577" s="4">
        <f t="shared" si="73"/>
        <v>1019970.3821668784</v>
      </c>
      <c r="H1577" s="4">
        <f t="shared" si="74"/>
        <v>722187.6552971421</v>
      </c>
      <c r="I1577" s="17">
        <f t="shared" si="72"/>
        <v>0.29195232731867288</v>
      </c>
      <c r="J1577">
        <v>56.8</v>
      </c>
    </row>
    <row r="1578" spans="1:10" x14ac:dyDescent="0.25">
      <c r="A1578" t="s">
        <v>28</v>
      </c>
      <c r="B1578" t="s">
        <v>106</v>
      </c>
      <c r="C1578" t="s">
        <v>9</v>
      </c>
      <c r="D1578">
        <v>1.1000000000000001</v>
      </c>
      <c r="E1578" s="1">
        <v>11190443</v>
      </c>
      <c r="F1578" s="1">
        <v>123095</v>
      </c>
      <c r="G1578" s="4">
        <f t="shared" si="73"/>
        <v>591641.51465006347</v>
      </c>
      <c r="H1578" s="4">
        <f t="shared" si="74"/>
        <v>746800.36504246364</v>
      </c>
      <c r="I1578" s="17">
        <f t="shared" si="72"/>
        <v>-0.26225145895005614</v>
      </c>
      <c r="J1578">
        <v>63.84</v>
      </c>
    </row>
    <row r="1579" spans="1:10" x14ac:dyDescent="0.25">
      <c r="A1579" t="s">
        <v>29</v>
      </c>
      <c r="B1579" t="s">
        <v>106</v>
      </c>
      <c r="C1579" t="s">
        <v>9</v>
      </c>
      <c r="D1579">
        <v>1.86</v>
      </c>
      <c r="E1579" s="1">
        <v>9158081</v>
      </c>
      <c r="F1579" s="1">
        <v>170340</v>
      </c>
      <c r="G1579" s="4">
        <f t="shared" si="73"/>
        <v>263658.95439501904</v>
      </c>
      <c r="H1579" s="4">
        <f t="shared" si="74"/>
        <v>783128.33034222061</v>
      </c>
      <c r="I1579" s="17">
        <f t="shared" si="72"/>
        <v>-1.9702322537808532</v>
      </c>
      <c r="J1579">
        <v>52.57</v>
      </c>
    </row>
    <row r="1580" spans="1:10" x14ac:dyDescent="0.25">
      <c r="A1580" t="s">
        <v>30</v>
      </c>
      <c r="B1580" t="s">
        <v>106</v>
      </c>
      <c r="C1580" t="s">
        <v>9</v>
      </c>
      <c r="D1580">
        <v>4.76</v>
      </c>
      <c r="E1580" s="1">
        <v>8619970</v>
      </c>
      <c r="F1580" s="1">
        <v>410311</v>
      </c>
      <c r="G1580" s="4">
        <f t="shared" si="73"/>
        <v>198335.6863185057</v>
      </c>
      <c r="H1580" s="4">
        <f t="shared" si="74"/>
        <v>448205.27058426588</v>
      </c>
      <c r="I1580" s="17">
        <f t="shared" si="72"/>
        <v>-1.2598316969770966</v>
      </c>
      <c r="J1580">
        <v>50.91</v>
      </c>
    </row>
    <row r="1581" spans="1:10" x14ac:dyDescent="0.25">
      <c r="A1581" t="s">
        <v>31</v>
      </c>
      <c r="B1581" t="s">
        <v>106</v>
      </c>
      <c r="C1581" t="s">
        <v>9</v>
      </c>
      <c r="D1581">
        <v>1.79</v>
      </c>
      <c r="E1581" s="1">
        <v>11943007</v>
      </c>
      <c r="F1581" s="1">
        <v>213780</v>
      </c>
      <c r="G1581" s="4">
        <f t="shared" si="73"/>
        <v>346718.40589555167</v>
      </c>
      <c r="H1581" s="4">
        <f t="shared" si="74"/>
        <v>301760.27861558675</v>
      </c>
      <c r="I1581" s="17">
        <f t="shared" si="72"/>
        <v>0.1296675530214236</v>
      </c>
      <c r="J1581">
        <v>68.290000000000006</v>
      </c>
    </row>
    <row r="1582" spans="1:10" x14ac:dyDescent="0.25">
      <c r="A1582" t="s">
        <v>32</v>
      </c>
      <c r="B1582" t="s">
        <v>106</v>
      </c>
      <c r="C1582" t="s">
        <v>9</v>
      </c>
      <c r="D1582">
        <v>1.19</v>
      </c>
      <c r="E1582" s="1">
        <v>12162503</v>
      </c>
      <c r="F1582" s="1">
        <v>144734</v>
      </c>
      <c r="G1582" s="4">
        <f t="shared" si="73"/>
        <v>253661.52176866549</v>
      </c>
      <c r="H1582" s="4">
        <f t="shared" si="74"/>
        <v>154180.1766568344</v>
      </c>
      <c r="I1582" s="17">
        <f t="shared" si="72"/>
        <v>0.39218145668366761</v>
      </c>
      <c r="J1582">
        <v>69.02</v>
      </c>
    </row>
    <row r="1583" spans="1:10" x14ac:dyDescent="0.25">
      <c r="A1583" t="s">
        <v>33</v>
      </c>
      <c r="B1583" t="s">
        <v>106</v>
      </c>
      <c r="C1583" t="s">
        <v>9</v>
      </c>
      <c r="D1583">
        <v>4.62</v>
      </c>
      <c r="E1583" s="1">
        <v>9462240</v>
      </c>
      <c r="F1583" s="1">
        <v>437155</v>
      </c>
      <c r="G1583" s="4">
        <f t="shared" si="73"/>
        <v>177412.25653059964</v>
      </c>
      <c r="H1583" s="4">
        <f t="shared" si="74"/>
        <v>157555.66039877405</v>
      </c>
      <c r="I1583" s="17">
        <f t="shared" si="72"/>
        <v>0.11192347428601004</v>
      </c>
      <c r="J1583">
        <v>55.54</v>
      </c>
    </row>
    <row r="1584" spans="1:10" x14ac:dyDescent="0.25">
      <c r="A1584" t="s">
        <v>34</v>
      </c>
      <c r="B1584" t="s">
        <v>106</v>
      </c>
      <c r="C1584" t="s">
        <v>9</v>
      </c>
      <c r="D1584">
        <v>2.54</v>
      </c>
      <c r="E1584" s="1">
        <v>9609707</v>
      </c>
      <c r="F1584" s="1">
        <v>244087</v>
      </c>
      <c r="G1584" s="4">
        <f t="shared" si="73"/>
        <v>359232.17695917987</v>
      </c>
      <c r="H1584" s="4">
        <f t="shared" si="74"/>
        <v>179818.53588708467</v>
      </c>
      <c r="I1584" s="17">
        <f t="shared" si="72"/>
        <v>0.49943644411475496</v>
      </c>
      <c r="J1584">
        <v>55.12</v>
      </c>
    </row>
    <row r="1585" spans="1:10" x14ac:dyDescent="0.25">
      <c r="A1585" t="s">
        <v>35</v>
      </c>
      <c r="B1585" t="s">
        <v>106</v>
      </c>
      <c r="C1585" t="s">
        <v>9</v>
      </c>
      <c r="D1585">
        <v>3.6</v>
      </c>
      <c r="E1585" s="1">
        <v>10569654</v>
      </c>
      <c r="F1585" s="1">
        <v>380508</v>
      </c>
      <c r="G1585" s="4">
        <f t="shared" si="73"/>
        <v>278630.55308775394</v>
      </c>
      <c r="H1585" s="4">
        <f t="shared" si="74"/>
        <v>175679.54686553078</v>
      </c>
      <c r="I1585" s="17">
        <f t="shared" si="72"/>
        <v>0.36948929355137528</v>
      </c>
      <c r="J1585">
        <v>61.2</v>
      </c>
    </row>
    <row r="1586" spans="1:10" x14ac:dyDescent="0.25">
      <c r="A1586" t="s">
        <v>36</v>
      </c>
      <c r="B1586" t="s">
        <v>106</v>
      </c>
      <c r="C1586" t="s">
        <v>9</v>
      </c>
      <c r="D1586">
        <v>0.65</v>
      </c>
      <c r="E1586" s="1">
        <v>9325887</v>
      </c>
      <c r="F1586" s="1">
        <v>60618</v>
      </c>
      <c r="G1586" s="4">
        <f t="shared" si="73"/>
        <v>349944.76592632616</v>
      </c>
      <c r="H1586" s="4">
        <f t="shared" si="74"/>
        <v>174263.89829922613</v>
      </c>
      <c r="I1586" s="17">
        <f t="shared" si="72"/>
        <v>0.50202456139631502</v>
      </c>
      <c r="J1586">
        <v>52.31</v>
      </c>
    </row>
    <row r="1587" spans="1:10" x14ac:dyDescent="0.25">
      <c r="A1587" t="s">
        <v>37</v>
      </c>
      <c r="B1587" t="s">
        <v>106</v>
      </c>
      <c r="C1587" t="s">
        <v>9</v>
      </c>
      <c r="D1587">
        <v>0.94</v>
      </c>
      <c r="E1587" s="1">
        <v>9063618</v>
      </c>
      <c r="F1587" s="1">
        <v>85198</v>
      </c>
      <c r="G1587" s="4">
        <f t="shared" si="73"/>
        <v>147416.02977789784</v>
      </c>
      <c r="H1587" s="4">
        <f t="shared" si="74"/>
        <v>189162.54337447949</v>
      </c>
      <c r="I1587" s="17">
        <f t="shared" si="72"/>
        <v>-0.28318842706236497</v>
      </c>
      <c r="J1587">
        <v>50.91</v>
      </c>
    </row>
    <row r="1588" spans="1:10" x14ac:dyDescent="0.25">
      <c r="A1588" t="s">
        <v>38</v>
      </c>
      <c r="B1588" t="s">
        <v>106</v>
      </c>
      <c r="C1588" t="s">
        <v>9</v>
      </c>
      <c r="D1588">
        <v>1.32</v>
      </c>
      <c r="E1588" s="1">
        <v>9545297</v>
      </c>
      <c r="F1588" s="1">
        <v>125998</v>
      </c>
      <c r="G1588" s="4">
        <f t="shared" si="73"/>
        <v>103863.40893336936</v>
      </c>
      <c r="H1588" s="4">
        <f t="shared" si="74"/>
        <v>180702.40258519718</v>
      </c>
      <c r="I1588" s="17">
        <f t="shared" si="72"/>
        <v>-0.73980812338945778</v>
      </c>
      <c r="J1588">
        <v>53.74</v>
      </c>
    </row>
    <row r="1589" spans="1:10" x14ac:dyDescent="0.25">
      <c r="A1589" t="s">
        <v>39</v>
      </c>
      <c r="B1589" t="s">
        <v>106</v>
      </c>
      <c r="C1589" t="s">
        <v>9</v>
      </c>
      <c r="D1589">
        <v>0.27</v>
      </c>
      <c r="E1589" s="1">
        <v>11187838</v>
      </c>
      <c r="F1589" s="1">
        <v>30207</v>
      </c>
      <c r="G1589" s="4">
        <f t="shared" si="73"/>
        <v>119357.6226800108</v>
      </c>
      <c r="H1589" s="4">
        <f t="shared" si="74"/>
        <v>171338.84637613804</v>
      </c>
      <c r="I1589" s="17">
        <f t="shared" si="72"/>
        <v>-0.43550820240015309</v>
      </c>
      <c r="J1589">
        <v>62.23</v>
      </c>
    </row>
    <row r="1590" spans="1:10" x14ac:dyDescent="0.25">
      <c r="A1590" t="s">
        <v>40</v>
      </c>
      <c r="B1590" t="s">
        <v>106</v>
      </c>
      <c r="C1590" t="s">
        <v>9</v>
      </c>
      <c r="D1590">
        <v>0.21</v>
      </c>
      <c r="E1590" s="1">
        <v>10444826</v>
      </c>
      <c r="F1590" s="1">
        <v>21934</v>
      </c>
      <c r="G1590" s="4">
        <f t="shared" si="73"/>
        <v>56952.186804003242</v>
      </c>
      <c r="H1590" s="4">
        <f t="shared" si="74"/>
        <v>64054.291751513432</v>
      </c>
      <c r="I1590" s="17">
        <f t="shared" si="72"/>
        <v>-0.12470293672746161</v>
      </c>
      <c r="J1590">
        <v>57.96</v>
      </c>
    </row>
    <row r="1591" spans="1:10" x14ac:dyDescent="0.25">
      <c r="A1591" t="s">
        <v>41</v>
      </c>
      <c r="B1591" t="s">
        <v>106</v>
      </c>
      <c r="C1591" t="s">
        <v>9</v>
      </c>
      <c r="D1591">
        <v>0.62</v>
      </c>
      <c r="E1591" s="1">
        <v>10833856</v>
      </c>
      <c r="F1591" s="1">
        <v>67170</v>
      </c>
      <c r="G1591" s="4">
        <f t="shared" si="73"/>
        <v>32439.456041200971</v>
      </c>
      <c r="H1591" s="4">
        <f t="shared" si="74"/>
        <v>56756.929247921464</v>
      </c>
      <c r="I1591" s="17">
        <f t="shared" si="72"/>
        <v>-0.74962641715801759</v>
      </c>
      <c r="J1591">
        <v>60.28</v>
      </c>
    </row>
    <row r="1592" spans="1:10" x14ac:dyDescent="0.25">
      <c r="A1592" t="s">
        <v>42</v>
      </c>
      <c r="B1592" t="s">
        <v>106</v>
      </c>
      <c r="C1592" t="s">
        <v>9</v>
      </c>
      <c r="D1592">
        <v>1.22</v>
      </c>
      <c r="E1592" s="1">
        <v>8902682</v>
      </c>
      <c r="F1592" s="1">
        <v>108613</v>
      </c>
      <c r="G1592" s="4">
        <f t="shared" si="73"/>
        <v>56750.836812360292</v>
      </c>
      <c r="H1592" s="4">
        <f t="shared" si="74"/>
        <v>58822.664608544088</v>
      </c>
      <c r="I1592" s="17">
        <f t="shared" si="72"/>
        <v>-3.6507440463548424E-2</v>
      </c>
      <c r="J1592">
        <v>49.76</v>
      </c>
    </row>
    <row r="1593" spans="1:10" x14ac:dyDescent="0.25">
      <c r="A1593" t="s">
        <v>43</v>
      </c>
      <c r="B1593" t="s">
        <v>106</v>
      </c>
      <c r="C1593" t="s">
        <v>9</v>
      </c>
      <c r="D1593">
        <v>0.41</v>
      </c>
      <c r="E1593" s="1">
        <v>11422038</v>
      </c>
      <c r="F1593" s="1">
        <v>46830</v>
      </c>
      <c r="G1593" s="4">
        <f t="shared" si="73"/>
        <v>93054.351043708069</v>
      </c>
      <c r="H1593" s="4">
        <f t="shared" si="74"/>
        <v>41320.568168147242</v>
      </c>
      <c r="I1593" s="17">
        <f t="shared" si="72"/>
        <v>0.55595232566031461</v>
      </c>
      <c r="J1593">
        <v>63.22</v>
      </c>
    </row>
    <row r="1594" spans="1:10" x14ac:dyDescent="0.25">
      <c r="A1594" t="s">
        <v>44</v>
      </c>
      <c r="B1594" t="s">
        <v>106</v>
      </c>
      <c r="C1594" t="s">
        <v>9</v>
      </c>
      <c r="D1594">
        <v>0.21</v>
      </c>
      <c r="E1594" s="1">
        <v>9676854</v>
      </c>
      <c r="F1594" s="1">
        <v>20321</v>
      </c>
      <c r="G1594" s="4">
        <f t="shared" si="73"/>
        <v>60697.305313112418</v>
      </c>
      <c r="H1594" s="4">
        <f t="shared" si="74"/>
        <v>44842.633299080459</v>
      </c>
      <c r="I1594" s="17">
        <f t="shared" si="72"/>
        <v>0.26120882850143401</v>
      </c>
      <c r="J1594">
        <v>53.37</v>
      </c>
    </row>
    <row r="1595" spans="1:10" x14ac:dyDescent="0.25">
      <c r="A1595" t="s">
        <v>45</v>
      </c>
      <c r="B1595" t="s">
        <v>106</v>
      </c>
      <c r="C1595" t="s">
        <v>9</v>
      </c>
      <c r="D1595">
        <v>3.01</v>
      </c>
      <c r="E1595" s="1">
        <v>10749055</v>
      </c>
      <c r="F1595" s="1">
        <v>323547</v>
      </c>
      <c r="G1595" s="4">
        <f t="shared" si="73"/>
        <v>32433.891593933724</v>
      </c>
      <c r="H1595" s="4">
        <f t="shared" si="74"/>
        <v>46391.883739331664</v>
      </c>
      <c r="I1595" s="17">
        <f t="shared" si="72"/>
        <v>-0.43035206259394954</v>
      </c>
      <c r="J1595">
        <v>60.9</v>
      </c>
    </row>
    <row r="1596" spans="1:10" x14ac:dyDescent="0.25">
      <c r="A1596" t="s">
        <v>46</v>
      </c>
      <c r="B1596" t="s">
        <v>106</v>
      </c>
      <c r="C1596" t="s">
        <v>9</v>
      </c>
      <c r="D1596">
        <v>2.14</v>
      </c>
      <c r="E1596" s="1">
        <v>9965875</v>
      </c>
      <c r="F1596" s="1">
        <v>213270</v>
      </c>
      <c r="G1596" s="4">
        <f t="shared" si="73"/>
        <v>236213.06747818011</v>
      </c>
      <c r="H1596" s="4">
        <f t="shared" si="74"/>
        <v>171769.0101521922</v>
      </c>
      <c r="I1596" s="17">
        <f t="shared" si="72"/>
        <v>0.27282172834041385</v>
      </c>
      <c r="J1596">
        <v>55.88</v>
      </c>
    </row>
    <row r="1597" spans="1:10" x14ac:dyDescent="0.25">
      <c r="A1597" t="s">
        <v>47</v>
      </c>
      <c r="B1597" t="s">
        <v>106</v>
      </c>
      <c r="C1597" t="s">
        <v>9</v>
      </c>
      <c r="D1597">
        <v>2.33</v>
      </c>
      <c r="E1597" s="1">
        <v>11244921</v>
      </c>
      <c r="F1597" s="1">
        <v>262007</v>
      </c>
      <c r="G1597" s="4">
        <f t="shared" si="73"/>
        <v>220152.92024345405</v>
      </c>
      <c r="H1597" s="4">
        <f t="shared" si="74"/>
        <v>170199.36570767831</v>
      </c>
      <c r="I1597" s="17">
        <f t="shared" si="72"/>
        <v>0.2269038924422854</v>
      </c>
      <c r="J1597">
        <v>63.07</v>
      </c>
    </row>
    <row r="1598" spans="1:10" x14ac:dyDescent="0.25">
      <c r="A1598" t="s">
        <v>48</v>
      </c>
      <c r="B1598" t="s">
        <v>106</v>
      </c>
      <c r="C1598" t="s">
        <v>9</v>
      </c>
      <c r="D1598">
        <v>1.86</v>
      </c>
      <c r="E1598" s="1">
        <v>9642129</v>
      </c>
      <c r="F1598" s="1">
        <v>179344</v>
      </c>
      <c r="G1598" s="4">
        <f t="shared" si="73"/>
        <v>249450.77607303619</v>
      </c>
      <c r="H1598" s="4">
        <f t="shared" si="74"/>
        <v>170318.31984396913</v>
      </c>
      <c r="I1598" s="17">
        <f t="shared" si="72"/>
        <v>0.31722673897754494</v>
      </c>
      <c r="J1598">
        <v>53.74</v>
      </c>
    </row>
    <row r="1599" spans="1:10" x14ac:dyDescent="0.25">
      <c r="A1599" t="s">
        <v>49</v>
      </c>
      <c r="B1599" t="s">
        <v>106</v>
      </c>
      <c r="C1599" t="s">
        <v>9</v>
      </c>
      <c r="D1599">
        <v>2.23</v>
      </c>
      <c r="E1599" s="1">
        <v>11053352</v>
      </c>
      <c r="F1599" s="1">
        <v>246490</v>
      </c>
      <c r="G1599" s="4">
        <f t="shared" si="73"/>
        <v>200376.03282191086</v>
      </c>
      <c r="H1599" s="4">
        <f t="shared" si="74"/>
        <v>48966.343505617799</v>
      </c>
      <c r="I1599" s="17">
        <f t="shared" si="72"/>
        <v>0.75562774241998365</v>
      </c>
      <c r="J1599">
        <v>61.74</v>
      </c>
    </row>
    <row r="1600" spans="1:10" x14ac:dyDescent="0.25">
      <c r="A1600" t="s">
        <v>50</v>
      </c>
      <c r="B1600" t="s">
        <v>106</v>
      </c>
      <c r="C1600" t="s">
        <v>9</v>
      </c>
      <c r="D1600">
        <v>5.92</v>
      </c>
      <c r="E1600" s="1">
        <v>10728821</v>
      </c>
      <c r="F1600" s="1">
        <v>635146</v>
      </c>
      <c r="G1600" s="4">
        <f t="shared" si="73"/>
        <v>232655.80984657325</v>
      </c>
      <c r="H1600" s="4">
        <f t="shared" si="74"/>
        <v>54139.39419844553</v>
      </c>
      <c r="I1600" s="17">
        <f t="shared" si="72"/>
        <v>0.76729833553630933</v>
      </c>
      <c r="J1600">
        <v>62.19</v>
      </c>
    </row>
    <row r="1601" spans="1:10" x14ac:dyDescent="0.25">
      <c r="A1601" t="s">
        <v>51</v>
      </c>
      <c r="B1601" t="s">
        <v>106</v>
      </c>
      <c r="C1601" t="s">
        <v>9</v>
      </c>
      <c r="D1601">
        <v>2.4500000000000002</v>
      </c>
      <c r="E1601" s="1">
        <v>11538688</v>
      </c>
      <c r="F1601" s="1">
        <v>282698</v>
      </c>
      <c r="G1601" s="4">
        <f t="shared" si="73"/>
        <v>514398.94295397191</v>
      </c>
      <c r="H1601" s="4">
        <f t="shared" si="74"/>
        <v>237374.39569169932</v>
      </c>
      <c r="I1601" s="17">
        <f t="shared" si="72"/>
        <v>0.53854027318065567</v>
      </c>
      <c r="J1601">
        <v>64.400000000000006</v>
      </c>
    </row>
    <row r="1602" spans="1:10" x14ac:dyDescent="0.25">
      <c r="A1602" t="s">
        <v>52</v>
      </c>
      <c r="B1602" t="s">
        <v>106</v>
      </c>
      <c r="C1602" t="s">
        <v>9</v>
      </c>
      <c r="D1602">
        <v>1.4</v>
      </c>
      <c r="E1602" s="1">
        <v>10743961</v>
      </c>
      <c r="F1602" s="1">
        <v>150415</v>
      </c>
      <c r="G1602" s="4">
        <f t="shared" si="73"/>
        <v>352208.2828861915</v>
      </c>
      <c r="H1602" s="4">
        <f t="shared" si="74"/>
        <v>269450.16738066386</v>
      </c>
      <c r="I1602" s="17">
        <f t="shared" si="72"/>
        <v>0.23496924838723665</v>
      </c>
      <c r="J1602">
        <v>59.23</v>
      </c>
    </row>
    <row r="1603" spans="1:10" x14ac:dyDescent="0.25">
      <c r="A1603" t="s">
        <v>53</v>
      </c>
      <c r="B1603" t="s">
        <v>106</v>
      </c>
      <c r="C1603" t="s">
        <v>9</v>
      </c>
      <c r="D1603">
        <v>4.13</v>
      </c>
      <c r="E1603" s="1">
        <v>11415308</v>
      </c>
      <c r="F1603" s="1">
        <v>471452</v>
      </c>
      <c r="G1603" s="4">
        <f t="shared" si="73"/>
        <v>210952.98486585746</v>
      </c>
      <c r="H1603" s="4">
        <f t="shared" si="74"/>
        <v>292349.2256152379</v>
      </c>
      <c r="I1603" s="17">
        <f t="shared" ref="I1603:I1666" si="75">(G1603-H1603)/G1603</f>
        <v>-0.38585014950672231</v>
      </c>
      <c r="J1603">
        <v>64.62</v>
      </c>
    </row>
    <row r="1604" spans="1:10" x14ac:dyDescent="0.25">
      <c r="A1604" t="s">
        <v>54</v>
      </c>
      <c r="B1604" t="s">
        <v>106</v>
      </c>
      <c r="C1604" t="s">
        <v>9</v>
      </c>
      <c r="D1604">
        <v>7.29</v>
      </c>
      <c r="E1604" s="1">
        <v>11375348</v>
      </c>
      <c r="F1604" s="1">
        <v>829263</v>
      </c>
      <c r="G1604" s="4">
        <f t="shared" ref="G1604:G1667" si="76">0.7*F1603+0.3*G1603</f>
        <v>393302.29545975721</v>
      </c>
      <c r="H1604" s="4">
        <f t="shared" si="74"/>
        <v>232569.41105084054</v>
      </c>
      <c r="I1604" s="17">
        <f t="shared" si="75"/>
        <v>0.40867517495931549</v>
      </c>
      <c r="J1604">
        <v>66.489999999999995</v>
      </c>
    </row>
    <row r="1605" spans="1:10" x14ac:dyDescent="0.25">
      <c r="A1605" t="s">
        <v>55</v>
      </c>
      <c r="B1605" t="s">
        <v>106</v>
      </c>
      <c r="C1605" t="s">
        <v>9</v>
      </c>
      <c r="D1605">
        <v>6.47</v>
      </c>
      <c r="E1605" s="1">
        <v>11265831</v>
      </c>
      <c r="F1605" s="1">
        <v>728899</v>
      </c>
      <c r="G1605" s="4">
        <f t="shared" si="76"/>
        <v>698474.78863792715</v>
      </c>
      <c r="H1605" s="4">
        <f t="shared" si="74"/>
        <v>315511.22632275679</v>
      </c>
      <c r="I1605" s="17">
        <f t="shared" si="75"/>
        <v>0.54828544787131839</v>
      </c>
      <c r="J1605">
        <v>65.17</v>
      </c>
    </row>
    <row r="1606" spans="1:10" x14ac:dyDescent="0.25">
      <c r="A1606" t="s">
        <v>56</v>
      </c>
      <c r="B1606" t="s">
        <v>106</v>
      </c>
      <c r="C1606" t="s">
        <v>9</v>
      </c>
      <c r="D1606">
        <v>1.35</v>
      </c>
      <c r="E1606" s="1">
        <v>11068057</v>
      </c>
      <c r="F1606" s="1">
        <v>149419</v>
      </c>
      <c r="G1606" s="4">
        <f t="shared" si="76"/>
        <v>719771.73659137811</v>
      </c>
      <c r="H1606" s="4">
        <f t="shared" ref="H1606:H1669" si="77">SQRT(SUMXMY2(F1603:F1605,G1603:G1605)/3)</f>
        <v>293738.60569452291</v>
      </c>
      <c r="I1606" s="17">
        <f t="shared" si="75"/>
        <v>0.59190033345074045</v>
      </c>
      <c r="J1606">
        <v>60.61</v>
      </c>
    </row>
    <row r="1607" spans="1:10" x14ac:dyDescent="0.25">
      <c r="A1607" t="s">
        <v>57</v>
      </c>
      <c r="B1607" t="s">
        <v>106</v>
      </c>
      <c r="C1607" t="s">
        <v>9</v>
      </c>
      <c r="D1607">
        <v>5.0199999999999996</v>
      </c>
      <c r="E1607" s="1">
        <v>12065915</v>
      </c>
      <c r="F1607" s="1">
        <v>605709</v>
      </c>
      <c r="G1607" s="4">
        <f t="shared" si="76"/>
        <v>320524.82097741344</v>
      </c>
      <c r="H1607" s="4">
        <f t="shared" si="77"/>
        <v>414845.1971026875</v>
      </c>
      <c r="I1607" s="17">
        <f t="shared" si="75"/>
        <v>-0.29426855566957971</v>
      </c>
      <c r="J1607">
        <v>68.510000000000005</v>
      </c>
    </row>
    <row r="1608" spans="1:10" x14ac:dyDescent="0.25">
      <c r="A1608" t="s">
        <v>58</v>
      </c>
      <c r="B1608" t="s">
        <v>106</v>
      </c>
      <c r="C1608" t="s">
        <v>9</v>
      </c>
      <c r="D1608">
        <v>9.02</v>
      </c>
      <c r="E1608" s="1">
        <v>11304474</v>
      </c>
      <c r="F1608" s="1">
        <v>1019664</v>
      </c>
      <c r="G1608" s="4">
        <f t="shared" si="76"/>
        <v>520153.74629322405</v>
      </c>
      <c r="H1608" s="4">
        <f t="shared" si="77"/>
        <v>368581.91886339401</v>
      </c>
      <c r="I1608" s="17">
        <f t="shared" si="75"/>
        <v>0.29139812701528656</v>
      </c>
      <c r="J1608">
        <v>66.92</v>
      </c>
    </row>
    <row r="1609" spans="1:10" x14ac:dyDescent="0.25">
      <c r="A1609" t="s">
        <v>59</v>
      </c>
      <c r="B1609" t="s">
        <v>106</v>
      </c>
      <c r="C1609" t="s">
        <v>9</v>
      </c>
      <c r="D1609">
        <v>5.63</v>
      </c>
      <c r="E1609" s="1">
        <v>12028377</v>
      </c>
      <c r="F1609" s="1">
        <v>677198</v>
      </c>
      <c r="G1609" s="4">
        <f t="shared" si="76"/>
        <v>869810.92388796713</v>
      </c>
      <c r="H1609" s="4">
        <f t="shared" si="77"/>
        <v>467668.95473196579</v>
      </c>
      <c r="I1609" s="17">
        <f t="shared" si="75"/>
        <v>0.46233262667990799</v>
      </c>
      <c r="J1609">
        <v>68.53</v>
      </c>
    </row>
    <row r="1610" spans="1:10" x14ac:dyDescent="0.25">
      <c r="A1610" t="s">
        <v>60</v>
      </c>
      <c r="B1610" t="s">
        <v>106</v>
      </c>
      <c r="C1610" t="s">
        <v>9</v>
      </c>
      <c r="D1610">
        <v>4.51</v>
      </c>
      <c r="E1610" s="1">
        <v>8793799</v>
      </c>
      <c r="F1610" s="1">
        <v>396600</v>
      </c>
      <c r="G1610" s="4">
        <f t="shared" si="76"/>
        <v>734981.87716639007</v>
      </c>
      <c r="H1610" s="4">
        <f t="shared" si="77"/>
        <v>350209.57914353046</v>
      </c>
      <c r="I1610" s="17">
        <f t="shared" si="75"/>
        <v>0.52351263340844567</v>
      </c>
      <c r="J1610">
        <v>49.44</v>
      </c>
    </row>
    <row r="1611" spans="1:10" x14ac:dyDescent="0.25">
      <c r="A1611" t="s">
        <v>61</v>
      </c>
      <c r="B1611" t="s">
        <v>106</v>
      </c>
      <c r="C1611" t="s">
        <v>9</v>
      </c>
      <c r="D1611">
        <v>11.64</v>
      </c>
      <c r="E1611" s="1">
        <v>10648640</v>
      </c>
      <c r="F1611" s="1">
        <v>1239502</v>
      </c>
      <c r="G1611" s="4">
        <f t="shared" si="76"/>
        <v>498114.56314991706</v>
      </c>
      <c r="H1611" s="4">
        <f t="shared" si="77"/>
        <v>365655.81576191267</v>
      </c>
      <c r="I1611" s="17">
        <f t="shared" si="75"/>
        <v>0.26592024643964968</v>
      </c>
      <c r="J1611">
        <v>64.599999999999994</v>
      </c>
    </row>
    <row r="1612" spans="1:10" x14ac:dyDescent="0.25">
      <c r="A1612" t="s">
        <v>62</v>
      </c>
      <c r="B1612" t="s">
        <v>106</v>
      </c>
      <c r="C1612" t="s">
        <v>9</v>
      </c>
      <c r="D1612">
        <v>12.03</v>
      </c>
      <c r="E1612" s="1">
        <v>10514681</v>
      </c>
      <c r="F1612" s="1">
        <v>1264916</v>
      </c>
      <c r="G1612" s="4">
        <f t="shared" si="76"/>
        <v>1017085.768944975</v>
      </c>
      <c r="H1612" s="4">
        <f t="shared" si="77"/>
        <v>483479.52895734808</v>
      </c>
      <c r="I1612" s="17">
        <f t="shared" si="75"/>
        <v>0.52464232248686138</v>
      </c>
      <c r="J1612">
        <v>63.97</v>
      </c>
    </row>
    <row r="1613" spans="1:10" x14ac:dyDescent="0.25">
      <c r="A1613" t="s">
        <v>63</v>
      </c>
      <c r="B1613" t="s">
        <v>106</v>
      </c>
      <c r="C1613" t="s">
        <v>9</v>
      </c>
      <c r="D1613">
        <v>6.67</v>
      </c>
      <c r="E1613" s="1">
        <v>10693699</v>
      </c>
      <c r="F1613" s="1">
        <v>713270</v>
      </c>
      <c r="G1613" s="4">
        <f t="shared" si="76"/>
        <v>1190566.9306834925</v>
      </c>
      <c r="H1613" s="4">
        <f t="shared" si="77"/>
        <v>491791.77495445934</v>
      </c>
      <c r="I1613" s="17">
        <f t="shared" si="75"/>
        <v>0.58692639424133286</v>
      </c>
      <c r="J1613">
        <v>61.22</v>
      </c>
    </row>
    <row r="1614" spans="1:10" x14ac:dyDescent="0.25">
      <c r="A1614" t="s">
        <v>64</v>
      </c>
      <c r="B1614" t="s">
        <v>106</v>
      </c>
      <c r="C1614" t="s">
        <v>9</v>
      </c>
      <c r="D1614">
        <v>7.02</v>
      </c>
      <c r="E1614" s="1">
        <v>13608389</v>
      </c>
      <c r="F1614" s="1">
        <v>955309</v>
      </c>
      <c r="G1614" s="4">
        <f t="shared" si="76"/>
        <v>856459.07920504769</v>
      </c>
      <c r="H1614" s="4">
        <f t="shared" si="77"/>
        <v>528799.74627572251</v>
      </c>
      <c r="I1614" s="17">
        <f t="shared" si="75"/>
        <v>0.38257441702113032</v>
      </c>
      <c r="J1614">
        <v>78.08</v>
      </c>
    </row>
    <row r="1615" spans="1:10" x14ac:dyDescent="0.25">
      <c r="A1615" t="s">
        <v>65</v>
      </c>
      <c r="B1615" t="s">
        <v>106</v>
      </c>
      <c r="C1615" t="s">
        <v>9</v>
      </c>
      <c r="D1615">
        <v>4.1100000000000003</v>
      </c>
      <c r="E1615" s="1">
        <v>11469409</v>
      </c>
      <c r="F1615" s="1">
        <v>471393</v>
      </c>
      <c r="G1615" s="4">
        <f t="shared" si="76"/>
        <v>925654.02376151423</v>
      </c>
      <c r="H1615" s="4">
        <f t="shared" si="77"/>
        <v>315702.12242230173</v>
      </c>
      <c r="I1615" s="17">
        <f t="shared" si="75"/>
        <v>0.65894155449202763</v>
      </c>
      <c r="J1615">
        <v>63.72</v>
      </c>
    </row>
    <row r="1616" spans="1:10" x14ac:dyDescent="0.25">
      <c r="A1616" t="s">
        <v>66</v>
      </c>
      <c r="B1616" t="s">
        <v>106</v>
      </c>
      <c r="C1616" t="s">
        <v>9</v>
      </c>
      <c r="D1616">
        <v>2.5299999999999998</v>
      </c>
      <c r="E1616" s="1">
        <v>12262259</v>
      </c>
      <c r="F1616" s="1">
        <v>310235</v>
      </c>
      <c r="G1616" s="4">
        <f t="shared" si="76"/>
        <v>607671.30712845421</v>
      </c>
      <c r="H1616" s="4">
        <f t="shared" si="77"/>
        <v>384680.27615580097</v>
      </c>
      <c r="I1616" s="17">
        <f t="shared" si="75"/>
        <v>0.36695994751898942</v>
      </c>
      <c r="J1616">
        <v>66.91</v>
      </c>
    </row>
    <row r="1617" spans="1:10" x14ac:dyDescent="0.25">
      <c r="A1617" t="s">
        <v>67</v>
      </c>
      <c r="B1617" t="s">
        <v>106</v>
      </c>
      <c r="C1617" t="s">
        <v>9</v>
      </c>
      <c r="D1617">
        <v>1.65</v>
      </c>
      <c r="E1617" s="1">
        <v>11928707</v>
      </c>
      <c r="F1617" s="1">
        <v>196824</v>
      </c>
      <c r="G1617" s="4">
        <f t="shared" si="76"/>
        <v>399465.89213853626</v>
      </c>
      <c r="H1617" s="4">
        <f t="shared" si="77"/>
        <v>318639.1592110839</v>
      </c>
      <c r="I1617" s="17">
        <f t="shared" si="75"/>
        <v>0.20233700678360131</v>
      </c>
      <c r="J1617">
        <v>64.41</v>
      </c>
    </row>
    <row r="1618" spans="1:10" x14ac:dyDescent="0.25">
      <c r="A1618" t="s">
        <v>68</v>
      </c>
      <c r="B1618" t="s">
        <v>106</v>
      </c>
      <c r="C1618" t="s">
        <v>9</v>
      </c>
      <c r="D1618">
        <v>6.37</v>
      </c>
      <c r="E1618" s="1">
        <v>8556804</v>
      </c>
      <c r="F1618" s="1">
        <v>545068</v>
      </c>
      <c r="G1618" s="4">
        <f t="shared" si="76"/>
        <v>257616.56764156086</v>
      </c>
      <c r="H1618" s="4">
        <f t="shared" si="77"/>
        <v>334606.8194944415</v>
      </c>
      <c r="I1618" s="17">
        <f t="shared" si="75"/>
        <v>-0.29885598025668259</v>
      </c>
      <c r="J1618">
        <v>48.46</v>
      </c>
    </row>
    <row r="1619" spans="1:10" x14ac:dyDescent="0.25">
      <c r="A1619" t="s">
        <v>69</v>
      </c>
      <c r="B1619" t="s">
        <v>106</v>
      </c>
      <c r="C1619" t="s">
        <v>9</v>
      </c>
      <c r="D1619">
        <v>4.82</v>
      </c>
      <c r="E1619" s="1">
        <v>11220791</v>
      </c>
      <c r="F1619" s="1">
        <v>540842</v>
      </c>
      <c r="G1619" s="4">
        <f t="shared" si="76"/>
        <v>458832.57029246824</v>
      </c>
      <c r="H1619" s="4">
        <f t="shared" si="77"/>
        <v>265932.58494877769</v>
      </c>
      <c r="I1619" s="17">
        <f t="shared" si="75"/>
        <v>0.42041476092408303</v>
      </c>
      <c r="J1619">
        <v>62.41</v>
      </c>
    </row>
    <row r="1620" spans="1:10" x14ac:dyDescent="0.25">
      <c r="A1620" t="s">
        <v>70</v>
      </c>
      <c r="B1620" t="s">
        <v>106</v>
      </c>
      <c r="C1620" t="s">
        <v>9</v>
      </c>
      <c r="D1620">
        <v>5.85</v>
      </c>
      <c r="E1620" s="1">
        <v>11047273</v>
      </c>
      <c r="F1620" s="1">
        <v>646265</v>
      </c>
      <c r="G1620" s="4">
        <f t="shared" si="76"/>
        <v>516239.17108774045</v>
      </c>
      <c r="H1620" s="4">
        <f t="shared" si="77"/>
        <v>208500.68662985187</v>
      </c>
      <c r="I1620" s="17">
        <f t="shared" si="75"/>
        <v>0.59611610604725906</v>
      </c>
      <c r="J1620">
        <v>62.03</v>
      </c>
    </row>
    <row r="1621" spans="1:10" x14ac:dyDescent="0.25">
      <c r="A1621" t="s">
        <v>71</v>
      </c>
      <c r="B1621" t="s">
        <v>106</v>
      </c>
      <c r="C1621" t="s">
        <v>9</v>
      </c>
      <c r="D1621">
        <v>3.86</v>
      </c>
      <c r="E1621" s="1">
        <v>11180051</v>
      </c>
      <c r="F1621" s="1">
        <v>431550</v>
      </c>
      <c r="G1621" s="4">
        <f t="shared" si="76"/>
        <v>607257.25132632209</v>
      </c>
      <c r="H1621" s="4">
        <f t="shared" si="77"/>
        <v>188202.54046301029</v>
      </c>
      <c r="I1621" s="17">
        <f t="shared" si="75"/>
        <v>0.69007773879693723</v>
      </c>
      <c r="J1621">
        <v>61.37</v>
      </c>
    </row>
    <row r="1622" spans="1:10" x14ac:dyDescent="0.25">
      <c r="A1622" t="s">
        <v>72</v>
      </c>
      <c r="B1622" t="s">
        <v>106</v>
      </c>
      <c r="C1622" t="s">
        <v>9</v>
      </c>
      <c r="D1622">
        <v>4</v>
      </c>
      <c r="E1622" s="1">
        <v>9247569</v>
      </c>
      <c r="F1622" s="1">
        <v>369903</v>
      </c>
      <c r="G1622" s="4">
        <f t="shared" si="76"/>
        <v>484262.17539789662</v>
      </c>
      <c r="H1622" s="4">
        <f t="shared" si="77"/>
        <v>134790.33213838213</v>
      </c>
      <c r="I1622" s="17">
        <f t="shared" si="75"/>
        <v>0.72165835164055314</v>
      </c>
      <c r="J1622">
        <v>50.76</v>
      </c>
    </row>
    <row r="1623" spans="1:10" x14ac:dyDescent="0.25">
      <c r="A1623" t="s">
        <v>73</v>
      </c>
      <c r="B1623" t="s">
        <v>106</v>
      </c>
      <c r="C1623" t="s">
        <v>9</v>
      </c>
      <c r="D1623">
        <v>8.5399999999999991</v>
      </c>
      <c r="E1623" s="1">
        <v>11589550</v>
      </c>
      <c r="F1623" s="1">
        <v>989748</v>
      </c>
      <c r="G1623" s="4">
        <f t="shared" si="76"/>
        <v>404210.75261936896</v>
      </c>
      <c r="H1623" s="4">
        <f t="shared" si="77"/>
        <v>142428.66676651203</v>
      </c>
      <c r="I1623" s="17">
        <f t="shared" si="75"/>
        <v>0.64763761022302124</v>
      </c>
      <c r="J1623">
        <v>66.67</v>
      </c>
    </row>
    <row r="1624" spans="1:10" x14ac:dyDescent="0.25">
      <c r="A1624" t="s">
        <v>74</v>
      </c>
      <c r="B1624" t="s">
        <v>106</v>
      </c>
      <c r="C1624" t="s">
        <v>9</v>
      </c>
      <c r="D1624">
        <v>4.3499999999999996</v>
      </c>
      <c r="E1624" s="1">
        <v>10115757</v>
      </c>
      <c r="F1624" s="1">
        <v>440035</v>
      </c>
      <c r="G1624" s="4">
        <f t="shared" si="76"/>
        <v>814086.82578581059</v>
      </c>
      <c r="H1624" s="4">
        <f t="shared" si="77"/>
        <v>359075.16726372886</v>
      </c>
      <c r="I1624" s="17">
        <f t="shared" si="75"/>
        <v>0.55892276365346449</v>
      </c>
      <c r="J1624">
        <v>55.56</v>
      </c>
    </row>
    <row r="1625" spans="1:10" x14ac:dyDescent="0.25">
      <c r="A1625" t="s">
        <v>75</v>
      </c>
      <c r="B1625" t="s">
        <v>106</v>
      </c>
      <c r="C1625" t="s">
        <v>9</v>
      </c>
      <c r="D1625">
        <v>4.03</v>
      </c>
      <c r="E1625" s="1">
        <v>11149816</v>
      </c>
      <c r="F1625" s="1">
        <v>449338</v>
      </c>
      <c r="G1625" s="4">
        <f t="shared" si="76"/>
        <v>552250.54773574322</v>
      </c>
      <c r="H1625" s="4">
        <f t="shared" si="77"/>
        <v>406549.15957010316</v>
      </c>
      <c r="I1625" s="17">
        <f t="shared" si="75"/>
        <v>0.26383203921304116</v>
      </c>
      <c r="J1625">
        <v>60.94</v>
      </c>
    </row>
    <row r="1626" spans="1:10" x14ac:dyDescent="0.25">
      <c r="A1626" t="s">
        <v>76</v>
      </c>
      <c r="B1626" t="s">
        <v>106</v>
      </c>
      <c r="C1626" t="s">
        <v>9</v>
      </c>
      <c r="D1626">
        <v>2.7</v>
      </c>
      <c r="E1626" s="1">
        <v>11331936</v>
      </c>
      <c r="F1626" s="1">
        <v>305962</v>
      </c>
      <c r="G1626" s="4">
        <f t="shared" si="76"/>
        <v>480211.7643207229</v>
      </c>
      <c r="H1626" s="4">
        <f t="shared" si="77"/>
        <v>405528.30929757387</v>
      </c>
      <c r="I1626" s="17">
        <f t="shared" si="75"/>
        <v>0.15552191881177985</v>
      </c>
      <c r="J1626">
        <v>60.99</v>
      </c>
    </row>
    <row r="1627" spans="1:10" x14ac:dyDescent="0.25">
      <c r="A1627" t="s">
        <v>77</v>
      </c>
      <c r="B1627" t="s">
        <v>106</v>
      </c>
      <c r="C1627" t="s">
        <v>9</v>
      </c>
      <c r="D1627">
        <v>3.39</v>
      </c>
      <c r="E1627" s="1">
        <v>11556605</v>
      </c>
      <c r="F1627" s="1">
        <v>391769</v>
      </c>
      <c r="G1627" s="4">
        <f t="shared" si="76"/>
        <v>358236.92929621687</v>
      </c>
      <c r="H1627" s="4">
        <f t="shared" si="77"/>
        <v>245539.36630812552</v>
      </c>
      <c r="I1627" s="17">
        <f t="shared" si="75"/>
        <v>0.31458946236920382</v>
      </c>
      <c r="J1627">
        <v>62.55</v>
      </c>
    </row>
    <row r="1628" spans="1:10" x14ac:dyDescent="0.25">
      <c r="A1628" t="s">
        <v>78</v>
      </c>
      <c r="B1628" t="s">
        <v>106</v>
      </c>
      <c r="C1628" t="s">
        <v>9</v>
      </c>
      <c r="D1628">
        <v>3.7</v>
      </c>
      <c r="E1628" s="1">
        <v>11882064</v>
      </c>
      <c r="F1628" s="1">
        <v>439636</v>
      </c>
      <c r="G1628" s="4">
        <f t="shared" si="76"/>
        <v>381709.37878886505</v>
      </c>
      <c r="H1628" s="4">
        <f t="shared" si="77"/>
        <v>118431.93912253655</v>
      </c>
      <c r="I1628" s="17">
        <f t="shared" si="75"/>
        <v>0.68973269795384085</v>
      </c>
      <c r="J1628">
        <v>64.41</v>
      </c>
    </row>
    <row r="1629" spans="1:10" x14ac:dyDescent="0.25">
      <c r="A1629" t="s">
        <v>79</v>
      </c>
      <c r="B1629" t="s">
        <v>106</v>
      </c>
      <c r="C1629" t="s">
        <v>9</v>
      </c>
      <c r="D1629">
        <v>4.53</v>
      </c>
      <c r="E1629" s="1">
        <v>10978770</v>
      </c>
      <c r="F1629" s="1">
        <v>497338</v>
      </c>
      <c r="G1629" s="4">
        <f t="shared" si="76"/>
        <v>422258.01363665948</v>
      </c>
      <c r="H1629" s="4">
        <f t="shared" si="77"/>
        <v>107769.6209149395</v>
      </c>
      <c r="I1629" s="17">
        <f t="shared" si="75"/>
        <v>0.74477779595753968</v>
      </c>
      <c r="J1629">
        <v>59.94</v>
      </c>
    </row>
    <row r="1630" spans="1:10" x14ac:dyDescent="0.25">
      <c r="A1630" t="s">
        <v>80</v>
      </c>
      <c r="B1630" t="s">
        <v>106</v>
      </c>
      <c r="C1630" t="s">
        <v>9</v>
      </c>
      <c r="D1630">
        <v>0.36</v>
      </c>
      <c r="E1630" s="1">
        <v>12204038</v>
      </c>
      <c r="F1630" s="1">
        <v>43935</v>
      </c>
      <c r="G1630" s="4">
        <f t="shared" si="76"/>
        <v>474814.0040909978</v>
      </c>
      <c r="H1630" s="4">
        <f t="shared" si="77"/>
        <v>58071.500649174479</v>
      </c>
      <c r="I1630" s="17">
        <f t="shared" si="75"/>
        <v>0.87769631866619269</v>
      </c>
      <c r="J1630">
        <v>63.74</v>
      </c>
    </row>
    <row r="1631" spans="1:10" x14ac:dyDescent="0.25">
      <c r="A1631" t="s">
        <v>81</v>
      </c>
      <c r="B1631" t="s">
        <v>106</v>
      </c>
      <c r="C1631" t="s">
        <v>9</v>
      </c>
      <c r="D1631">
        <v>0</v>
      </c>
      <c r="E1631" s="1">
        <v>10676237</v>
      </c>
      <c r="F1631">
        <v>0</v>
      </c>
      <c r="G1631" s="4">
        <f t="shared" si="76"/>
        <v>173198.70122729935</v>
      </c>
      <c r="H1631" s="4">
        <f t="shared" si="77"/>
        <v>254721.55645181649</v>
      </c>
      <c r="I1631" s="17">
        <f t="shared" si="75"/>
        <v>-0.47068976064393042</v>
      </c>
      <c r="J1631">
        <v>55.47</v>
      </c>
    </row>
    <row r="1632" spans="1:10" x14ac:dyDescent="0.25">
      <c r="A1632" t="s">
        <v>82</v>
      </c>
      <c r="B1632" t="s">
        <v>106</v>
      </c>
      <c r="C1632" t="s">
        <v>9</v>
      </c>
      <c r="D1632">
        <v>16.23</v>
      </c>
      <c r="E1632" s="1">
        <v>9821061</v>
      </c>
      <c r="F1632" s="1">
        <v>1593958</v>
      </c>
      <c r="G1632" s="4">
        <f t="shared" si="76"/>
        <v>51959.610368189802</v>
      </c>
      <c r="H1632" s="4">
        <f t="shared" si="77"/>
        <v>271594.98683738179</v>
      </c>
      <c r="I1632" s="17">
        <f t="shared" si="75"/>
        <v>-4.2270404822676459</v>
      </c>
      <c r="J1632">
        <v>60.83</v>
      </c>
    </row>
    <row r="1633" spans="1:10" x14ac:dyDescent="0.25">
      <c r="A1633" t="s">
        <v>83</v>
      </c>
      <c r="B1633" t="s">
        <v>106</v>
      </c>
      <c r="C1633" t="s">
        <v>9</v>
      </c>
      <c r="D1633">
        <v>6.19</v>
      </c>
      <c r="E1633" s="1">
        <v>11189165</v>
      </c>
      <c r="F1633" s="1">
        <v>692609</v>
      </c>
      <c r="G1633" s="4">
        <f t="shared" si="76"/>
        <v>1131358.4831104567</v>
      </c>
      <c r="H1633" s="4">
        <f t="shared" si="77"/>
        <v>929769.42301131284</v>
      </c>
      <c r="I1633" s="17">
        <f t="shared" si="75"/>
        <v>0.17818318694611526</v>
      </c>
      <c r="J1633">
        <v>61.78</v>
      </c>
    </row>
    <row r="1634" spans="1:10" x14ac:dyDescent="0.25">
      <c r="A1634" t="s">
        <v>84</v>
      </c>
      <c r="B1634" t="s">
        <v>106</v>
      </c>
      <c r="C1634" t="s">
        <v>9</v>
      </c>
      <c r="D1634">
        <v>9.8699999999999992</v>
      </c>
      <c r="E1634" s="1">
        <v>11776165</v>
      </c>
      <c r="F1634" s="1">
        <v>1162307</v>
      </c>
      <c r="G1634" s="4">
        <f t="shared" si="76"/>
        <v>824233.84493313706</v>
      </c>
      <c r="H1634" s="4">
        <f t="shared" si="77"/>
        <v>930995.51246029325</v>
      </c>
      <c r="I1634" s="17">
        <f t="shared" si="75"/>
        <v>-0.12952837132745601</v>
      </c>
      <c r="J1634">
        <v>67.58</v>
      </c>
    </row>
    <row r="1635" spans="1:10" x14ac:dyDescent="0.25">
      <c r="A1635" t="s">
        <v>29</v>
      </c>
      <c r="B1635" t="s">
        <v>107</v>
      </c>
      <c r="C1635" t="s">
        <v>9</v>
      </c>
      <c r="D1635">
        <v>20</v>
      </c>
      <c r="E1635" s="1">
        <v>859255</v>
      </c>
      <c r="F1635" s="1">
        <v>171851</v>
      </c>
      <c r="G1635" s="4">
        <f t="shared" si="76"/>
        <v>1060885.0534799411</v>
      </c>
      <c r="H1635" s="4">
        <f t="shared" si="77"/>
        <v>945965.75003778585</v>
      </c>
      <c r="I1635" s="17">
        <f t="shared" si="75"/>
        <v>0.1083239914307343</v>
      </c>
      <c r="J1635">
        <v>49.65</v>
      </c>
    </row>
    <row r="1636" spans="1:10" x14ac:dyDescent="0.25">
      <c r="A1636" t="s">
        <v>30</v>
      </c>
      <c r="B1636" t="s">
        <v>107</v>
      </c>
      <c r="C1636" t="s">
        <v>9</v>
      </c>
      <c r="D1636">
        <v>8.57</v>
      </c>
      <c r="E1636" s="1">
        <v>1066870</v>
      </c>
      <c r="F1636" s="1">
        <v>91431</v>
      </c>
      <c r="G1636" s="4">
        <f t="shared" si="76"/>
        <v>438561.21604398231</v>
      </c>
      <c r="H1636" s="4">
        <f t="shared" si="77"/>
        <v>604752.32267806155</v>
      </c>
      <c r="I1636" s="17">
        <f t="shared" si="75"/>
        <v>-0.37894620079084312</v>
      </c>
      <c r="J1636">
        <v>53.85</v>
      </c>
    </row>
    <row r="1637" spans="1:10" x14ac:dyDescent="0.25">
      <c r="A1637" t="s">
        <v>33</v>
      </c>
      <c r="B1637" t="s">
        <v>107</v>
      </c>
      <c r="C1637" t="s">
        <v>9</v>
      </c>
      <c r="D1637">
        <v>33.33</v>
      </c>
      <c r="E1637" s="1">
        <v>963790</v>
      </c>
      <c r="F1637" s="1">
        <v>321231</v>
      </c>
      <c r="G1637" s="4">
        <f t="shared" si="76"/>
        <v>195570.06481319468</v>
      </c>
      <c r="H1637" s="4">
        <f t="shared" si="77"/>
        <v>584572.32039459969</v>
      </c>
      <c r="I1637" s="17">
        <f t="shared" si="75"/>
        <v>-1.9890685006060287</v>
      </c>
      <c r="J1637">
        <v>66.38</v>
      </c>
    </row>
    <row r="1638" spans="1:10" x14ac:dyDescent="0.25">
      <c r="A1638" t="s">
        <v>34</v>
      </c>
      <c r="B1638" t="s">
        <v>107</v>
      </c>
      <c r="C1638" t="s">
        <v>9</v>
      </c>
      <c r="D1638">
        <v>31.63</v>
      </c>
      <c r="E1638" s="1">
        <v>1021898</v>
      </c>
      <c r="F1638" s="1">
        <v>323226</v>
      </c>
      <c r="G1638" s="4">
        <f t="shared" si="76"/>
        <v>283532.71944395837</v>
      </c>
      <c r="H1638" s="4">
        <f t="shared" si="77"/>
        <v>555779.2144877133</v>
      </c>
      <c r="I1638" s="17">
        <f t="shared" si="75"/>
        <v>-0.96019427873320196</v>
      </c>
      <c r="J1638">
        <v>68.53</v>
      </c>
    </row>
    <row r="1639" spans="1:10" x14ac:dyDescent="0.25">
      <c r="A1639" t="s">
        <v>35</v>
      </c>
      <c r="B1639" t="s">
        <v>107</v>
      </c>
      <c r="C1639" t="s">
        <v>9</v>
      </c>
      <c r="D1639">
        <v>15.29</v>
      </c>
      <c r="E1639" s="1">
        <v>936297</v>
      </c>
      <c r="F1639" s="1">
        <v>143160</v>
      </c>
      <c r="G1639" s="4">
        <f t="shared" si="76"/>
        <v>311318.0158331875</v>
      </c>
      <c r="H1639" s="4">
        <f t="shared" si="77"/>
        <v>214371.6508341413</v>
      </c>
      <c r="I1639" s="17">
        <f t="shared" si="75"/>
        <v>0.31140621508712379</v>
      </c>
      <c r="J1639">
        <v>50.6</v>
      </c>
    </row>
    <row r="1640" spans="1:10" x14ac:dyDescent="0.25">
      <c r="A1640" t="s">
        <v>36</v>
      </c>
      <c r="B1640" t="s">
        <v>107</v>
      </c>
      <c r="C1640" t="s">
        <v>9</v>
      </c>
      <c r="D1640">
        <v>13.26</v>
      </c>
      <c r="E1640" s="1">
        <v>1004529</v>
      </c>
      <c r="F1640" s="1">
        <v>133201</v>
      </c>
      <c r="G1640" s="4">
        <f t="shared" si="76"/>
        <v>193607.40474995624</v>
      </c>
      <c r="H1640" s="4">
        <f t="shared" si="77"/>
        <v>123346.86246824123</v>
      </c>
      <c r="I1640" s="17">
        <f t="shared" si="75"/>
        <v>0.36290214401900805</v>
      </c>
      <c r="J1640">
        <v>52.92</v>
      </c>
    </row>
    <row r="1641" spans="1:10" x14ac:dyDescent="0.25">
      <c r="A1641" t="s">
        <v>37</v>
      </c>
      <c r="B1641" t="s">
        <v>107</v>
      </c>
      <c r="C1641" t="s">
        <v>9</v>
      </c>
      <c r="D1641">
        <v>22.92</v>
      </c>
      <c r="E1641" s="1">
        <v>1036401</v>
      </c>
      <c r="F1641" s="1">
        <v>237543</v>
      </c>
      <c r="G1641" s="4">
        <f t="shared" si="76"/>
        <v>151322.92142498685</v>
      </c>
      <c r="H1641" s="4">
        <f t="shared" si="77"/>
        <v>105674.98686234554</v>
      </c>
      <c r="I1641" s="17">
        <f t="shared" si="75"/>
        <v>0.30165908860852725</v>
      </c>
      <c r="J1641">
        <v>61.34</v>
      </c>
    </row>
    <row r="1642" spans="1:10" x14ac:dyDescent="0.25">
      <c r="A1642" t="s">
        <v>38</v>
      </c>
      <c r="B1642" t="s">
        <v>107</v>
      </c>
      <c r="C1642" t="s">
        <v>9</v>
      </c>
      <c r="D1642">
        <v>20</v>
      </c>
      <c r="E1642" s="1">
        <v>1076286</v>
      </c>
      <c r="F1642" s="1">
        <v>215257</v>
      </c>
      <c r="G1642" s="4">
        <f t="shared" si="76"/>
        <v>211676.97642749603</v>
      </c>
      <c r="H1642" s="4">
        <f t="shared" si="77"/>
        <v>114542.50153436715</v>
      </c>
      <c r="I1642" s="17">
        <f t="shared" si="75"/>
        <v>0.45888068004599236</v>
      </c>
      <c r="J1642">
        <v>61.28</v>
      </c>
    </row>
    <row r="1643" spans="1:10" x14ac:dyDescent="0.25">
      <c r="A1643" t="s">
        <v>39</v>
      </c>
      <c r="B1643" t="s">
        <v>107</v>
      </c>
      <c r="C1643" t="s">
        <v>9</v>
      </c>
      <c r="D1643">
        <v>17.489999999999998</v>
      </c>
      <c r="E1643" s="1">
        <v>951442</v>
      </c>
      <c r="F1643" s="1">
        <v>166407</v>
      </c>
      <c r="G1643" s="4">
        <f t="shared" si="76"/>
        <v>214182.9929282488</v>
      </c>
      <c r="H1643" s="4">
        <f t="shared" si="77"/>
        <v>60815.711383042741</v>
      </c>
      <c r="I1643" s="17">
        <f t="shared" si="75"/>
        <v>0.71605723427622481</v>
      </c>
      <c r="J1643">
        <v>52.44</v>
      </c>
    </row>
    <row r="1644" spans="1:10" x14ac:dyDescent="0.25">
      <c r="A1644" t="s">
        <v>40</v>
      </c>
      <c r="B1644" t="s">
        <v>107</v>
      </c>
      <c r="C1644" t="s">
        <v>9</v>
      </c>
      <c r="D1644">
        <v>23.88</v>
      </c>
      <c r="E1644" s="1">
        <v>1043379</v>
      </c>
      <c r="F1644" s="1">
        <v>249159</v>
      </c>
      <c r="G1644" s="4">
        <f t="shared" si="76"/>
        <v>180739.79787847464</v>
      </c>
      <c r="H1644" s="4">
        <f t="shared" si="77"/>
        <v>56948.11679222063</v>
      </c>
      <c r="I1644" s="17">
        <f t="shared" si="75"/>
        <v>0.6849165625906517</v>
      </c>
      <c r="J1644">
        <v>62.23</v>
      </c>
    </row>
    <row r="1645" spans="1:10" x14ac:dyDescent="0.25">
      <c r="A1645" t="s">
        <v>41</v>
      </c>
      <c r="B1645" t="s">
        <v>107</v>
      </c>
      <c r="C1645" t="s">
        <v>9</v>
      </c>
      <c r="D1645">
        <v>39.19</v>
      </c>
      <c r="E1645" s="1">
        <v>967018</v>
      </c>
      <c r="F1645" s="1">
        <v>378974</v>
      </c>
      <c r="G1645" s="4">
        <f t="shared" si="76"/>
        <v>228633.23936354238</v>
      </c>
      <c r="H1645" s="4">
        <f t="shared" si="77"/>
        <v>48223.608630372124</v>
      </c>
      <c r="I1645" s="17">
        <f t="shared" si="75"/>
        <v>0.78907875003383343</v>
      </c>
      <c r="J1645">
        <v>72.08</v>
      </c>
    </row>
    <row r="1646" spans="1:10" x14ac:dyDescent="0.25">
      <c r="A1646" t="s">
        <v>42</v>
      </c>
      <c r="B1646" t="s">
        <v>107</v>
      </c>
      <c r="C1646" t="s">
        <v>9</v>
      </c>
      <c r="D1646">
        <v>33.090000000000003</v>
      </c>
      <c r="E1646" s="1">
        <v>1086837</v>
      </c>
      <c r="F1646" s="1">
        <v>359634</v>
      </c>
      <c r="G1646" s="4">
        <f t="shared" si="76"/>
        <v>333871.77180906269</v>
      </c>
      <c r="H1646" s="4">
        <f t="shared" si="77"/>
        <v>99274.160834151378</v>
      </c>
      <c r="I1646" s="17">
        <f t="shared" si="75"/>
        <v>0.7026578189098146</v>
      </c>
      <c r="J1646">
        <v>73.5</v>
      </c>
    </row>
    <row r="1647" spans="1:10" x14ac:dyDescent="0.25">
      <c r="A1647" t="s">
        <v>43</v>
      </c>
      <c r="B1647" t="s">
        <v>107</v>
      </c>
      <c r="C1647" t="s">
        <v>9</v>
      </c>
      <c r="D1647">
        <v>33.33</v>
      </c>
      <c r="E1647" s="1">
        <v>1012609</v>
      </c>
      <c r="F1647" s="1">
        <v>337503</v>
      </c>
      <c r="G1647" s="4">
        <f t="shared" si="76"/>
        <v>351905.33154271881</v>
      </c>
      <c r="H1647" s="4">
        <f t="shared" si="77"/>
        <v>96518.087992280343</v>
      </c>
      <c r="I1647" s="17">
        <f t="shared" si="75"/>
        <v>0.7257271222088213</v>
      </c>
      <c r="J1647">
        <v>68.62</v>
      </c>
    </row>
    <row r="1648" spans="1:10" x14ac:dyDescent="0.25">
      <c r="A1648" t="s">
        <v>44</v>
      </c>
      <c r="B1648" t="s">
        <v>107</v>
      </c>
      <c r="C1648" t="s">
        <v>9</v>
      </c>
      <c r="D1648">
        <v>23.11</v>
      </c>
      <c r="E1648" s="1">
        <v>1066060</v>
      </c>
      <c r="F1648" s="1">
        <v>246366</v>
      </c>
      <c r="G1648" s="4">
        <f t="shared" si="76"/>
        <v>341823.6994628156</v>
      </c>
      <c r="H1648" s="4">
        <f t="shared" si="77"/>
        <v>88456.135766033709</v>
      </c>
      <c r="I1648" s="17">
        <f t="shared" si="75"/>
        <v>0.74122292893955355</v>
      </c>
      <c r="J1648">
        <v>62.54</v>
      </c>
    </row>
    <row r="1649" spans="1:10" x14ac:dyDescent="0.25">
      <c r="A1649" t="s">
        <v>45</v>
      </c>
      <c r="B1649" t="s">
        <v>107</v>
      </c>
      <c r="C1649" t="s">
        <v>9</v>
      </c>
      <c r="D1649">
        <v>33.06</v>
      </c>
      <c r="E1649" s="1">
        <v>996372</v>
      </c>
      <c r="F1649" s="1">
        <v>329401</v>
      </c>
      <c r="G1649" s="4">
        <f t="shared" si="76"/>
        <v>275003.30983884464</v>
      </c>
      <c r="H1649" s="4">
        <f t="shared" si="77"/>
        <v>57686.774746503623</v>
      </c>
      <c r="I1649" s="17">
        <f t="shared" si="75"/>
        <v>0.79023243472848093</v>
      </c>
      <c r="J1649">
        <v>67.03</v>
      </c>
    </row>
    <row r="1650" spans="1:10" x14ac:dyDescent="0.25">
      <c r="A1650" t="s">
        <v>46</v>
      </c>
      <c r="B1650" t="s">
        <v>107</v>
      </c>
      <c r="C1650" t="s">
        <v>9</v>
      </c>
      <c r="D1650">
        <v>25.7</v>
      </c>
      <c r="E1650" s="1">
        <v>1137114</v>
      </c>
      <c r="F1650" s="1">
        <v>292238</v>
      </c>
      <c r="G1650" s="4">
        <f t="shared" si="76"/>
        <v>313081.69295165339</v>
      </c>
      <c r="H1650" s="4">
        <f t="shared" si="77"/>
        <v>63975.798120509797</v>
      </c>
      <c r="I1650" s="17">
        <f t="shared" si="75"/>
        <v>0.79565781212768305</v>
      </c>
      <c r="J1650">
        <v>68.81</v>
      </c>
    </row>
    <row r="1651" spans="1:10" x14ac:dyDescent="0.25">
      <c r="A1651" t="s">
        <v>47</v>
      </c>
      <c r="B1651" t="s">
        <v>107</v>
      </c>
      <c r="C1651" t="s">
        <v>9</v>
      </c>
      <c r="D1651">
        <v>22.95</v>
      </c>
      <c r="E1651" s="1">
        <v>1026566</v>
      </c>
      <c r="F1651" s="1">
        <v>235597</v>
      </c>
      <c r="G1651" s="4">
        <f t="shared" si="76"/>
        <v>298491.10788549599</v>
      </c>
      <c r="H1651" s="4">
        <f t="shared" si="77"/>
        <v>64564.542945967609</v>
      </c>
      <c r="I1651" s="17">
        <f t="shared" si="75"/>
        <v>0.78369693019218789</v>
      </c>
      <c r="J1651">
        <v>59.8</v>
      </c>
    </row>
    <row r="1652" spans="1:10" x14ac:dyDescent="0.25">
      <c r="A1652" t="s">
        <v>48</v>
      </c>
      <c r="B1652" t="s">
        <v>107</v>
      </c>
      <c r="C1652" t="s">
        <v>9</v>
      </c>
      <c r="D1652">
        <v>22.22</v>
      </c>
      <c r="E1652" s="1">
        <v>1077253</v>
      </c>
      <c r="F1652" s="1">
        <v>239366</v>
      </c>
      <c r="G1652" s="4">
        <f t="shared" si="76"/>
        <v>254465.23236564879</v>
      </c>
      <c r="H1652" s="4">
        <f t="shared" si="77"/>
        <v>49494.905587828842</v>
      </c>
      <c r="I1652" s="17">
        <f t="shared" si="75"/>
        <v>0.80549442795113124</v>
      </c>
      <c r="J1652">
        <v>62.07</v>
      </c>
    </row>
    <row r="1653" spans="1:10" x14ac:dyDescent="0.25">
      <c r="A1653" t="s">
        <v>49</v>
      </c>
      <c r="B1653" t="s">
        <v>107</v>
      </c>
      <c r="C1653" t="s">
        <v>9</v>
      </c>
      <c r="D1653">
        <v>29.25</v>
      </c>
      <c r="E1653" s="1">
        <v>1019549</v>
      </c>
      <c r="F1653" s="1">
        <v>298218</v>
      </c>
      <c r="G1653" s="4">
        <f t="shared" si="76"/>
        <v>243895.76970969461</v>
      </c>
      <c r="H1653" s="4">
        <f t="shared" si="77"/>
        <v>39234.827898212534</v>
      </c>
      <c r="I1653" s="17">
        <f t="shared" si="75"/>
        <v>0.83913280683419333</v>
      </c>
      <c r="J1653">
        <v>64.47</v>
      </c>
    </row>
    <row r="1654" spans="1:10" x14ac:dyDescent="0.25">
      <c r="A1654" t="s">
        <v>50</v>
      </c>
      <c r="B1654" t="s">
        <v>107</v>
      </c>
      <c r="C1654" t="s">
        <v>9</v>
      </c>
      <c r="D1654">
        <v>26.64</v>
      </c>
      <c r="E1654" s="1">
        <v>1107013</v>
      </c>
      <c r="F1654" s="1">
        <v>294908</v>
      </c>
      <c r="G1654" s="4">
        <f t="shared" si="76"/>
        <v>281921.33091290836</v>
      </c>
      <c r="H1654" s="4">
        <f t="shared" si="77"/>
        <v>48766.656397095881</v>
      </c>
      <c r="I1654" s="17">
        <f t="shared" si="75"/>
        <v>0.82702033847818002</v>
      </c>
      <c r="J1654">
        <v>67.400000000000006</v>
      </c>
    </row>
    <row r="1655" spans="1:10" x14ac:dyDescent="0.25">
      <c r="A1655" t="s">
        <v>51</v>
      </c>
      <c r="B1655" t="s">
        <v>107</v>
      </c>
      <c r="C1655" t="s">
        <v>9</v>
      </c>
      <c r="D1655">
        <v>22.47</v>
      </c>
      <c r="E1655" s="1">
        <v>1052598</v>
      </c>
      <c r="F1655" s="1">
        <v>236519</v>
      </c>
      <c r="G1655" s="4">
        <f t="shared" si="76"/>
        <v>291011.99927387247</v>
      </c>
      <c r="H1655" s="4">
        <f t="shared" si="77"/>
        <v>33404.316565989146</v>
      </c>
      <c r="I1655" s="17">
        <f t="shared" si="75"/>
        <v>0.88521326732458128</v>
      </c>
      <c r="J1655">
        <v>60.54</v>
      </c>
    </row>
    <row r="1656" spans="1:10" x14ac:dyDescent="0.25">
      <c r="A1656" t="s">
        <v>52</v>
      </c>
      <c r="B1656" t="s">
        <v>107</v>
      </c>
      <c r="C1656" t="s">
        <v>9</v>
      </c>
      <c r="D1656">
        <v>25.49</v>
      </c>
      <c r="E1656" s="1">
        <v>975501</v>
      </c>
      <c r="F1656" s="1">
        <v>248655</v>
      </c>
      <c r="G1656" s="4">
        <f t="shared" si="76"/>
        <v>252866.89978216172</v>
      </c>
      <c r="H1656" s="4">
        <f t="shared" si="77"/>
        <v>45051.989403180487</v>
      </c>
      <c r="I1656" s="17">
        <f t="shared" si="75"/>
        <v>0.82183516529054768</v>
      </c>
      <c r="J1656">
        <v>58.29</v>
      </c>
    </row>
    <row r="1657" spans="1:10" x14ac:dyDescent="0.25">
      <c r="A1657" t="s">
        <v>53</v>
      </c>
      <c r="B1657" t="s">
        <v>107</v>
      </c>
      <c r="C1657" t="s">
        <v>9</v>
      </c>
      <c r="D1657">
        <v>30.23</v>
      </c>
      <c r="E1657" s="1">
        <v>1034408</v>
      </c>
      <c r="F1657" s="1">
        <v>312702</v>
      </c>
      <c r="G1657" s="4">
        <f t="shared" si="76"/>
        <v>249918.56993464852</v>
      </c>
      <c r="H1657" s="4">
        <f t="shared" si="77"/>
        <v>32433.936155488238</v>
      </c>
      <c r="I1657" s="17">
        <f t="shared" si="75"/>
        <v>0.87022198404876661</v>
      </c>
      <c r="J1657">
        <v>65.900000000000006</v>
      </c>
    </row>
    <row r="1658" spans="1:10" x14ac:dyDescent="0.25">
      <c r="A1658" t="s">
        <v>54</v>
      </c>
      <c r="B1658" t="s">
        <v>107</v>
      </c>
      <c r="C1658" t="s">
        <v>9</v>
      </c>
      <c r="D1658">
        <v>27.54</v>
      </c>
      <c r="E1658" s="1">
        <v>1113764</v>
      </c>
      <c r="F1658" s="1">
        <v>306731</v>
      </c>
      <c r="G1658" s="4">
        <f t="shared" si="76"/>
        <v>293866.97098039452</v>
      </c>
      <c r="H1658" s="4">
        <f t="shared" si="77"/>
        <v>48058.943532597274</v>
      </c>
      <c r="I1658" s="17">
        <f t="shared" si="75"/>
        <v>0.83646020724185588</v>
      </c>
      <c r="J1658">
        <v>68.209999999999994</v>
      </c>
    </row>
    <row r="1659" spans="1:10" x14ac:dyDescent="0.25">
      <c r="A1659" t="s">
        <v>55</v>
      </c>
      <c r="B1659" t="s">
        <v>107</v>
      </c>
      <c r="C1659" t="s">
        <v>9</v>
      </c>
      <c r="D1659">
        <v>25.25</v>
      </c>
      <c r="E1659" s="1">
        <v>1084633</v>
      </c>
      <c r="F1659" s="1">
        <v>273870</v>
      </c>
      <c r="G1659" s="4">
        <f t="shared" si="76"/>
        <v>302871.79129411833</v>
      </c>
      <c r="H1659" s="4">
        <f t="shared" si="77"/>
        <v>37080.913478334136</v>
      </c>
      <c r="I1659" s="17">
        <f t="shared" si="75"/>
        <v>0.87756894321556367</v>
      </c>
      <c r="J1659">
        <v>64.290000000000006</v>
      </c>
    </row>
    <row r="1660" spans="1:10" x14ac:dyDescent="0.25">
      <c r="A1660" t="s">
        <v>56</v>
      </c>
      <c r="B1660" t="s">
        <v>107</v>
      </c>
      <c r="C1660" t="s">
        <v>9</v>
      </c>
      <c r="D1660">
        <v>26.53</v>
      </c>
      <c r="E1660" s="1">
        <v>1046878</v>
      </c>
      <c r="F1660" s="1">
        <v>277737</v>
      </c>
      <c r="G1660" s="4">
        <f t="shared" si="76"/>
        <v>282570.53738823551</v>
      </c>
      <c r="H1660" s="4">
        <f t="shared" si="77"/>
        <v>40613.405962628196</v>
      </c>
      <c r="I1660" s="17">
        <f t="shared" si="75"/>
        <v>0.8562716186265813</v>
      </c>
      <c r="J1660">
        <v>63.02</v>
      </c>
    </row>
    <row r="1661" spans="1:10" x14ac:dyDescent="0.25">
      <c r="A1661" t="s">
        <v>57</v>
      </c>
      <c r="B1661" t="s">
        <v>107</v>
      </c>
      <c r="C1661" t="s">
        <v>9</v>
      </c>
      <c r="D1661">
        <v>31.91</v>
      </c>
      <c r="E1661" s="1">
        <v>1057975</v>
      </c>
      <c r="F1661" s="1">
        <v>337600</v>
      </c>
      <c r="G1661" s="4">
        <f t="shared" si="76"/>
        <v>279187.06121647067</v>
      </c>
      <c r="H1661" s="4">
        <f t="shared" si="77"/>
        <v>18528.808421557318</v>
      </c>
      <c r="I1661" s="17">
        <f t="shared" si="75"/>
        <v>0.93363299738596839</v>
      </c>
      <c r="J1661">
        <v>68.61</v>
      </c>
    </row>
    <row r="1662" spans="1:10" x14ac:dyDescent="0.25">
      <c r="A1662" t="s">
        <v>58</v>
      </c>
      <c r="B1662" t="s">
        <v>107</v>
      </c>
      <c r="C1662" t="s">
        <v>9</v>
      </c>
      <c r="D1662">
        <v>26.22</v>
      </c>
      <c r="E1662" s="1">
        <v>1169347</v>
      </c>
      <c r="F1662" s="1">
        <v>306603</v>
      </c>
      <c r="G1662" s="4">
        <f t="shared" si="76"/>
        <v>320076.11836494115</v>
      </c>
      <c r="H1662" s="4">
        <f t="shared" si="77"/>
        <v>37755.963764149958</v>
      </c>
      <c r="I1662" s="17">
        <f t="shared" si="75"/>
        <v>0.88204067220940929</v>
      </c>
      <c r="J1662">
        <v>69.88</v>
      </c>
    </row>
    <row r="1663" spans="1:10" x14ac:dyDescent="0.25">
      <c r="A1663" t="s">
        <v>59</v>
      </c>
      <c r="B1663" t="s">
        <v>107</v>
      </c>
      <c r="C1663" t="s">
        <v>9</v>
      </c>
      <c r="D1663">
        <v>31.61</v>
      </c>
      <c r="E1663" s="1">
        <v>1060946</v>
      </c>
      <c r="F1663" s="1">
        <v>335365</v>
      </c>
      <c r="G1663" s="4">
        <f t="shared" si="76"/>
        <v>310644.93550948234</v>
      </c>
      <c r="H1663" s="4">
        <f t="shared" si="77"/>
        <v>34722.516323405725</v>
      </c>
      <c r="I1663" s="17">
        <f t="shared" si="75"/>
        <v>0.88822442488412678</v>
      </c>
      <c r="J1663">
        <v>68.28</v>
      </c>
    </row>
    <row r="1664" spans="1:10" x14ac:dyDescent="0.25">
      <c r="A1664" t="s">
        <v>60</v>
      </c>
      <c r="B1664" t="s">
        <v>107</v>
      </c>
      <c r="C1664" t="s">
        <v>9</v>
      </c>
      <c r="D1664">
        <v>43.64</v>
      </c>
      <c r="E1664" s="1">
        <v>675083</v>
      </c>
      <c r="F1664" s="1">
        <v>294606</v>
      </c>
      <c r="G1664" s="4">
        <f t="shared" si="76"/>
        <v>327948.98065284465</v>
      </c>
      <c r="H1664" s="4">
        <f t="shared" si="77"/>
        <v>37437.405199521207</v>
      </c>
      <c r="I1664" s="17">
        <f t="shared" si="75"/>
        <v>0.88584381288517811</v>
      </c>
      <c r="J1664">
        <v>52.63</v>
      </c>
    </row>
    <row r="1665" spans="1:10" x14ac:dyDescent="0.25">
      <c r="A1665" t="s">
        <v>61</v>
      </c>
      <c r="B1665" t="s">
        <v>107</v>
      </c>
      <c r="C1665" t="s">
        <v>9</v>
      </c>
      <c r="D1665">
        <v>20.88</v>
      </c>
      <c r="E1665" s="1">
        <v>891967</v>
      </c>
      <c r="F1665" s="1">
        <v>186243</v>
      </c>
      <c r="G1665" s="4">
        <f t="shared" si="76"/>
        <v>304608.89419585338</v>
      </c>
      <c r="H1665" s="4">
        <f t="shared" si="77"/>
        <v>25194.978770296271</v>
      </c>
      <c r="I1665" s="17">
        <f t="shared" si="75"/>
        <v>0.91728744875684187</v>
      </c>
      <c r="J1665">
        <v>49.46</v>
      </c>
    </row>
    <row r="1666" spans="1:10" x14ac:dyDescent="0.25">
      <c r="A1666" t="s">
        <v>62</v>
      </c>
      <c r="B1666" t="s">
        <v>107</v>
      </c>
      <c r="C1666" t="s">
        <v>9</v>
      </c>
      <c r="D1666">
        <v>18.95</v>
      </c>
      <c r="E1666" s="1">
        <v>1110234</v>
      </c>
      <c r="F1666" s="1">
        <v>210389</v>
      </c>
      <c r="G1666" s="4">
        <f t="shared" si="76"/>
        <v>221752.768258756</v>
      </c>
      <c r="H1666" s="4">
        <f t="shared" si="77"/>
        <v>72418.507892239999</v>
      </c>
      <c r="I1666" s="17">
        <f t="shared" si="75"/>
        <v>0.67342681464189336</v>
      </c>
      <c r="J1666">
        <v>60</v>
      </c>
    </row>
    <row r="1667" spans="1:10" x14ac:dyDescent="0.25">
      <c r="A1667" t="s">
        <v>63</v>
      </c>
      <c r="B1667" t="s">
        <v>107</v>
      </c>
      <c r="C1667" t="s">
        <v>9</v>
      </c>
      <c r="D1667">
        <v>15.79</v>
      </c>
      <c r="E1667" s="1">
        <v>988947</v>
      </c>
      <c r="F1667" s="1">
        <v>156155</v>
      </c>
      <c r="G1667" s="4">
        <f t="shared" si="76"/>
        <v>213798.13047762678</v>
      </c>
      <c r="H1667" s="4">
        <f t="shared" si="77"/>
        <v>71300.711769796151</v>
      </c>
      <c r="I1667" s="17">
        <f t="shared" ref="I1667:I1730" si="78">(G1667-H1667)/G1667</f>
        <v>0.66650451240845854</v>
      </c>
      <c r="J1667">
        <v>51.35</v>
      </c>
    </row>
    <row r="1668" spans="1:10" x14ac:dyDescent="0.25">
      <c r="A1668" t="s">
        <v>64</v>
      </c>
      <c r="B1668" t="s">
        <v>107</v>
      </c>
      <c r="C1668" t="s">
        <v>9</v>
      </c>
      <c r="D1668">
        <v>27.44</v>
      </c>
      <c r="E1668" s="1">
        <v>970103</v>
      </c>
      <c r="F1668" s="1">
        <v>266196</v>
      </c>
      <c r="G1668" s="4">
        <f t="shared" ref="G1668:G1731" si="79">0.7*F1667+0.3*G1667</f>
        <v>173447.93914328804</v>
      </c>
      <c r="H1668" s="4">
        <f t="shared" si="77"/>
        <v>76294.059683751198</v>
      </c>
      <c r="I1668" s="17">
        <f t="shared" si="78"/>
        <v>0.56013279799926885</v>
      </c>
      <c r="J1668">
        <v>58.36</v>
      </c>
    </row>
    <row r="1669" spans="1:10" x14ac:dyDescent="0.25">
      <c r="A1669" t="s">
        <v>65</v>
      </c>
      <c r="B1669" t="s">
        <v>107</v>
      </c>
      <c r="C1669" t="s">
        <v>9</v>
      </c>
      <c r="D1669">
        <v>19.309999999999999</v>
      </c>
      <c r="E1669" s="1">
        <v>948583</v>
      </c>
      <c r="F1669" s="1">
        <v>183171</v>
      </c>
      <c r="G1669" s="4">
        <f t="shared" si="79"/>
        <v>238371.5817429864</v>
      </c>
      <c r="H1669" s="4">
        <f t="shared" si="77"/>
        <v>63387.876109394296</v>
      </c>
      <c r="I1669" s="17">
        <f t="shared" si="78"/>
        <v>0.73407955912404244</v>
      </c>
      <c r="J1669">
        <v>51.24</v>
      </c>
    </row>
    <row r="1670" spans="1:10" x14ac:dyDescent="0.25">
      <c r="A1670" t="s">
        <v>66</v>
      </c>
      <c r="B1670" t="s">
        <v>107</v>
      </c>
      <c r="C1670" t="s">
        <v>9</v>
      </c>
      <c r="D1670">
        <v>12.44</v>
      </c>
      <c r="E1670" s="1">
        <v>1175851</v>
      </c>
      <c r="F1670" s="1">
        <v>146276</v>
      </c>
      <c r="G1670" s="4">
        <f t="shared" si="79"/>
        <v>199731.17452289592</v>
      </c>
      <c r="H1670" s="4">
        <f t="shared" ref="H1670:H1733" si="80">SQRT(SUMXMY2(F1667:F1669,G1667:G1669)/3)</f>
        <v>70644.739149977686</v>
      </c>
      <c r="I1670" s="17">
        <f t="shared" si="78"/>
        <v>0.64630088758688287</v>
      </c>
      <c r="J1670">
        <v>58.43</v>
      </c>
    </row>
    <row r="1671" spans="1:10" x14ac:dyDescent="0.25">
      <c r="A1671" t="s">
        <v>67</v>
      </c>
      <c r="B1671" t="s">
        <v>107</v>
      </c>
      <c r="C1671" t="s">
        <v>9</v>
      </c>
      <c r="D1671">
        <v>13.16</v>
      </c>
      <c r="E1671" s="1">
        <v>1037059</v>
      </c>
      <c r="F1671" s="1">
        <v>136477</v>
      </c>
      <c r="G1671" s="4">
        <f t="shared" si="79"/>
        <v>162312.55235686878</v>
      </c>
      <c r="H1671" s="4">
        <f t="shared" si="80"/>
        <v>69538.389159556391</v>
      </c>
      <c r="I1671" s="17">
        <f t="shared" si="78"/>
        <v>0.57157725542590387</v>
      </c>
      <c r="J1671">
        <v>51.88</v>
      </c>
    </row>
    <row r="1672" spans="1:10" x14ac:dyDescent="0.25">
      <c r="A1672" t="s">
        <v>68</v>
      </c>
      <c r="B1672" t="s">
        <v>107</v>
      </c>
      <c r="C1672" t="s">
        <v>9</v>
      </c>
      <c r="D1672">
        <v>16.420000000000002</v>
      </c>
      <c r="E1672" s="1">
        <v>993262</v>
      </c>
      <c r="F1672" s="1">
        <v>163094</v>
      </c>
      <c r="G1672" s="4">
        <f t="shared" si="79"/>
        <v>144227.66570706063</v>
      </c>
      <c r="H1672" s="4">
        <f t="shared" si="80"/>
        <v>46804.685212849836</v>
      </c>
      <c r="I1672" s="17">
        <f t="shared" si="78"/>
        <v>0.67548053292414523</v>
      </c>
      <c r="J1672">
        <v>51.54</v>
      </c>
    </row>
    <row r="1673" spans="1:10" x14ac:dyDescent="0.25">
      <c r="A1673" t="s">
        <v>69</v>
      </c>
      <c r="B1673" t="s">
        <v>107</v>
      </c>
      <c r="C1673" t="s">
        <v>9</v>
      </c>
      <c r="D1673">
        <v>20.27</v>
      </c>
      <c r="E1673" s="1">
        <v>976830</v>
      </c>
      <c r="F1673" s="1">
        <v>198003</v>
      </c>
      <c r="G1673" s="4">
        <f t="shared" si="79"/>
        <v>157434.09971211819</v>
      </c>
      <c r="H1673" s="4">
        <f t="shared" si="80"/>
        <v>35966.975679136129</v>
      </c>
      <c r="I1673" s="17">
        <f t="shared" si="78"/>
        <v>0.77154265978650849</v>
      </c>
      <c r="J1673">
        <v>53.05</v>
      </c>
    </row>
    <row r="1674" spans="1:10" x14ac:dyDescent="0.25">
      <c r="A1674" t="s">
        <v>70</v>
      </c>
      <c r="B1674" t="s">
        <v>107</v>
      </c>
      <c r="C1674" t="s">
        <v>9</v>
      </c>
      <c r="D1674">
        <v>11.82</v>
      </c>
      <c r="E1674" s="1">
        <v>1214206</v>
      </c>
      <c r="F1674" s="1">
        <v>143519</v>
      </c>
      <c r="G1674" s="4">
        <f t="shared" si="79"/>
        <v>185832.32991363545</v>
      </c>
      <c r="H1674" s="4">
        <f t="shared" si="80"/>
        <v>29828.677508987581</v>
      </c>
      <c r="I1674" s="17">
        <f t="shared" si="78"/>
        <v>0.83948607046550894</v>
      </c>
      <c r="J1674">
        <v>59.53</v>
      </c>
    </row>
    <row r="1675" spans="1:10" x14ac:dyDescent="0.25">
      <c r="A1675" t="s">
        <v>71</v>
      </c>
      <c r="B1675" t="s">
        <v>107</v>
      </c>
      <c r="C1675" t="s">
        <v>9</v>
      </c>
      <c r="D1675">
        <v>13.79</v>
      </c>
      <c r="E1675" s="1">
        <v>1064773</v>
      </c>
      <c r="F1675" s="1">
        <v>146832</v>
      </c>
      <c r="G1675" s="4">
        <f t="shared" si="79"/>
        <v>156212.99897409062</v>
      </c>
      <c r="H1675" s="4">
        <f t="shared" si="80"/>
        <v>35553.678331040021</v>
      </c>
      <c r="I1675" s="17">
        <f t="shared" si="78"/>
        <v>0.77240256211368852</v>
      </c>
      <c r="J1675">
        <v>53.31</v>
      </c>
    </row>
    <row r="1676" spans="1:10" x14ac:dyDescent="0.25">
      <c r="A1676" t="s">
        <v>72</v>
      </c>
      <c r="B1676" t="s">
        <v>107</v>
      </c>
      <c r="C1676" t="s">
        <v>9</v>
      </c>
      <c r="D1676">
        <v>15.13</v>
      </c>
      <c r="E1676" s="1">
        <v>1032300</v>
      </c>
      <c r="F1676" s="1">
        <v>156187</v>
      </c>
      <c r="G1676" s="4">
        <f t="shared" si="79"/>
        <v>149646.29969222719</v>
      </c>
      <c r="H1676" s="4">
        <f t="shared" si="80"/>
        <v>34274.658766597728</v>
      </c>
      <c r="I1676" s="17">
        <f t="shared" si="78"/>
        <v>0.7709622032947735</v>
      </c>
      <c r="J1676">
        <v>52.41</v>
      </c>
    </row>
    <row r="1677" spans="1:10" x14ac:dyDescent="0.25">
      <c r="A1677" t="s">
        <v>73</v>
      </c>
      <c r="B1677" t="s">
        <v>107</v>
      </c>
      <c r="C1677" t="s">
        <v>9</v>
      </c>
      <c r="D1677">
        <v>21.93</v>
      </c>
      <c r="E1677" s="1">
        <v>936126</v>
      </c>
      <c r="F1677" s="1">
        <v>205292</v>
      </c>
      <c r="G1677" s="4">
        <f t="shared" si="79"/>
        <v>154224.78990766814</v>
      </c>
      <c r="H1677" s="4">
        <f t="shared" si="80"/>
        <v>25306.137533861522</v>
      </c>
      <c r="I1677" s="17">
        <f t="shared" si="78"/>
        <v>0.83591394386718321</v>
      </c>
      <c r="J1677">
        <v>51.58</v>
      </c>
    </row>
    <row r="1678" spans="1:10" x14ac:dyDescent="0.25">
      <c r="A1678" t="s">
        <v>74</v>
      </c>
      <c r="B1678" t="s">
        <v>107</v>
      </c>
      <c r="C1678" t="s">
        <v>9</v>
      </c>
      <c r="D1678">
        <v>9.4700000000000006</v>
      </c>
      <c r="E1678" s="1">
        <v>1224662</v>
      </c>
      <c r="F1678" s="1">
        <v>115975</v>
      </c>
      <c r="G1678" s="4">
        <f t="shared" si="79"/>
        <v>189971.83697230043</v>
      </c>
      <c r="H1678" s="4">
        <f t="shared" si="80"/>
        <v>30213.925315337354</v>
      </c>
      <c r="I1678" s="17">
        <f t="shared" si="78"/>
        <v>0.84095576588153542</v>
      </c>
      <c r="J1678">
        <v>58.1</v>
      </c>
    </row>
    <row r="1679" spans="1:10" x14ac:dyDescent="0.25">
      <c r="A1679" t="s">
        <v>75</v>
      </c>
      <c r="B1679" t="s">
        <v>107</v>
      </c>
      <c r="C1679" t="s">
        <v>9</v>
      </c>
      <c r="D1679">
        <v>13.21</v>
      </c>
      <c r="E1679" s="1">
        <v>1153540</v>
      </c>
      <c r="F1679" s="1">
        <v>152383</v>
      </c>
      <c r="G1679" s="4">
        <f t="shared" si="79"/>
        <v>138174.05109169014</v>
      </c>
      <c r="H1679" s="4">
        <f t="shared" si="80"/>
        <v>52045.405141522562</v>
      </c>
      <c r="I1679" s="17">
        <f t="shared" si="78"/>
        <v>0.62333444861520315</v>
      </c>
      <c r="J1679">
        <v>56.99</v>
      </c>
    </row>
    <row r="1680" spans="1:10" x14ac:dyDescent="0.25">
      <c r="A1680" t="s">
        <v>76</v>
      </c>
      <c r="B1680" t="s">
        <v>107</v>
      </c>
      <c r="C1680" t="s">
        <v>9</v>
      </c>
      <c r="D1680">
        <v>12.77</v>
      </c>
      <c r="E1680" s="1">
        <v>1084275</v>
      </c>
      <c r="F1680" s="1">
        <v>138462</v>
      </c>
      <c r="G1680" s="4">
        <f t="shared" si="79"/>
        <v>148120.31532750704</v>
      </c>
      <c r="H1680" s="4">
        <f t="shared" si="80"/>
        <v>52552.469201736945</v>
      </c>
      <c r="I1680" s="17">
        <f t="shared" si="78"/>
        <v>0.64520417685083364</v>
      </c>
      <c r="J1680">
        <v>53.21</v>
      </c>
    </row>
    <row r="1681" spans="1:10" x14ac:dyDescent="0.25">
      <c r="A1681" t="s">
        <v>77</v>
      </c>
      <c r="B1681" t="s">
        <v>107</v>
      </c>
      <c r="C1681" t="s">
        <v>9</v>
      </c>
      <c r="D1681">
        <v>16.04</v>
      </c>
      <c r="E1681" s="1">
        <v>1006002</v>
      </c>
      <c r="F1681" s="1">
        <v>161363</v>
      </c>
      <c r="G1681" s="4">
        <f t="shared" si="79"/>
        <v>141359.49459825212</v>
      </c>
      <c r="H1681" s="4">
        <f t="shared" si="80"/>
        <v>43858.519377462362</v>
      </c>
      <c r="I1681" s="17">
        <f t="shared" si="78"/>
        <v>0.68973771799262884</v>
      </c>
      <c r="J1681">
        <v>51.21</v>
      </c>
    </row>
    <row r="1682" spans="1:10" x14ac:dyDescent="0.25">
      <c r="A1682" t="s">
        <v>78</v>
      </c>
      <c r="B1682" t="s">
        <v>107</v>
      </c>
      <c r="C1682" t="s">
        <v>9</v>
      </c>
      <c r="D1682">
        <v>10.36</v>
      </c>
      <c r="E1682" s="1">
        <v>1243741</v>
      </c>
      <c r="F1682" s="1">
        <v>128852</v>
      </c>
      <c r="G1682" s="4">
        <f t="shared" si="79"/>
        <v>155361.94837947562</v>
      </c>
      <c r="H1682" s="4">
        <f t="shared" si="80"/>
        <v>15224.076462435787</v>
      </c>
      <c r="I1682" s="17">
        <f t="shared" si="78"/>
        <v>0.902008975677554</v>
      </c>
      <c r="J1682">
        <v>59.2</v>
      </c>
    </row>
    <row r="1683" spans="1:10" x14ac:dyDescent="0.25">
      <c r="A1683" t="s">
        <v>79</v>
      </c>
      <c r="B1683" t="s">
        <v>107</v>
      </c>
      <c r="C1683" t="s">
        <v>9</v>
      </c>
      <c r="D1683">
        <v>12.69</v>
      </c>
      <c r="E1683" s="1">
        <v>1098617</v>
      </c>
      <c r="F1683" s="1">
        <v>139414</v>
      </c>
      <c r="G1683" s="4">
        <f t="shared" si="79"/>
        <v>136804.98451384268</v>
      </c>
      <c r="H1683" s="4">
        <f t="shared" si="80"/>
        <v>19968.313619380217</v>
      </c>
      <c r="I1683" s="17">
        <f t="shared" si="78"/>
        <v>0.85403811352093151</v>
      </c>
      <c r="J1683">
        <v>53.6</v>
      </c>
    </row>
    <row r="1684" spans="1:10" x14ac:dyDescent="0.25">
      <c r="A1684" t="s">
        <v>80</v>
      </c>
      <c r="B1684" t="s">
        <v>107</v>
      </c>
      <c r="C1684" t="s">
        <v>9</v>
      </c>
      <c r="D1684">
        <v>12.77</v>
      </c>
      <c r="E1684" s="1">
        <v>1091394</v>
      </c>
      <c r="F1684" s="1">
        <v>139371</v>
      </c>
      <c r="G1684" s="4">
        <f t="shared" si="79"/>
        <v>138631.2953541528</v>
      </c>
      <c r="H1684" s="4">
        <f t="shared" si="80"/>
        <v>19232.997281124506</v>
      </c>
      <c r="I1684" s="17">
        <f t="shared" si="78"/>
        <v>0.86126511166190034</v>
      </c>
      <c r="J1684">
        <v>53.21</v>
      </c>
    </row>
    <row r="1685" spans="1:10" x14ac:dyDescent="0.25">
      <c r="A1685" t="s">
        <v>81</v>
      </c>
      <c r="B1685" t="s">
        <v>107</v>
      </c>
      <c r="C1685" t="s">
        <v>9</v>
      </c>
      <c r="D1685">
        <v>19.2</v>
      </c>
      <c r="E1685" s="1">
        <v>963096</v>
      </c>
      <c r="F1685" s="1">
        <v>184914</v>
      </c>
      <c r="G1685" s="4">
        <f t="shared" si="79"/>
        <v>139149.08860624584</v>
      </c>
      <c r="H1685" s="4">
        <f t="shared" si="80"/>
        <v>15385.398790764344</v>
      </c>
      <c r="I1685" s="17">
        <f t="shared" si="78"/>
        <v>0.8894322704886638</v>
      </c>
      <c r="J1685">
        <v>50.61</v>
      </c>
    </row>
    <row r="1686" spans="1:10" x14ac:dyDescent="0.25">
      <c r="A1686" t="s">
        <v>82</v>
      </c>
      <c r="B1686" t="s">
        <v>107</v>
      </c>
      <c r="C1686" t="s">
        <v>9</v>
      </c>
      <c r="D1686">
        <v>10.14</v>
      </c>
      <c r="E1686" s="1">
        <v>1153400</v>
      </c>
      <c r="F1686" s="1">
        <v>116955</v>
      </c>
      <c r="G1686" s="4">
        <f t="shared" si="79"/>
        <v>171184.52658187374</v>
      </c>
      <c r="H1686" s="4">
        <f t="shared" si="80"/>
        <v>26468.731487349785</v>
      </c>
      <c r="I1686" s="17">
        <f t="shared" si="78"/>
        <v>0.84537894857751428</v>
      </c>
      <c r="J1686">
        <v>54.41</v>
      </c>
    </row>
    <row r="1687" spans="1:10" x14ac:dyDescent="0.25">
      <c r="A1687" t="s">
        <v>83</v>
      </c>
      <c r="B1687" t="s">
        <v>107</v>
      </c>
      <c r="C1687" t="s">
        <v>9</v>
      </c>
      <c r="D1687">
        <v>13.1</v>
      </c>
      <c r="E1687" s="1">
        <v>1102622</v>
      </c>
      <c r="F1687" s="1">
        <v>144443</v>
      </c>
      <c r="G1687" s="4">
        <f t="shared" si="79"/>
        <v>133223.85797456212</v>
      </c>
      <c r="H1687" s="4">
        <f t="shared" si="80"/>
        <v>40970.785653257073</v>
      </c>
      <c r="I1687" s="17">
        <f t="shared" si="78"/>
        <v>0.69246660263299031</v>
      </c>
      <c r="J1687">
        <v>53.7</v>
      </c>
    </row>
    <row r="1688" spans="1:10" x14ac:dyDescent="0.25">
      <c r="A1688" t="s">
        <v>84</v>
      </c>
      <c r="B1688" t="s">
        <v>107</v>
      </c>
      <c r="C1688" t="s">
        <v>9</v>
      </c>
      <c r="D1688">
        <v>12.14</v>
      </c>
      <c r="E1688" s="1">
        <v>1102605</v>
      </c>
      <c r="F1688" s="1">
        <v>133856</v>
      </c>
      <c r="G1688" s="4">
        <f t="shared" si="79"/>
        <v>141077.25739236863</v>
      </c>
      <c r="H1688" s="4">
        <f t="shared" si="80"/>
        <v>41477.454984442113</v>
      </c>
      <c r="I1688" s="17">
        <f t="shared" si="78"/>
        <v>0.70599474535372009</v>
      </c>
      <c r="J1688">
        <v>53.03</v>
      </c>
    </row>
    <row r="1689" spans="1:10" x14ac:dyDescent="0.25">
      <c r="A1689" t="s">
        <v>7</v>
      </c>
      <c r="B1689" t="s">
        <v>108</v>
      </c>
      <c r="C1689" t="s">
        <v>9</v>
      </c>
      <c r="D1689">
        <v>13.76</v>
      </c>
      <c r="E1689" s="1">
        <v>42479419</v>
      </c>
      <c r="F1689" s="1">
        <v>5845168</v>
      </c>
      <c r="G1689" s="4">
        <f t="shared" si="79"/>
        <v>136022.3772177106</v>
      </c>
      <c r="H1689" s="4">
        <f t="shared" si="80"/>
        <v>32243.124638739835</v>
      </c>
      <c r="I1689" s="17">
        <f t="shared" si="78"/>
        <v>0.76295720381997811</v>
      </c>
      <c r="J1689">
        <v>44.49</v>
      </c>
    </row>
    <row r="1690" spans="1:10" x14ac:dyDescent="0.25">
      <c r="A1690" t="s">
        <v>10</v>
      </c>
      <c r="B1690" t="s">
        <v>108</v>
      </c>
      <c r="C1690" t="s">
        <v>9</v>
      </c>
      <c r="D1690">
        <v>13.33</v>
      </c>
      <c r="E1690" s="1">
        <v>41941441</v>
      </c>
      <c r="F1690" s="1">
        <v>5590794</v>
      </c>
      <c r="G1690" s="4">
        <f t="shared" si="79"/>
        <v>4132424.3131653126</v>
      </c>
      <c r="H1690" s="4">
        <f t="shared" si="80"/>
        <v>3296185.7632643767</v>
      </c>
      <c r="I1690" s="17">
        <f t="shared" si="78"/>
        <v>0.20236028213191942</v>
      </c>
      <c r="J1690">
        <v>43.62</v>
      </c>
    </row>
    <row r="1691" spans="1:10" x14ac:dyDescent="0.25">
      <c r="A1691" t="s">
        <v>11</v>
      </c>
      <c r="B1691" t="s">
        <v>108</v>
      </c>
      <c r="C1691" t="s">
        <v>9</v>
      </c>
      <c r="D1691">
        <v>12.16</v>
      </c>
      <c r="E1691" s="1">
        <v>43489501</v>
      </c>
      <c r="F1691" s="1">
        <v>5288323</v>
      </c>
      <c r="G1691" s="4">
        <f t="shared" si="79"/>
        <v>5153283.0939495936</v>
      </c>
      <c r="H1691" s="4">
        <f t="shared" si="80"/>
        <v>3402020.8715884741</v>
      </c>
      <c r="I1691" s="17">
        <f t="shared" si="78"/>
        <v>0.3398342746621576</v>
      </c>
      <c r="J1691">
        <v>44.53</v>
      </c>
    </row>
    <row r="1692" spans="1:10" x14ac:dyDescent="0.25">
      <c r="A1692" t="s">
        <v>12</v>
      </c>
      <c r="B1692" t="s">
        <v>108</v>
      </c>
      <c r="C1692" t="s">
        <v>9</v>
      </c>
      <c r="D1692">
        <v>13.15</v>
      </c>
      <c r="E1692" s="1">
        <v>42730696</v>
      </c>
      <c r="F1692" s="1">
        <v>5619087</v>
      </c>
      <c r="G1692" s="4">
        <f t="shared" si="79"/>
        <v>5247811.0281848777</v>
      </c>
      <c r="H1692" s="4">
        <f t="shared" si="80"/>
        <v>3402911.5798993162</v>
      </c>
      <c r="I1692" s="17">
        <f t="shared" si="78"/>
        <v>0.35155599894451206</v>
      </c>
      <c r="J1692">
        <v>44.15</v>
      </c>
    </row>
    <row r="1693" spans="1:10" x14ac:dyDescent="0.25">
      <c r="A1693" t="s">
        <v>13</v>
      </c>
      <c r="B1693" t="s">
        <v>108</v>
      </c>
      <c r="C1693" t="s">
        <v>9</v>
      </c>
      <c r="D1693">
        <v>15.3</v>
      </c>
      <c r="E1693" s="1">
        <v>44347442</v>
      </c>
      <c r="F1693" s="1">
        <v>6785159</v>
      </c>
      <c r="G1693" s="4">
        <f t="shared" si="79"/>
        <v>5507704.2084554629</v>
      </c>
      <c r="H1693" s="4">
        <f t="shared" si="80"/>
        <v>872338.57474256528</v>
      </c>
      <c r="I1693" s="17">
        <f t="shared" si="78"/>
        <v>0.84161484681705578</v>
      </c>
      <c r="J1693">
        <v>46.89</v>
      </c>
    </row>
    <row r="1694" spans="1:10" x14ac:dyDescent="0.25">
      <c r="A1694" t="s">
        <v>14</v>
      </c>
      <c r="B1694" t="s">
        <v>108</v>
      </c>
      <c r="C1694" t="s">
        <v>9</v>
      </c>
      <c r="D1694">
        <v>18.02</v>
      </c>
      <c r="E1694" s="1">
        <v>42975514</v>
      </c>
      <c r="F1694" s="1">
        <v>7744188</v>
      </c>
      <c r="G1694" s="4">
        <f t="shared" si="79"/>
        <v>6401922.5625366382</v>
      </c>
      <c r="H1694" s="4">
        <f t="shared" si="80"/>
        <v>772004.39720540948</v>
      </c>
      <c r="I1694" s="17">
        <f t="shared" si="78"/>
        <v>0.87941053805881753</v>
      </c>
      <c r="J1694">
        <v>46.84</v>
      </c>
    </row>
    <row r="1695" spans="1:10" x14ac:dyDescent="0.25">
      <c r="A1695" t="s">
        <v>15</v>
      </c>
      <c r="B1695" t="s">
        <v>108</v>
      </c>
      <c r="C1695" t="s">
        <v>9</v>
      </c>
      <c r="D1695">
        <v>11.83</v>
      </c>
      <c r="E1695" s="1">
        <v>43137820</v>
      </c>
      <c r="F1695" s="1">
        <v>5103204</v>
      </c>
      <c r="G1695" s="4">
        <f t="shared" si="79"/>
        <v>7341508.3687609909</v>
      </c>
      <c r="H1695" s="4">
        <f t="shared" si="80"/>
        <v>1091087.0873118653</v>
      </c>
      <c r="I1695" s="17">
        <f t="shared" si="78"/>
        <v>0.85138107422793752</v>
      </c>
      <c r="J1695">
        <v>43.63</v>
      </c>
    </row>
    <row r="1696" spans="1:10" x14ac:dyDescent="0.25">
      <c r="A1696" t="s">
        <v>16</v>
      </c>
      <c r="B1696" t="s">
        <v>108</v>
      </c>
      <c r="C1696" t="s">
        <v>9</v>
      </c>
      <c r="D1696">
        <v>16.899999999999999</v>
      </c>
      <c r="E1696" s="1">
        <v>43095763</v>
      </c>
      <c r="F1696" s="1">
        <v>7283184</v>
      </c>
      <c r="G1696" s="4">
        <f t="shared" si="79"/>
        <v>5774695.3106282968</v>
      </c>
      <c r="H1696" s="4">
        <f t="shared" si="80"/>
        <v>1677654.4833251913</v>
      </c>
      <c r="I1696" s="17">
        <f t="shared" si="78"/>
        <v>0.70948173140191884</v>
      </c>
      <c r="J1696">
        <v>46.14</v>
      </c>
    </row>
    <row r="1697" spans="1:10" x14ac:dyDescent="0.25">
      <c r="A1697" t="s">
        <v>17</v>
      </c>
      <c r="B1697" t="s">
        <v>108</v>
      </c>
      <c r="C1697" t="s">
        <v>9</v>
      </c>
      <c r="D1697">
        <v>8.89</v>
      </c>
      <c r="E1697" s="1">
        <v>46847283</v>
      </c>
      <c r="F1697" s="1">
        <v>4164723</v>
      </c>
      <c r="G1697" s="4">
        <f t="shared" si="79"/>
        <v>6830637.3931884887</v>
      </c>
      <c r="H1697" s="4">
        <f t="shared" si="80"/>
        <v>1740423.4233643268</v>
      </c>
      <c r="I1697" s="17">
        <f t="shared" si="78"/>
        <v>0.7452033649012203</v>
      </c>
      <c r="J1697">
        <v>45.65</v>
      </c>
    </row>
    <row r="1698" spans="1:10" x14ac:dyDescent="0.25">
      <c r="A1698" t="s">
        <v>18</v>
      </c>
      <c r="B1698" t="s">
        <v>108</v>
      </c>
      <c r="C1698" t="s">
        <v>9</v>
      </c>
      <c r="D1698">
        <v>8.09</v>
      </c>
      <c r="E1698" s="1">
        <v>44804448</v>
      </c>
      <c r="F1698" s="1">
        <v>3624680</v>
      </c>
      <c r="G1698" s="4">
        <f t="shared" si="79"/>
        <v>4964497.3179565463</v>
      </c>
      <c r="H1698" s="4">
        <f t="shared" si="80"/>
        <v>2190330.5781690008</v>
      </c>
      <c r="I1698" s="17">
        <f t="shared" si="78"/>
        <v>0.55880113576724211</v>
      </c>
      <c r="J1698">
        <v>43.18</v>
      </c>
    </row>
    <row r="1699" spans="1:10" x14ac:dyDescent="0.25">
      <c r="A1699" t="s">
        <v>19</v>
      </c>
      <c r="B1699" t="s">
        <v>108</v>
      </c>
      <c r="C1699" t="s">
        <v>9</v>
      </c>
      <c r="D1699">
        <v>5.13</v>
      </c>
      <c r="E1699" s="1">
        <v>42225753</v>
      </c>
      <c r="F1699" s="1">
        <v>2166181</v>
      </c>
      <c r="G1699" s="4">
        <f t="shared" si="79"/>
        <v>4026625.1953869639</v>
      </c>
      <c r="H1699" s="4">
        <f t="shared" si="80"/>
        <v>1930263.2051327594</v>
      </c>
      <c r="I1699" s="17">
        <f t="shared" si="78"/>
        <v>0.52062506156666055</v>
      </c>
      <c r="J1699">
        <v>39.340000000000003</v>
      </c>
    </row>
    <row r="1700" spans="1:10" x14ac:dyDescent="0.25">
      <c r="A1700" t="s">
        <v>20</v>
      </c>
      <c r="B1700" t="s">
        <v>108</v>
      </c>
      <c r="C1700" t="s">
        <v>9</v>
      </c>
      <c r="D1700">
        <v>7.23</v>
      </c>
      <c r="E1700" s="1">
        <v>42130453</v>
      </c>
      <c r="F1700" s="1">
        <v>3046032</v>
      </c>
      <c r="G1700" s="4">
        <f t="shared" si="79"/>
        <v>2724314.2586160889</v>
      </c>
      <c r="H1700" s="4">
        <f t="shared" si="80"/>
        <v>2030062.6099913656</v>
      </c>
      <c r="I1700" s="17">
        <f t="shared" si="78"/>
        <v>0.25483537606905632</v>
      </c>
      <c r="J1700">
        <v>40.049999999999997</v>
      </c>
    </row>
    <row r="1701" spans="1:10" x14ac:dyDescent="0.25">
      <c r="A1701" t="s">
        <v>21</v>
      </c>
      <c r="B1701" t="s">
        <v>108</v>
      </c>
      <c r="C1701" t="s">
        <v>9</v>
      </c>
      <c r="D1701">
        <v>2.94</v>
      </c>
      <c r="E1701" s="1">
        <v>43723080</v>
      </c>
      <c r="F1701" s="1">
        <v>1285459</v>
      </c>
      <c r="G1701" s="4">
        <f t="shared" si="79"/>
        <v>2949516.6775848265</v>
      </c>
      <c r="H1701" s="4">
        <f t="shared" si="80"/>
        <v>1336645.7215441053</v>
      </c>
      <c r="I1701" s="17">
        <f t="shared" si="78"/>
        <v>0.54682550815796693</v>
      </c>
      <c r="J1701">
        <v>39.64</v>
      </c>
    </row>
    <row r="1702" spans="1:10" x14ac:dyDescent="0.25">
      <c r="A1702" t="s">
        <v>22</v>
      </c>
      <c r="B1702" t="s">
        <v>108</v>
      </c>
      <c r="C1702" t="s">
        <v>9</v>
      </c>
      <c r="D1702">
        <v>2.16</v>
      </c>
      <c r="E1702" s="1">
        <v>42679666</v>
      </c>
      <c r="F1702" s="1">
        <v>921881</v>
      </c>
      <c r="G1702" s="4">
        <f t="shared" si="79"/>
        <v>1784676.3032754478</v>
      </c>
      <c r="H1702" s="4">
        <f t="shared" si="80"/>
        <v>1453024.7604679945</v>
      </c>
      <c r="I1702" s="17">
        <f t="shared" si="78"/>
        <v>0.18583288308292512</v>
      </c>
      <c r="J1702">
        <v>38.31</v>
      </c>
    </row>
    <row r="1703" spans="1:10" x14ac:dyDescent="0.25">
      <c r="A1703" t="s">
        <v>23</v>
      </c>
      <c r="B1703" t="s">
        <v>108</v>
      </c>
      <c r="C1703" t="s">
        <v>9</v>
      </c>
      <c r="D1703">
        <v>1.19</v>
      </c>
      <c r="E1703" s="1">
        <v>41651327</v>
      </c>
      <c r="F1703" s="1">
        <v>495651</v>
      </c>
      <c r="G1703" s="4">
        <f t="shared" si="79"/>
        <v>1180719.5909826341</v>
      </c>
      <c r="H1703" s="4">
        <f t="shared" si="80"/>
        <v>1098029.4462967652</v>
      </c>
      <c r="I1703" s="17">
        <f t="shared" si="78"/>
        <v>7.0033685658634146E-2</v>
      </c>
      <c r="J1703">
        <v>36.94</v>
      </c>
    </row>
    <row r="1704" spans="1:10" x14ac:dyDescent="0.25">
      <c r="A1704" t="s">
        <v>24</v>
      </c>
      <c r="B1704" t="s">
        <v>108</v>
      </c>
      <c r="C1704" t="s">
        <v>9</v>
      </c>
      <c r="D1704">
        <v>5.51</v>
      </c>
      <c r="E1704" s="1">
        <v>42101198</v>
      </c>
      <c r="F1704" s="1">
        <v>2319776</v>
      </c>
      <c r="G1704" s="4">
        <f t="shared" si="79"/>
        <v>701171.57729479019</v>
      </c>
      <c r="H1704" s="4">
        <f t="shared" si="80"/>
        <v>1152218.5359896084</v>
      </c>
      <c r="I1704" s="17">
        <f t="shared" si="78"/>
        <v>-0.6432761585046205</v>
      </c>
      <c r="J1704">
        <v>38.96</v>
      </c>
    </row>
    <row r="1705" spans="1:10" x14ac:dyDescent="0.25">
      <c r="A1705" t="s">
        <v>25</v>
      </c>
      <c r="B1705" t="s">
        <v>108</v>
      </c>
      <c r="C1705" t="s">
        <v>9</v>
      </c>
      <c r="D1705">
        <v>2.15</v>
      </c>
      <c r="E1705" s="1">
        <v>42996069</v>
      </c>
      <c r="F1705" s="1">
        <v>924415</v>
      </c>
      <c r="G1705" s="4">
        <f t="shared" si="79"/>
        <v>1834194.673188437</v>
      </c>
      <c r="H1705" s="4">
        <f t="shared" si="80"/>
        <v>1130429.8573118059</v>
      </c>
      <c r="I1705" s="17">
        <f t="shared" si="78"/>
        <v>0.38369145116600684</v>
      </c>
      <c r="J1705">
        <v>38.340000000000003</v>
      </c>
    </row>
    <row r="1706" spans="1:10" x14ac:dyDescent="0.25">
      <c r="A1706" t="s">
        <v>26</v>
      </c>
      <c r="B1706" t="s">
        <v>108</v>
      </c>
      <c r="C1706" t="s">
        <v>9</v>
      </c>
      <c r="D1706">
        <v>1.6</v>
      </c>
      <c r="E1706" s="1">
        <v>44172996</v>
      </c>
      <c r="F1706" s="1">
        <v>706768</v>
      </c>
      <c r="G1706" s="4">
        <f t="shared" si="79"/>
        <v>1197348.9019565312</v>
      </c>
      <c r="H1706" s="4">
        <f t="shared" si="80"/>
        <v>1142642.8875343711</v>
      </c>
      <c r="I1706" s="17">
        <f t="shared" si="78"/>
        <v>4.5689284328709528E-2</v>
      </c>
      <c r="J1706">
        <v>39.08</v>
      </c>
    </row>
    <row r="1707" spans="1:10" x14ac:dyDescent="0.25">
      <c r="A1707" t="s">
        <v>27</v>
      </c>
      <c r="B1707" t="s">
        <v>108</v>
      </c>
      <c r="C1707" t="s">
        <v>9</v>
      </c>
      <c r="D1707">
        <v>1.26</v>
      </c>
      <c r="E1707" s="1">
        <v>42857326</v>
      </c>
      <c r="F1707" s="1">
        <v>540002</v>
      </c>
      <c r="G1707" s="4">
        <f t="shared" si="79"/>
        <v>853942.27058695932</v>
      </c>
      <c r="H1707" s="4">
        <f t="shared" si="80"/>
        <v>1108790.4749939924</v>
      </c>
      <c r="I1707" s="17">
        <f t="shared" si="78"/>
        <v>-0.29843727519409774</v>
      </c>
      <c r="J1707">
        <v>37.71</v>
      </c>
    </row>
    <row r="1708" spans="1:10" x14ac:dyDescent="0.25">
      <c r="A1708" t="s">
        <v>28</v>
      </c>
      <c r="B1708" t="s">
        <v>108</v>
      </c>
      <c r="C1708" t="s">
        <v>9</v>
      </c>
      <c r="D1708">
        <v>7.13</v>
      </c>
      <c r="E1708" s="1">
        <v>42875942</v>
      </c>
      <c r="F1708" s="1">
        <v>3057055</v>
      </c>
      <c r="G1708" s="4">
        <f t="shared" si="79"/>
        <v>634184.08117608773</v>
      </c>
      <c r="H1708" s="4">
        <f t="shared" si="80"/>
        <v>623679.1826485676</v>
      </c>
      <c r="I1708" s="17">
        <f t="shared" si="78"/>
        <v>1.6564431116023761E-2</v>
      </c>
      <c r="J1708">
        <v>40.020000000000003</v>
      </c>
    </row>
    <row r="1709" spans="1:10" x14ac:dyDescent="0.25">
      <c r="A1709" t="s">
        <v>29</v>
      </c>
      <c r="B1709" t="s">
        <v>108</v>
      </c>
      <c r="C1709" t="s">
        <v>9</v>
      </c>
      <c r="D1709">
        <v>2.61</v>
      </c>
      <c r="E1709" s="1">
        <v>43205468</v>
      </c>
      <c r="F1709" s="1">
        <v>1127663</v>
      </c>
      <c r="G1709" s="4">
        <f t="shared" si="79"/>
        <v>2330193.7243528264</v>
      </c>
      <c r="H1709" s="4">
        <f t="shared" si="80"/>
        <v>1438695.1963664074</v>
      </c>
      <c r="I1709" s="17">
        <f t="shared" si="78"/>
        <v>0.38258558448140112</v>
      </c>
      <c r="J1709">
        <v>38.369999999999997</v>
      </c>
    </row>
    <row r="1710" spans="1:10" x14ac:dyDescent="0.25">
      <c r="A1710" t="s">
        <v>30</v>
      </c>
      <c r="B1710" t="s">
        <v>108</v>
      </c>
      <c r="C1710" t="s">
        <v>9</v>
      </c>
      <c r="D1710">
        <v>2.46</v>
      </c>
      <c r="E1710" s="1">
        <v>44011138</v>
      </c>
      <c r="F1710" s="1">
        <v>1082674</v>
      </c>
      <c r="G1710" s="4">
        <f t="shared" si="79"/>
        <v>1488422.2173058479</v>
      </c>
      <c r="H1710" s="4">
        <f t="shared" si="80"/>
        <v>1572147.3770813574</v>
      </c>
      <c r="I1710" s="17">
        <f t="shared" si="78"/>
        <v>-5.625094734682079E-2</v>
      </c>
      <c r="J1710">
        <v>38.94</v>
      </c>
    </row>
    <row r="1711" spans="1:10" x14ac:dyDescent="0.25">
      <c r="A1711" t="s">
        <v>31</v>
      </c>
      <c r="B1711" t="s">
        <v>108</v>
      </c>
      <c r="C1711" t="s">
        <v>9</v>
      </c>
      <c r="D1711">
        <v>1.46</v>
      </c>
      <c r="E1711" s="1">
        <v>42504146</v>
      </c>
      <c r="F1711" s="1">
        <v>620561</v>
      </c>
      <c r="G1711" s="4">
        <f t="shared" si="79"/>
        <v>1204398.4651917543</v>
      </c>
      <c r="H1711" s="4">
        <f t="shared" si="80"/>
        <v>1579136.3935330852</v>
      </c>
      <c r="I1711" s="17">
        <f t="shared" si="78"/>
        <v>-0.31114115400476561</v>
      </c>
      <c r="J1711">
        <v>37.15</v>
      </c>
    </row>
    <row r="1712" spans="1:10" x14ac:dyDescent="0.25">
      <c r="A1712" t="s">
        <v>32</v>
      </c>
      <c r="B1712" t="s">
        <v>108</v>
      </c>
      <c r="C1712" t="s">
        <v>9</v>
      </c>
      <c r="D1712">
        <v>5.53</v>
      </c>
      <c r="E1712" s="1">
        <v>41991466</v>
      </c>
      <c r="F1712" s="1">
        <v>2322128</v>
      </c>
      <c r="G1712" s="4">
        <f t="shared" si="79"/>
        <v>795712.23955752631</v>
      </c>
      <c r="H1712" s="4">
        <f t="shared" si="80"/>
        <v>806551.9087698654</v>
      </c>
      <c r="I1712" s="17">
        <f t="shared" si="78"/>
        <v>-1.3622599569873071E-2</v>
      </c>
      <c r="J1712">
        <v>38.200000000000003</v>
      </c>
    </row>
    <row r="1713" spans="1:10" x14ac:dyDescent="0.25">
      <c r="A1713" t="s">
        <v>33</v>
      </c>
      <c r="B1713" t="s">
        <v>108</v>
      </c>
      <c r="C1713" t="s">
        <v>9</v>
      </c>
      <c r="D1713">
        <v>3.15</v>
      </c>
      <c r="E1713" s="1">
        <v>43350408</v>
      </c>
      <c r="F1713" s="1">
        <v>1365538</v>
      </c>
      <c r="G1713" s="4">
        <f t="shared" si="79"/>
        <v>1864203.2718672578</v>
      </c>
      <c r="H1713" s="4">
        <f t="shared" si="80"/>
        <v>972187.03196034289</v>
      </c>
      <c r="I1713" s="17">
        <f t="shared" si="78"/>
        <v>0.47849730411289165</v>
      </c>
      <c r="J1713">
        <v>38.380000000000003</v>
      </c>
    </row>
    <row r="1714" spans="1:10" x14ac:dyDescent="0.25">
      <c r="A1714" t="s">
        <v>34</v>
      </c>
      <c r="B1714" t="s">
        <v>108</v>
      </c>
      <c r="C1714" t="s">
        <v>9</v>
      </c>
      <c r="D1714">
        <v>2.81</v>
      </c>
      <c r="E1714" s="1">
        <v>44031310</v>
      </c>
      <c r="F1714" s="1">
        <v>1237280</v>
      </c>
      <c r="G1714" s="4">
        <f t="shared" si="79"/>
        <v>1515137.5815601773</v>
      </c>
      <c r="H1714" s="4">
        <f t="shared" si="80"/>
        <v>986488.437650632</v>
      </c>
      <c r="I1714" s="17">
        <f t="shared" si="78"/>
        <v>0.34891164363118843</v>
      </c>
      <c r="J1714">
        <v>38.770000000000003</v>
      </c>
    </row>
    <row r="1715" spans="1:10" x14ac:dyDescent="0.25">
      <c r="A1715" t="s">
        <v>35</v>
      </c>
      <c r="B1715" t="s">
        <v>108</v>
      </c>
      <c r="C1715" t="s">
        <v>9</v>
      </c>
      <c r="D1715">
        <v>2.1800000000000002</v>
      </c>
      <c r="E1715" s="1">
        <v>43365448</v>
      </c>
      <c r="F1715" s="1">
        <v>945367</v>
      </c>
      <c r="G1715" s="4">
        <f t="shared" si="79"/>
        <v>1320637.2744680531</v>
      </c>
      <c r="H1715" s="4">
        <f t="shared" si="80"/>
        <v>940889.11190853454</v>
      </c>
      <c r="I1715" s="17">
        <f t="shared" si="78"/>
        <v>0.28754917788647111</v>
      </c>
      <c r="J1715">
        <v>37.85</v>
      </c>
    </row>
    <row r="1716" spans="1:10" x14ac:dyDescent="0.25">
      <c r="A1716" t="s">
        <v>36</v>
      </c>
      <c r="B1716" t="s">
        <v>108</v>
      </c>
      <c r="C1716" t="s">
        <v>9</v>
      </c>
      <c r="D1716">
        <v>5.73</v>
      </c>
      <c r="E1716" s="1">
        <v>43192494</v>
      </c>
      <c r="F1716" s="1">
        <v>2474930</v>
      </c>
      <c r="G1716" s="4">
        <f t="shared" si="79"/>
        <v>1057948.0823404158</v>
      </c>
      <c r="H1716" s="4">
        <f t="shared" si="80"/>
        <v>394419.26419156417</v>
      </c>
      <c r="I1716" s="17">
        <f t="shared" si="78"/>
        <v>0.62718466929017791</v>
      </c>
      <c r="J1716">
        <v>39.04</v>
      </c>
    </row>
    <row r="1717" spans="1:10" x14ac:dyDescent="0.25">
      <c r="A1717" t="s">
        <v>37</v>
      </c>
      <c r="B1717" t="s">
        <v>108</v>
      </c>
      <c r="C1717" t="s">
        <v>9</v>
      </c>
      <c r="D1717">
        <v>4.74</v>
      </c>
      <c r="E1717" s="1">
        <v>43486815</v>
      </c>
      <c r="F1717" s="1">
        <v>2061275</v>
      </c>
      <c r="G1717" s="4">
        <f t="shared" si="79"/>
        <v>2049835.4247021247</v>
      </c>
      <c r="H1717" s="4">
        <f t="shared" si="80"/>
        <v>861369.13680179941</v>
      </c>
      <c r="I1717" s="17">
        <f t="shared" si="78"/>
        <v>0.57978619823736799</v>
      </c>
      <c r="J1717">
        <v>38.81</v>
      </c>
    </row>
    <row r="1718" spans="1:10" x14ac:dyDescent="0.25">
      <c r="A1718" t="s">
        <v>38</v>
      </c>
      <c r="B1718" t="s">
        <v>108</v>
      </c>
      <c r="C1718" t="s">
        <v>9</v>
      </c>
      <c r="D1718">
        <v>3.05</v>
      </c>
      <c r="E1718" s="1">
        <v>44046996</v>
      </c>
      <c r="F1718" s="1">
        <v>1343433</v>
      </c>
      <c r="G1718" s="4">
        <f t="shared" si="79"/>
        <v>2057843.1274106372</v>
      </c>
      <c r="H1718" s="4">
        <f t="shared" si="80"/>
        <v>846324.68114716595</v>
      </c>
      <c r="I1718" s="17">
        <f t="shared" si="78"/>
        <v>0.58873216822310082</v>
      </c>
      <c r="J1718">
        <v>38.54</v>
      </c>
    </row>
    <row r="1719" spans="1:10" x14ac:dyDescent="0.25">
      <c r="A1719" t="s">
        <v>39</v>
      </c>
      <c r="B1719" t="s">
        <v>108</v>
      </c>
      <c r="C1719" t="s">
        <v>9</v>
      </c>
      <c r="D1719">
        <v>2.94</v>
      </c>
      <c r="E1719" s="1">
        <v>43208316</v>
      </c>
      <c r="F1719" s="1">
        <v>1270324</v>
      </c>
      <c r="G1719" s="4">
        <f t="shared" si="79"/>
        <v>1557756.0382231912</v>
      </c>
      <c r="H1719" s="4">
        <f t="shared" si="80"/>
        <v>916215.12193809438</v>
      </c>
      <c r="I1719" s="17">
        <f t="shared" si="78"/>
        <v>0.41183657809271063</v>
      </c>
      <c r="J1719">
        <v>37.68</v>
      </c>
    </row>
    <row r="1720" spans="1:10" x14ac:dyDescent="0.25">
      <c r="A1720" t="s">
        <v>40</v>
      </c>
      <c r="B1720" t="s">
        <v>108</v>
      </c>
      <c r="C1720" t="s">
        <v>9</v>
      </c>
      <c r="D1720">
        <v>8.76</v>
      </c>
      <c r="E1720" s="1">
        <v>42706441</v>
      </c>
      <c r="F1720" s="1">
        <v>3741084</v>
      </c>
      <c r="G1720" s="4">
        <f t="shared" si="79"/>
        <v>1356553.6114669573</v>
      </c>
      <c r="H1720" s="4">
        <f t="shared" si="80"/>
        <v>444645.87805991439</v>
      </c>
      <c r="I1720" s="17">
        <f t="shared" si="78"/>
        <v>0.67222388094261842</v>
      </c>
      <c r="J1720">
        <v>39.53</v>
      </c>
    </row>
    <row r="1721" spans="1:10" x14ac:dyDescent="0.25">
      <c r="A1721" t="s">
        <v>41</v>
      </c>
      <c r="B1721" t="s">
        <v>108</v>
      </c>
      <c r="C1721" t="s">
        <v>9</v>
      </c>
      <c r="D1721">
        <v>7.3</v>
      </c>
      <c r="E1721" s="1">
        <v>43174661</v>
      </c>
      <c r="F1721" s="1">
        <v>3151750</v>
      </c>
      <c r="G1721" s="4">
        <f t="shared" si="79"/>
        <v>3025724.8834400871</v>
      </c>
      <c r="H1721" s="4">
        <f t="shared" si="80"/>
        <v>1446718.6066614757</v>
      </c>
      <c r="I1721" s="17">
        <f t="shared" si="78"/>
        <v>0.52186049214869989</v>
      </c>
      <c r="J1721">
        <v>39.25</v>
      </c>
    </row>
    <row r="1722" spans="1:10" x14ac:dyDescent="0.25">
      <c r="A1722" t="s">
        <v>42</v>
      </c>
      <c r="B1722" t="s">
        <v>108</v>
      </c>
      <c r="C1722" t="s">
        <v>9</v>
      </c>
      <c r="D1722">
        <v>5.05</v>
      </c>
      <c r="E1722" s="1">
        <v>42913894</v>
      </c>
      <c r="F1722" s="1">
        <v>2167152</v>
      </c>
      <c r="G1722" s="4">
        <f t="shared" si="79"/>
        <v>3113942.4650320262</v>
      </c>
      <c r="H1722" s="4">
        <f t="shared" si="80"/>
        <v>1388582.572318336</v>
      </c>
      <c r="I1722" s="17">
        <f t="shared" si="78"/>
        <v>0.55407571337254791</v>
      </c>
      <c r="J1722">
        <v>38.01</v>
      </c>
    </row>
    <row r="1723" spans="1:10" x14ac:dyDescent="0.25">
      <c r="A1723" t="s">
        <v>43</v>
      </c>
      <c r="B1723" t="s">
        <v>108</v>
      </c>
      <c r="C1723" t="s">
        <v>9</v>
      </c>
      <c r="D1723">
        <v>5.37</v>
      </c>
      <c r="E1723" s="1">
        <v>42743911</v>
      </c>
      <c r="F1723" s="1">
        <v>2295348</v>
      </c>
      <c r="G1723" s="4">
        <f t="shared" si="79"/>
        <v>2451189.1395096076</v>
      </c>
      <c r="H1723" s="4">
        <f t="shared" si="80"/>
        <v>1483046.3791935216</v>
      </c>
      <c r="I1723" s="17">
        <f t="shared" si="78"/>
        <v>0.39496860715928905</v>
      </c>
      <c r="J1723">
        <v>37.9</v>
      </c>
    </row>
    <row r="1724" spans="1:10" x14ac:dyDescent="0.25">
      <c r="A1724" t="s">
        <v>44</v>
      </c>
      <c r="B1724" t="s">
        <v>108</v>
      </c>
      <c r="C1724" t="s">
        <v>9</v>
      </c>
      <c r="D1724">
        <v>10.75</v>
      </c>
      <c r="E1724" s="1">
        <v>42924264</v>
      </c>
      <c r="F1724" s="1">
        <v>4614358</v>
      </c>
      <c r="G1724" s="4">
        <f t="shared" si="79"/>
        <v>2342100.3418528819</v>
      </c>
      <c r="H1724" s="4">
        <f t="shared" si="80"/>
        <v>558742.92700762756</v>
      </c>
      <c r="I1724" s="17">
        <f t="shared" si="78"/>
        <v>0.76143510291894878</v>
      </c>
      <c r="J1724">
        <v>40.270000000000003</v>
      </c>
    </row>
    <row r="1725" spans="1:10" x14ac:dyDescent="0.25">
      <c r="A1725" t="s">
        <v>45</v>
      </c>
      <c r="B1725" t="s">
        <v>108</v>
      </c>
      <c r="C1725" t="s">
        <v>9</v>
      </c>
      <c r="D1725">
        <v>8.14</v>
      </c>
      <c r="E1725" s="1">
        <v>42956774</v>
      </c>
      <c r="F1725" s="1">
        <v>3496681</v>
      </c>
      <c r="G1725" s="4">
        <f t="shared" si="79"/>
        <v>3932680.7025558641</v>
      </c>
      <c r="H1725" s="4">
        <f t="shared" si="80"/>
        <v>1424061.5050443385</v>
      </c>
      <c r="I1725" s="17">
        <f t="shared" si="78"/>
        <v>0.63789038247655461</v>
      </c>
      <c r="J1725">
        <v>39.07</v>
      </c>
    </row>
    <row r="1726" spans="1:10" x14ac:dyDescent="0.25">
      <c r="A1726" t="s">
        <v>46</v>
      </c>
      <c r="B1726" t="s">
        <v>108</v>
      </c>
      <c r="C1726" t="s">
        <v>9</v>
      </c>
      <c r="D1726">
        <v>8.7200000000000006</v>
      </c>
      <c r="E1726" s="1">
        <v>41959261</v>
      </c>
      <c r="F1726" s="1">
        <v>3658848</v>
      </c>
      <c r="G1726" s="4">
        <f t="shared" si="79"/>
        <v>3627480.910766759</v>
      </c>
      <c r="H1726" s="4">
        <f t="shared" si="80"/>
        <v>1338847.398125303</v>
      </c>
      <c r="I1726" s="17">
        <f t="shared" si="78"/>
        <v>0.63091538424049098</v>
      </c>
      <c r="J1726">
        <v>38.32</v>
      </c>
    </row>
    <row r="1727" spans="1:10" x14ac:dyDescent="0.25">
      <c r="A1727" t="s">
        <v>47</v>
      </c>
      <c r="B1727" t="s">
        <v>108</v>
      </c>
      <c r="C1727" t="s">
        <v>9</v>
      </c>
      <c r="D1727">
        <v>7.75</v>
      </c>
      <c r="E1727" s="1">
        <v>43342692</v>
      </c>
      <c r="F1727" s="1">
        <v>3359059</v>
      </c>
      <c r="G1727" s="4">
        <f t="shared" si="79"/>
        <v>3649437.873230027</v>
      </c>
      <c r="H1727" s="4">
        <f t="shared" si="80"/>
        <v>1335943.424441319</v>
      </c>
      <c r="I1727" s="17">
        <f t="shared" si="78"/>
        <v>0.63393172569371392</v>
      </c>
      <c r="J1727">
        <v>39.08</v>
      </c>
    </row>
    <row r="1728" spans="1:10" x14ac:dyDescent="0.25">
      <c r="A1728" t="s">
        <v>48</v>
      </c>
      <c r="B1728" t="s">
        <v>108</v>
      </c>
      <c r="C1728" t="s">
        <v>9</v>
      </c>
      <c r="D1728">
        <v>10.87</v>
      </c>
      <c r="E1728" s="1">
        <v>44306803</v>
      </c>
      <c r="F1728" s="1">
        <v>4816149</v>
      </c>
      <c r="G1728" s="4">
        <f t="shared" si="79"/>
        <v>3446172.6619690079</v>
      </c>
      <c r="H1728" s="4">
        <f t="shared" si="80"/>
        <v>302984.88682556874</v>
      </c>
      <c r="I1728" s="17">
        <f t="shared" si="78"/>
        <v>0.91208075841085245</v>
      </c>
      <c r="J1728">
        <v>41.26</v>
      </c>
    </row>
    <row r="1729" spans="1:10" x14ac:dyDescent="0.25">
      <c r="A1729" t="s">
        <v>49</v>
      </c>
      <c r="B1729" t="s">
        <v>108</v>
      </c>
      <c r="C1729" t="s">
        <v>9</v>
      </c>
      <c r="D1729">
        <v>10.26</v>
      </c>
      <c r="E1729" s="1">
        <v>43287812</v>
      </c>
      <c r="F1729" s="1">
        <v>4441330</v>
      </c>
      <c r="G1729" s="4">
        <f t="shared" si="79"/>
        <v>4405156.0985907018</v>
      </c>
      <c r="H1729" s="4">
        <f t="shared" si="80"/>
        <v>808731.30088019418</v>
      </c>
      <c r="I1729" s="17">
        <f t="shared" si="78"/>
        <v>0.81641256682392627</v>
      </c>
      <c r="J1729">
        <v>39.96</v>
      </c>
    </row>
    <row r="1730" spans="1:10" x14ac:dyDescent="0.25">
      <c r="A1730" t="s">
        <v>50</v>
      </c>
      <c r="B1730" t="s">
        <v>108</v>
      </c>
      <c r="C1730" t="s">
        <v>9</v>
      </c>
      <c r="D1730">
        <v>11.13</v>
      </c>
      <c r="E1730" s="1">
        <v>42276551</v>
      </c>
      <c r="F1730" s="1">
        <v>4705380</v>
      </c>
      <c r="G1730" s="4">
        <f t="shared" si="79"/>
        <v>4430477.8295772104</v>
      </c>
      <c r="H1730" s="4">
        <f t="shared" si="80"/>
        <v>808798.20473059837</v>
      </c>
      <c r="I1730" s="17">
        <f t="shared" si="78"/>
        <v>0.81744673241987986</v>
      </c>
      <c r="J1730">
        <v>39.32</v>
      </c>
    </row>
    <row r="1731" spans="1:10" x14ac:dyDescent="0.25">
      <c r="A1731" t="s">
        <v>51</v>
      </c>
      <c r="B1731" t="s">
        <v>108</v>
      </c>
      <c r="C1731" t="s">
        <v>9</v>
      </c>
      <c r="D1731">
        <v>9.19</v>
      </c>
      <c r="E1731" s="1">
        <v>42697003</v>
      </c>
      <c r="F1731" s="1">
        <v>3923855</v>
      </c>
      <c r="G1731" s="4">
        <f t="shared" si="79"/>
        <v>4622909.3488731626</v>
      </c>
      <c r="H1731" s="4">
        <f t="shared" si="80"/>
        <v>806993.37486151583</v>
      </c>
      <c r="I1731" s="17">
        <f t="shared" ref="I1731:I1794" si="81">(G1731-H1731)/G1731</f>
        <v>0.82543603736071069</v>
      </c>
      <c r="J1731">
        <v>38.78</v>
      </c>
    </row>
    <row r="1732" spans="1:10" x14ac:dyDescent="0.25">
      <c r="A1732" t="s">
        <v>52</v>
      </c>
      <c r="B1732" t="s">
        <v>108</v>
      </c>
      <c r="C1732" t="s">
        <v>9</v>
      </c>
      <c r="D1732">
        <v>11.47</v>
      </c>
      <c r="E1732" s="1">
        <v>43298748</v>
      </c>
      <c r="F1732" s="1">
        <v>4966366</v>
      </c>
      <c r="G1732" s="4">
        <f t="shared" ref="G1732:G1795" si="82">0.7*F1731+0.3*G1731</f>
        <v>4133571.3046619487</v>
      </c>
      <c r="H1732" s="4">
        <f t="shared" si="80"/>
        <v>434187.64650199015</v>
      </c>
      <c r="I1732" s="17">
        <f t="shared" si="81"/>
        <v>0.89496064915771456</v>
      </c>
      <c r="J1732">
        <v>40.24</v>
      </c>
    </row>
    <row r="1733" spans="1:10" x14ac:dyDescent="0.25">
      <c r="A1733" t="s">
        <v>53</v>
      </c>
      <c r="B1733" t="s">
        <v>108</v>
      </c>
      <c r="C1733" t="s">
        <v>9</v>
      </c>
      <c r="D1733">
        <v>6.37</v>
      </c>
      <c r="E1733" s="1">
        <v>44310100</v>
      </c>
      <c r="F1733" s="1">
        <v>2822553</v>
      </c>
      <c r="G1733" s="4">
        <f t="shared" si="82"/>
        <v>4716527.5913985837</v>
      </c>
      <c r="H1733" s="4">
        <f t="shared" si="80"/>
        <v>647506.80577242828</v>
      </c>
      <c r="I1733" s="17">
        <f t="shared" si="81"/>
        <v>0.86271535717224024</v>
      </c>
      <c r="J1733">
        <v>38.86</v>
      </c>
    </row>
    <row r="1734" spans="1:10" x14ac:dyDescent="0.25">
      <c r="A1734" t="s">
        <v>54</v>
      </c>
      <c r="B1734" t="s">
        <v>108</v>
      </c>
      <c r="C1734" t="s">
        <v>9</v>
      </c>
      <c r="D1734">
        <v>10.18</v>
      </c>
      <c r="E1734" s="1">
        <v>42833280</v>
      </c>
      <c r="F1734" s="1">
        <v>4360428</v>
      </c>
      <c r="G1734" s="4">
        <f t="shared" si="82"/>
        <v>3390745.3774195751</v>
      </c>
      <c r="H1734" s="4">
        <f t="shared" ref="H1734:H1797" si="83">SQRT(SUMXMY2(F1731:F1733,G1731:G1733)/3)</f>
        <v>1260867.920670138</v>
      </c>
      <c r="I1734" s="17">
        <f t="shared" si="81"/>
        <v>0.62814432216975158</v>
      </c>
      <c r="J1734">
        <v>39.07</v>
      </c>
    </row>
    <row r="1735" spans="1:10" x14ac:dyDescent="0.25">
      <c r="A1735" t="s">
        <v>55</v>
      </c>
      <c r="B1735" t="s">
        <v>108</v>
      </c>
      <c r="C1735" t="s">
        <v>9</v>
      </c>
      <c r="D1735">
        <v>6.94</v>
      </c>
      <c r="E1735" s="1">
        <v>43261536</v>
      </c>
      <c r="F1735" s="1">
        <v>3002351</v>
      </c>
      <c r="G1735" s="4">
        <f t="shared" si="82"/>
        <v>4069523.2132258723</v>
      </c>
      <c r="H1735" s="4">
        <f t="shared" si="83"/>
        <v>1319213.2940988075</v>
      </c>
      <c r="I1735" s="17">
        <f t="shared" si="81"/>
        <v>0.67583099420310722</v>
      </c>
      <c r="J1735">
        <v>38.01</v>
      </c>
    </row>
    <row r="1736" spans="1:10" x14ac:dyDescent="0.25">
      <c r="A1736" t="s">
        <v>56</v>
      </c>
      <c r="B1736" t="s">
        <v>108</v>
      </c>
      <c r="C1736" t="s">
        <v>9</v>
      </c>
      <c r="D1736">
        <v>8.43</v>
      </c>
      <c r="E1736" s="1">
        <v>44640064</v>
      </c>
      <c r="F1736" s="1">
        <v>3763157</v>
      </c>
      <c r="G1736" s="4">
        <f t="shared" si="82"/>
        <v>3322502.6639677612</v>
      </c>
      <c r="H1736" s="4">
        <f t="shared" si="83"/>
        <v>1374321.7325987013</v>
      </c>
      <c r="I1736" s="17">
        <f t="shared" si="81"/>
        <v>0.58635947910498454</v>
      </c>
      <c r="J1736">
        <v>39.770000000000003</v>
      </c>
    </row>
    <row r="1737" spans="1:10" x14ac:dyDescent="0.25">
      <c r="A1737" t="s">
        <v>57</v>
      </c>
      <c r="B1737" t="s">
        <v>108</v>
      </c>
      <c r="C1737" t="s">
        <v>9</v>
      </c>
      <c r="D1737">
        <v>6.06</v>
      </c>
      <c r="E1737" s="1">
        <v>45777509</v>
      </c>
      <c r="F1737" s="1">
        <v>2774117</v>
      </c>
      <c r="G1737" s="4">
        <f t="shared" si="82"/>
        <v>3630960.6991903284</v>
      </c>
      <c r="H1737" s="4">
        <f t="shared" si="83"/>
        <v>870501.22823575442</v>
      </c>
      <c r="I1737" s="17">
        <f t="shared" si="81"/>
        <v>0.760255948672243</v>
      </c>
      <c r="J1737">
        <v>39.67</v>
      </c>
    </row>
    <row r="1738" spans="1:10" x14ac:dyDescent="0.25">
      <c r="A1738" t="s">
        <v>58</v>
      </c>
      <c r="B1738" t="s">
        <v>108</v>
      </c>
      <c r="C1738" t="s">
        <v>9</v>
      </c>
      <c r="D1738">
        <v>8.1199999999999992</v>
      </c>
      <c r="E1738" s="1">
        <v>44257432</v>
      </c>
      <c r="F1738" s="1">
        <v>3593703</v>
      </c>
      <c r="G1738" s="4">
        <f t="shared" si="82"/>
        <v>3031170.1097570984</v>
      </c>
      <c r="H1738" s="4">
        <f t="shared" si="83"/>
        <v>830103.18663557025</v>
      </c>
      <c r="I1738" s="17">
        <f t="shared" si="81"/>
        <v>0.72614430844262645</v>
      </c>
      <c r="J1738">
        <v>39.130000000000003</v>
      </c>
    </row>
    <row r="1739" spans="1:10" x14ac:dyDescent="0.25">
      <c r="A1739" t="s">
        <v>59</v>
      </c>
      <c r="B1739" t="s">
        <v>108</v>
      </c>
      <c r="C1739" t="s">
        <v>9</v>
      </c>
      <c r="D1739">
        <v>9.3699999999999992</v>
      </c>
      <c r="E1739" s="1">
        <v>43086706</v>
      </c>
      <c r="F1739" s="1">
        <v>4037224</v>
      </c>
      <c r="G1739" s="4">
        <f t="shared" si="82"/>
        <v>3424943.132927129</v>
      </c>
      <c r="H1739" s="4">
        <f t="shared" si="83"/>
        <v>644153.35164622916</v>
      </c>
      <c r="I1739" s="17">
        <f t="shared" si="81"/>
        <v>0.81192290597371075</v>
      </c>
      <c r="J1739">
        <v>38.53</v>
      </c>
    </row>
    <row r="1740" spans="1:10" x14ac:dyDescent="0.25">
      <c r="A1740" t="s">
        <v>60</v>
      </c>
      <c r="B1740" t="s">
        <v>108</v>
      </c>
      <c r="C1740" t="s">
        <v>9</v>
      </c>
      <c r="D1740">
        <v>19.920000000000002</v>
      </c>
      <c r="E1740" s="1">
        <v>39970677</v>
      </c>
      <c r="F1740" s="1">
        <v>7962159</v>
      </c>
      <c r="G1740" s="4">
        <f t="shared" si="82"/>
        <v>3853539.7398781385</v>
      </c>
      <c r="H1740" s="4">
        <f t="shared" si="83"/>
        <v>689326.29855308845</v>
      </c>
      <c r="I1740" s="17">
        <f t="shared" si="81"/>
        <v>0.82111867397664684</v>
      </c>
      <c r="J1740">
        <v>40.369999999999997</v>
      </c>
    </row>
    <row r="1741" spans="1:10" x14ac:dyDescent="0.25">
      <c r="A1741" t="s">
        <v>61</v>
      </c>
      <c r="B1741" t="s">
        <v>108</v>
      </c>
      <c r="C1741" t="s">
        <v>9</v>
      </c>
      <c r="D1741">
        <v>16.86</v>
      </c>
      <c r="E1741" s="1">
        <v>38547596</v>
      </c>
      <c r="F1741" s="1">
        <v>6499125</v>
      </c>
      <c r="G1741" s="4">
        <f t="shared" si="82"/>
        <v>6729573.221963441</v>
      </c>
      <c r="H1741" s="4">
        <f t="shared" si="83"/>
        <v>2420198.5688115796</v>
      </c>
      <c r="I1741" s="17">
        <f t="shared" si="81"/>
        <v>0.64036373645319289</v>
      </c>
      <c r="J1741">
        <v>37.42</v>
      </c>
    </row>
    <row r="1742" spans="1:10" x14ac:dyDescent="0.25">
      <c r="A1742" t="s">
        <v>62</v>
      </c>
      <c r="B1742" t="s">
        <v>108</v>
      </c>
      <c r="C1742" t="s">
        <v>9</v>
      </c>
      <c r="D1742">
        <v>8.51</v>
      </c>
      <c r="E1742" s="1">
        <v>41908909</v>
      </c>
      <c r="F1742" s="1">
        <v>3566448</v>
      </c>
      <c r="G1742" s="4">
        <f t="shared" si="82"/>
        <v>6568259.4665890317</v>
      </c>
      <c r="H1742" s="4">
        <f t="shared" si="83"/>
        <v>2401995.4529400431</v>
      </c>
      <c r="I1742" s="17">
        <f t="shared" si="81"/>
        <v>0.63430259337982198</v>
      </c>
      <c r="J1742">
        <v>36.89</v>
      </c>
    </row>
    <row r="1743" spans="1:10" x14ac:dyDescent="0.25">
      <c r="A1743" t="s">
        <v>63</v>
      </c>
      <c r="B1743" t="s">
        <v>108</v>
      </c>
      <c r="C1743" t="s">
        <v>9</v>
      </c>
      <c r="D1743">
        <v>4.3899999999999997</v>
      </c>
      <c r="E1743" s="1">
        <v>43316726</v>
      </c>
      <c r="F1743" s="1">
        <v>1901604</v>
      </c>
      <c r="G1743" s="4">
        <f t="shared" si="82"/>
        <v>4466991.439976709</v>
      </c>
      <c r="H1743" s="4">
        <f t="shared" si="83"/>
        <v>2940789.6155395531</v>
      </c>
      <c r="I1743" s="17">
        <f t="shared" si="81"/>
        <v>0.34166213321535122</v>
      </c>
      <c r="J1743">
        <v>36.4</v>
      </c>
    </row>
    <row r="1744" spans="1:10" x14ac:dyDescent="0.25">
      <c r="A1744" t="s">
        <v>64</v>
      </c>
      <c r="B1744" t="s">
        <v>108</v>
      </c>
      <c r="C1744" t="s">
        <v>9</v>
      </c>
      <c r="D1744">
        <v>5.69</v>
      </c>
      <c r="E1744" s="1">
        <v>42985424</v>
      </c>
      <c r="F1744" s="1">
        <v>2445871</v>
      </c>
      <c r="G1744" s="4">
        <f t="shared" si="82"/>
        <v>2671220.2319930121</v>
      </c>
      <c r="H1744" s="4">
        <f t="shared" si="83"/>
        <v>2283651.4022606979</v>
      </c>
      <c r="I1744" s="17">
        <f t="shared" si="81"/>
        <v>0.14509055640206311</v>
      </c>
      <c r="J1744">
        <v>36.54</v>
      </c>
    </row>
    <row r="1745" spans="1:10" x14ac:dyDescent="0.25">
      <c r="A1745" t="s">
        <v>65</v>
      </c>
      <c r="B1745" t="s">
        <v>108</v>
      </c>
      <c r="C1745" t="s">
        <v>9</v>
      </c>
      <c r="D1745">
        <v>3.26</v>
      </c>
      <c r="E1745" s="1">
        <v>42993059</v>
      </c>
      <c r="F1745" s="1">
        <v>1401574</v>
      </c>
      <c r="G1745" s="4">
        <f t="shared" si="82"/>
        <v>2513475.7695979038</v>
      </c>
      <c r="H1745" s="4">
        <f t="shared" si="83"/>
        <v>2283481.7767680627</v>
      </c>
      <c r="I1745" s="17">
        <f t="shared" si="81"/>
        <v>9.1504360460429118E-2</v>
      </c>
      <c r="J1745">
        <v>35.549999999999997</v>
      </c>
    </row>
    <row r="1746" spans="1:10" x14ac:dyDescent="0.25">
      <c r="A1746" t="s">
        <v>66</v>
      </c>
      <c r="B1746" t="s">
        <v>108</v>
      </c>
      <c r="C1746" t="s">
        <v>9</v>
      </c>
      <c r="D1746">
        <v>3.22</v>
      </c>
      <c r="E1746" s="1">
        <v>43075281</v>
      </c>
      <c r="F1746" s="1">
        <v>1387024</v>
      </c>
      <c r="G1746" s="4">
        <f t="shared" si="82"/>
        <v>1735144.5308793711</v>
      </c>
      <c r="H1746" s="4">
        <f t="shared" si="83"/>
        <v>1619497.9200135912</v>
      </c>
      <c r="I1746" s="17">
        <f t="shared" si="81"/>
        <v>6.664955501267103E-2</v>
      </c>
      <c r="J1746">
        <v>35.53</v>
      </c>
    </row>
    <row r="1747" spans="1:10" x14ac:dyDescent="0.25">
      <c r="A1747" t="s">
        <v>67</v>
      </c>
      <c r="B1747" t="s">
        <v>108</v>
      </c>
      <c r="C1747" t="s">
        <v>9</v>
      </c>
      <c r="D1747">
        <v>4.71</v>
      </c>
      <c r="E1747" s="1">
        <v>43482416</v>
      </c>
      <c r="F1747" s="1">
        <v>2048022</v>
      </c>
      <c r="G1747" s="4">
        <f t="shared" si="82"/>
        <v>1491460.1592638113</v>
      </c>
      <c r="H1747" s="4">
        <f t="shared" si="83"/>
        <v>685151.01148445741</v>
      </c>
      <c r="I1747" s="17">
        <f t="shared" si="81"/>
        <v>0.54061728888376759</v>
      </c>
      <c r="J1747">
        <v>36.35</v>
      </c>
    </row>
    <row r="1748" spans="1:10" x14ac:dyDescent="0.25">
      <c r="A1748" t="s">
        <v>68</v>
      </c>
      <c r="B1748" t="s">
        <v>108</v>
      </c>
      <c r="C1748" t="s">
        <v>9</v>
      </c>
      <c r="D1748">
        <v>15.29</v>
      </c>
      <c r="E1748" s="1">
        <v>42975344</v>
      </c>
      <c r="F1748" s="1">
        <v>6570930</v>
      </c>
      <c r="G1748" s="4">
        <f t="shared" si="82"/>
        <v>1881053.4477791432</v>
      </c>
      <c r="H1748" s="4">
        <f t="shared" si="83"/>
        <v>745491.90288881061</v>
      </c>
      <c r="I1748" s="17">
        <f t="shared" si="81"/>
        <v>0.60368382739524373</v>
      </c>
      <c r="J1748">
        <v>40.32</v>
      </c>
    </row>
    <row r="1749" spans="1:10" x14ac:dyDescent="0.25">
      <c r="A1749" t="s">
        <v>69</v>
      </c>
      <c r="B1749" t="s">
        <v>108</v>
      </c>
      <c r="C1749" t="s">
        <v>9</v>
      </c>
      <c r="D1749">
        <v>4.22</v>
      </c>
      <c r="E1749" s="1">
        <v>42085759</v>
      </c>
      <c r="F1749" s="1">
        <v>1776019</v>
      </c>
      <c r="G1749" s="4">
        <f t="shared" si="82"/>
        <v>5163967.0343337432</v>
      </c>
      <c r="H1749" s="4">
        <f t="shared" si="83"/>
        <v>2734098.9412512966</v>
      </c>
      <c r="I1749" s="17">
        <f t="shared" si="81"/>
        <v>0.47054291340880899</v>
      </c>
      <c r="J1749">
        <v>34.840000000000003</v>
      </c>
    </row>
    <row r="1750" spans="1:10" x14ac:dyDescent="0.25">
      <c r="A1750" t="s">
        <v>70</v>
      </c>
      <c r="B1750" t="s">
        <v>108</v>
      </c>
      <c r="C1750" t="s">
        <v>9</v>
      </c>
      <c r="D1750">
        <v>3.65</v>
      </c>
      <c r="E1750" s="1">
        <v>43524091</v>
      </c>
      <c r="F1750" s="1">
        <v>1588629</v>
      </c>
      <c r="G1750" s="4">
        <f t="shared" si="82"/>
        <v>2792403.4103001226</v>
      </c>
      <c r="H1750" s="4">
        <f t="shared" si="83"/>
        <v>3355736.1358813918</v>
      </c>
      <c r="I1750" s="17">
        <f t="shared" si="81"/>
        <v>-0.20173758687707777</v>
      </c>
      <c r="J1750">
        <v>35.75</v>
      </c>
    </row>
    <row r="1751" spans="1:10" x14ac:dyDescent="0.25">
      <c r="A1751" t="s">
        <v>71</v>
      </c>
      <c r="B1751" t="s">
        <v>108</v>
      </c>
      <c r="C1751" t="s">
        <v>9</v>
      </c>
      <c r="D1751">
        <v>3.68</v>
      </c>
      <c r="E1751" s="1">
        <v>42817381</v>
      </c>
      <c r="F1751" s="1">
        <v>1575680</v>
      </c>
      <c r="G1751" s="4">
        <f t="shared" si="82"/>
        <v>1949761.3230900364</v>
      </c>
      <c r="H1751" s="4">
        <f t="shared" si="83"/>
        <v>3411852.2237102762</v>
      </c>
      <c r="I1751" s="17">
        <f t="shared" si="81"/>
        <v>-0.74988198981354148</v>
      </c>
      <c r="J1751">
        <v>35.11</v>
      </c>
    </row>
    <row r="1752" spans="1:10" x14ac:dyDescent="0.25">
      <c r="A1752" t="s">
        <v>72</v>
      </c>
      <c r="B1752" t="s">
        <v>108</v>
      </c>
      <c r="C1752" t="s">
        <v>9</v>
      </c>
      <c r="D1752">
        <v>5.03</v>
      </c>
      <c r="E1752" s="1">
        <v>43919364</v>
      </c>
      <c r="F1752" s="1">
        <v>2209144</v>
      </c>
      <c r="G1752" s="4">
        <f t="shared" si="82"/>
        <v>1687904.3969270107</v>
      </c>
      <c r="H1752" s="4">
        <f t="shared" si="83"/>
        <v>2087039.4941578589</v>
      </c>
      <c r="I1752" s="17">
        <f t="shared" si="81"/>
        <v>-0.23646783429056248</v>
      </c>
      <c r="J1752">
        <v>36.44</v>
      </c>
    </row>
    <row r="1753" spans="1:10" x14ac:dyDescent="0.25">
      <c r="A1753" t="s">
        <v>73</v>
      </c>
      <c r="B1753" t="s">
        <v>108</v>
      </c>
      <c r="C1753" t="s">
        <v>9</v>
      </c>
      <c r="D1753">
        <v>6.04</v>
      </c>
      <c r="E1753" s="1">
        <v>42772497</v>
      </c>
      <c r="F1753" s="1">
        <v>2583459</v>
      </c>
      <c r="G1753" s="4">
        <f t="shared" si="82"/>
        <v>2052772.119078103</v>
      </c>
      <c r="H1753" s="4">
        <f t="shared" si="83"/>
        <v>787549.02302224713</v>
      </c>
      <c r="I1753" s="17">
        <f t="shared" si="81"/>
        <v>0.61634853878669482</v>
      </c>
      <c r="J1753">
        <v>35.79</v>
      </c>
    </row>
    <row r="1754" spans="1:10" x14ac:dyDescent="0.25">
      <c r="A1754" t="s">
        <v>74</v>
      </c>
      <c r="B1754" t="s">
        <v>108</v>
      </c>
      <c r="C1754" t="s">
        <v>9</v>
      </c>
      <c r="D1754">
        <v>3.77</v>
      </c>
      <c r="E1754" s="1">
        <v>42925293</v>
      </c>
      <c r="F1754" s="1">
        <v>1618284</v>
      </c>
      <c r="G1754" s="4">
        <f t="shared" si="82"/>
        <v>2424252.9357234305</v>
      </c>
      <c r="H1754" s="4">
        <f t="shared" si="83"/>
        <v>480713.40237855213</v>
      </c>
      <c r="I1754" s="17">
        <f t="shared" si="81"/>
        <v>0.80170658131631767</v>
      </c>
      <c r="J1754">
        <v>35</v>
      </c>
    </row>
    <row r="1755" spans="1:10" x14ac:dyDescent="0.25">
      <c r="A1755" t="s">
        <v>75</v>
      </c>
      <c r="B1755" t="s">
        <v>108</v>
      </c>
      <c r="C1755" t="s">
        <v>9</v>
      </c>
      <c r="D1755">
        <v>4.9000000000000004</v>
      </c>
      <c r="E1755" s="1">
        <v>42092151</v>
      </c>
      <c r="F1755" s="1">
        <v>2062515</v>
      </c>
      <c r="G1755" s="4">
        <f t="shared" si="82"/>
        <v>1860074.6807170289</v>
      </c>
      <c r="H1755" s="4">
        <f t="shared" si="83"/>
        <v>633220.6605245542</v>
      </c>
      <c r="I1755" s="17">
        <f t="shared" si="81"/>
        <v>0.65957245314448454</v>
      </c>
      <c r="J1755">
        <v>34.65</v>
      </c>
    </row>
    <row r="1756" spans="1:10" x14ac:dyDescent="0.25">
      <c r="A1756" t="s">
        <v>76</v>
      </c>
      <c r="B1756" t="s">
        <v>108</v>
      </c>
      <c r="C1756" t="s">
        <v>9</v>
      </c>
      <c r="D1756">
        <v>5.99</v>
      </c>
      <c r="E1756" s="1">
        <v>43728946</v>
      </c>
      <c r="F1756" s="1">
        <v>2619364</v>
      </c>
      <c r="G1756" s="4">
        <f t="shared" si="82"/>
        <v>2001782.9042151086</v>
      </c>
      <c r="H1756" s="4">
        <f t="shared" si="83"/>
        <v>569267.53341616166</v>
      </c>
      <c r="I1756" s="17">
        <f t="shared" si="81"/>
        <v>0.71561974466987999</v>
      </c>
      <c r="J1756">
        <v>36.33</v>
      </c>
    </row>
    <row r="1757" spans="1:10" x14ac:dyDescent="0.25">
      <c r="A1757" t="s">
        <v>77</v>
      </c>
      <c r="B1757" t="s">
        <v>108</v>
      </c>
      <c r="C1757" t="s">
        <v>9</v>
      </c>
      <c r="D1757">
        <v>4.0999999999999996</v>
      </c>
      <c r="E1757" s="1">
        <v>41874581</v>
      </c>
      <c r="F1757" s="1">
        <v>1716858</v>
      </c>
      <c r="G1757" s="4">
        <f t="shared" si="82"/>
        <v>2434089.6712645325</v>
      </c>
      <c r="H1757" s="4">
        <f t="shared" si="83"/>
        <v>597766.51464525785</v>
      </c>
      <c r="I1757" s="17">
        <f t="shared" si="81"/>
        <v>0.75441886069270714</v>
      </c>
      <c r="J1757">
        <v>34.03</v>
      </c>
    </row>
    <row r="1758" spans="1:10" x14ac:dyDescent="0.25">
      <c r="A1758" t="s">
        <v>78</v>
      </c>
      <c r="B1758" t="s">
        <v>108</v>
      </c>
      <c r="C1758" t="s">
        <v>9</v>
      </c>
      <c r="D1758">
        <v>4.17</v>
      </c>
      <c r="E1758" s="1">
        <v>41980265</v>
      </c>
      <c r="F1758" s="1">
        <v>1750577</v>
      </c>
      <c r="G1758" s="4">
        <f t="shared" si="82"/>
        <v>1932027.5013793595</v>
      </c>
      <c r="H1758" s="4">
        <f t="shared" si="83"/>
        <v>558811.16757129226</v>
      </c>
      <c r="I1758" s="17">
        <f t="shared" si="81"/>
        <v>0.71076438240535789</v>
      </c>
      <c r="J1758">
        <v>34.07</v>
      </c>
    </row>
    <row r="1759" spans="1:10" x14ac:dyDescent="0.25">
      <c r="A1759" t="s">
        <v>79</v>
      </c>
      <c r="B1759" t="s">
        <v>108</v>
      </c>
      <c r="C1759" t="s">
        <v>9</v>
      </c>
      <c r="D1759">
        <v>5.04</v>
      </c>
      <c r="E1759" s="1">
        <v>43266539</v>
      </c>
      <c r="F1759" s="1">
        <v>2180634</v>
      </c>
      <c r="G1759" s="4">
        <f t="shared" si="82"/>
        <v>1805012.1504138077</v>
      </c>
      <c r="H1759" s="4">
        <f t="shared" si="83"/>
        <v>556402.72123304184</v>
      </c>
      <c r="I1759" s="17">
        <f t="shared" si="81"/>
        <v>0.6917457197695408</v>
      </c>
      <c r="J1759">
        <v>35.36</v>
      </c>
    </row>
    <row r="1760" spans="1:10" x14ac:dyDescent="0.25">
      <c r="A1760" t="s">
        <v>80</v>
      </c>
      <c r="B1760" t="s">
        <v>108</v>
      </c>
      <c r="C1760" t="s">
        <v>9</v>
      </c>
      <c r="D1760">
        <v>3.99</v>
      </c>
      <c r="E1760" s="1">
        <v>44235000</v>
      </c>
      <c r="F1760" s="1">
        <v>1764977</v>
      </c>
      <c r="G1760" s="4">
        <f t="shared" si="82"/>
        <v>2067947.4451241421</v>
      </c>
      <c r="H1760" s="4">
        <f t="shared" si="83"/>
        <v>479039.77865527599</v>
      </c>
      <c r="I1760" s="17">
        <f t="shared" si="81"/>
        <v>0.76835011944584575</v>
      </c>
      <c r="J1760">
        <v>35.68</v>
      </c>
    </row>
    <row r="1761" spans="1:10" x14ac:dyDescent="0.25">
      <c r="A1761" t="s">
        <v>81</v>
      </c>
      <c r="B1761" t="s">
        <v>108</v>
      </c>
      <c r="C1761" t="s">
        <v>9</v>
      </c>
      <c r="D1761">
        <v>1.54</v>
      </c>
      <c r="E1761" s="1">
        <v>42383680</v>
      </c>
      <c r="F1761" s="1">
        <v>652709</v>
      </c>
      <c r="G1761" s="4">
        <f t="shared" si="82"/>
        <v>1855868.1335372427</v>
      </c>
      <c r="H1761" s="4">
        <f t="shared" si="83"/>
        <v>297661.52419378055</v>
      </c>
      <c r="I1761" s="17">
        <f t="shared" si="81"/>
        <v>0.83961062813959508</v>
      </c>
      <c r="J1761">
        <v>33.26</v>
      </c>
    </row>
    <row r="1762" spans="1:10" x14ac:dyDescent="0.25">
      <c r="A1762" t="s">
        <v>82</v>
      </c>
      <c r="B1762" t="s">
        <v>108</v>
      </c>
      <c r="C1762" t="s">
        <v>9</v>
      </c>
      <c r="D1762">
        <v>2.23</v>
      </c>
      <c r="E1762" s="1">
        <v>42049358</v>
      </c>
      <c r="F1762" s="1">
        <v>937701</v>
      </c>
      <c r="G1762" s="4">
        <f t="shared" si="82"/>
        <v>1013656.7400611727</v>
      </c>
      <c r="H1762" s="4">
        <f t="shared" si="83"/>
        <v>748437.20848163823</v>
      </c>
      <c r="I1762" s="17">
        <f t="shared" si="81"/>
        <v>0.26164629612538154</v>
      </c>
      <c r="J1762">
        <v>33.159999999999997</v>
      </c>
    </row>
    <row r="1763" spans="1:10" x14ac:dyDescent="0.25">
      <c r="A1763" t="s">
        <v>83</v>
      </c>
      <c r="B1763" t="s">
        <v>108</v>
      </c>
      <c r="C1763" t="s">
        <v>9</v>
      </c>
      <c r="D1763">
        <v>4.1900000000000004</v>
      </c>
      <c r="E1763" s="1">
        <v>42512634</v>
      </c>
      <c r="F1763" s="1">
        <v>1781279</v>
      </c>
      <c r="G1763" s="4">
        <f t="shared" si="82"/>
        <v>960487.72201835178</v>
      </c>
      <c r="H1763" s="4">
        <f t="shared" si="83"/>
        <v>717670.36669143348</v>
      </c>
      <c r="I1763" s="17">
        <f t="shared" si="81"/>
        <v>0.25280630846239893</v>
      </c>
      <c r="J1763">
        <v>34.14</v>
      </c>
    </row>
    <row r="1764" spans="1:10" x14ac:dyDescent="0.25">
      <c r="A1764" t="s">
        <v>84</v>
      </c>
      <c r="B1764" t="s">
        <v>108</v>
      </c>
      <c r="C1764" t="s">
        <v>9</v>
      </c>
      <c r="D1764">
        <v>1.67</v>
      </c>
      <c r="E1764" s="1">
        <v>43186335</v>
      </c>
      <c r="F1764" s="1">
        <v>721212</v>
      </c>
      <c r="G1764" s="4">
        <f t="shared" si="82"/>
        <v>1535041.6166055053</v>
      </c>
      <c r="H1764" s="4">
        <f t="shared" si="83"/>
        <v>842033.1539539831</v>
      </c>
      <c r="I1764" s="17">
        <f t="shared" si="81"/>
        <v>0.4514590713077849</v>
      </c>
      <c r="J1764">
        <v>33.72</v>
      </c>
    </row>
    <row r="1765" spans="1:10" x14ac:dyDescent="0.25">
      <c r="A1765" t="s">
        <v>7</v>
      </c>
      <c r="B1765" t="s">
        <v>109</v>
      </c>
      <c r="C1765" t="s">
        <v>9</v>
      </c>
      <c r="D1765">
        <v>0</v>
      </c>
      <c r="E1765" s="1">
        <v>3489729</v>
      </c>
      <c r="F1765">
        <v>0</v>
      </c>
      <c r="G1765" s="4">
        <f t="shared" si="82"/>
        <v>965360.88498165156</v>
      </c>
      <c r="H1765" s="4">
        <f t="shared" si="83"/>
        <v>668776.55494274304</v>
      </c>
      <c r="I1765" s="17">
        <f t="shared" si="81"/>
        <v>0.30722637995069135</v>
      </c>
      <c r="J1765">
        <v>65.86</v>
      </c>
    </row>
    <row r="1766" spans="1:10" x14ac:dyDescent="0.25">
      <c r="A1766" t="s">
        <v>10</v>
      </c>
      <c r="B1766" t="s">
        <v>109</v>
      </c>
      <c r="C1766" t="s">
        <v>9</v>
      </c>
      <c r="D1766">
        <v>4.76</v>
      </c>
      <c r="E1766" s="1">
        <v>2460661</v>
      </c>
      <c r="F1766" s="1">
        <v>117127</v>
      </c>
      <c r="G1766" s="4">
        <f t="shared" si="82"/>
        <v>289608.26549449546</v>
      </c>
      <c r="H1766" s="4">
        <f t="shared" si="83"/>
        <v>869470.8362231151</v>
      </c>
      <c r="I1766" s="17">
        <f t="shared" si="81"/>
        <v>-2.0022307365382876</v>
      </c>
      <c r="J1766">
        <v>48.68</v>
      </c>
    </row>
    <row r="1767" spans="1:10" x14ac:dyDescent="0.25">
      <c r="A1767" t="s">
        <v>11</v>
      </c>
      <c r="B1767" t="s">
        <v>109</v>
      </c>
      <c r="C1767" t="s">
        <v>9</v>
      </c>
      <c r="D1767">
        <v>1.3</v>
      </c>
      <c r="E1767" s="1">
        <v>1879939</v>
      </c>
      <c r="F1767" s="1">
        <v>24439</v>
      </c>
      <c r="G1767" s="4">
        <f t="shared" si="82"/>
        <v>168871.37964834861</v>
      </c>
      <c r="H1767" s="4">
        <f t="shared" si="83"/>
        <v>735751.33255364746</v>
      </c>
      <c r="I1767" s="17">
        <f t="shared" si="81"/>
        <v>-3.3568740545955649</v>
      </c>
      <c r="J1767">
        <v>35.81</v>
      </c>
    </row>
    <row r="1768" spans="1:10" x14ac:dyDescent="0.25">
      <c r="A1768" t="s">
        <v>12</v>
      </c>
      <c r="B1768" t="s">
        <v>109</v>
      </c>
      <c r="C1768" t="s">
        <v>9</v>
      </c>
      <c r="D1768">
        <v>0</v>
      </c>
      <c r="E1768" s="1">
        <v>3124021</v>
      </c>
      <c r="F1768">
        <v>0</v>
      </c>
      <c r="G1768" s="4">
        <f t="shared" si="82"/>
        <v>67768.713894504574</v>
      </c>
      <c r="H1768" s="4">
        <f t="shared" si="83"/>
        <v>572285.51658824552</v>
      </c>
      <c r="I1768" s="17">
        <f t="shared" si="81"/>
        <v>-7.4446861051416926</v>
      </c>
      <c r="J1768">
        <v>58.63</v>
      </c>
    </row>
    <row r="1769" spans="1:10" x14ac:dyDescent="0.25">
      <c r="A1769" t="s">
        <v>13</v>
      </c>
      <c r="B1769" t="s">
        <v>109</v>
      </c>
      <c r="C1769" t="s">
        <v>9</v>
      </c>
      <c r="D1769">
        <v>0</v>
      </c>
      <c r="E1769" s="1">
        <v>3866562</v>
      </c>
      <c r="F1769">
        <v>0</v>
      </c>
      <c r="G1769" s="4">
        <f t="shared" si="82"/>
        <v>20330.614168351371</v>
      </c>
      <c r="H1769" s="4">
        <f t="shared" si="83"/>
        <v>135650.4058482472</v>
      </c>
      <c r="I1769" s="17">
        <f t="shared" si="81"/>
        <v>-5.6722237078018987</v>
      </c>
      <c r="J1769">
        <v>72.430000000000007</v>
      </c>
    </row>
    <row r="1770" spans="1:10" x14ac:dyDescent="0.25">
      <c r="A1770" t="s">
        <v>14</v>
      </c>
      <c r="B1770" t="s">
        <v>109</v>
      </c>
      <c r="C1770" t="s">
        <v>9</v>
      </c>
      <c r="D1770">
        <v>2.3199999999999998</v>
      </c>
      <c r="E1770" s="1">
        <v>2357432</v>
      </c>
      <c r="F1770" s="1">
        <v>54692</v>
      </c>
      <c r="G1770" s="4">
        <f t="shared" si="82"/>
        <v>6099.184250505411</v>
      </c>
      <c r="H1770" s="4">
        <f t="shared" si="83"/>
        <v>92855.882503052882</v>
      </c>
      <c r="I1770" s="17">
        <f t="shared" si="81"/>
        <v>-14.22431175863532</v>
      </c>
      <c r="J1770">
        <v>45.12</v>
      </c>
    </row>
    <row r="1771" spans="1:10" x14ac:dyDescent="0.25">
      <c r="A1771" t="s">
        <v>15</v>
      </c>
      <c r="B1771" t="s">
        <v>109</v>
      </c>
      <c r="C1771" t="s">
        <v>9</v>
      </c>
      <c r="D1771">
        <v>0</v>
      </c>
      <c r="E1771" s="1">
        <v>2088677</v>
      </c>
      <c r="F1771">
        <v>0</v>
      </c>
      <c r="G1771" s="4">
        <f t="shared" si="82"/>
        <v>40114.155275151614</v>
      </c>
      <c r="H1771" s="4">
        <f t="shared" si="83"/>
        <v>49555.336738646416</v>
      </c>
      <c r="I1771" s="17">
        <f t="shared" si="81"/>
        <v>-0.23535785307544704</v>
      </c>
      <c r="J1771">
        <v>38.979999999999997</v>
      </c>
    </row>
    <row r="1772" spans="1:10" x14ac:dyDescent="0.25">
      <c r="A1772" t="s">
        <v>16</v>
      </c>
      <c r="B1772" t="s">
        <v>109</v>
      </c>
      <c r="C1772" t="s">
        <v>9</v>
      </c>
      <c r="D1772">
        <v>0</v>
      </c>
      <c r="E1772" s="1">
        <v>2573999</v>
      </c>
      <c r="F1772">
        <v>0</v>
      </c>
      <c r="G1772" s="4">
        <f t="shared" si="82"/>
        <v>12034.246582545484</v>
      </c>
      <c r="H1772" s="4">
        <f t="shared" si="83"/>
        <v>38226.260905149458</v>
      </c>
      <c r="I1772" s="17">
        <f t="shared" si="81"/>
        <v>-2.1764565104219296</v>
      </c>
      <c r="J1772">
        <v>47.94</v>
      </c>
    </row>
    <row r="1773" spans="1:10" x14ac:dyDescent="0.25">
      <c r="A1773" t="s">
        <v>17</v>
      </c>
      <c r="B1773" t="s">
        <v>109</v>
      </c>
      <c r="C1773" t="s">
        <v>9</v>
      </c>
      <c r="D1773">
        <v>0</v>
      </c>
      <c r="E1773" s="1">
        <v>2464390</v>
      </c>
      <c r="F1773">
        <v>0</v>
      </c>
      <c r="G1773" s="4">
        <f t="shared" si="82"/>
        <v>3610.2739747636451</v>
      </c>
      <c r="H1773" s="4">
        <f t="shared" si="83"/>
        <v>37037.054808721907</v>
      </c>
      <c r="I1773" s="17">
        <f t="shared" si="81"/>
        <v>-9.2587933956304855</v>
      </c>
      <c r="J1773">
        <v>45.81</v>
      </c>
    </row>
    <row r="1774" spans="1:10" x14ac:dyDescent="0.25">
      <c r="A1774" t="s">
        <v>18</v>
      </c>
      <c r="B1774" t="s">
        <v>109</v>
      </c>
      <c r="C1774" t="s">
        <v>9</v>
      </c>
      <c r="D1774">
        <v>4.82</v>
      </c>
      <c r="E1774" s="1">
        <v>2206720</v>
      </c>
      <c r="F1774" s="1">
        <v>106364</v>
      </c>
      <c r="G1774" s="4">
        <f t="shared" si="82"/>
        <v>1083.0821924290935</v>
      </c>
      <c r="H1774" s="4">
        <f t="shared" si="83"/>
        <v>24269.340208181307</v>
      </c>
      <c r="I1774" s="17">
        <f t="shared" si="81"/>
        <v>-21.407662481968242</v>
      </c>
      <c r="J1774">
        <v>43.02</v>
      </c>
    </row>
    <row r="1775" spans="1:10" x14ac:dyDescent="0.25">
      <c r="A1775" t="s">
        <v>19</v>
      </c>
      <c r="B1775" t="s">
        <v>109</v>
      </c>
      <c r="C1775" t="s">
        <v>9</v>
      </c>
      <c r="D1775">
        <v>0</v>
      </c>
      <c r="E1775" s="1">
        <v>1799930</v>
      </c>
      <c r="F1775">
        <v>0</v>
      </c>
      <c r="G1775" s="4">
        <f t="shared" si="82"/>
        <v>74779.724657728715</v>
      </c>
      <c r="H1775" s="4">
        <f t="shared" si="83"/>
        <v>61215.27266782058</v>
      </c>
      <c r="I1775" s="17">
        <f t="shared" si="81"/>
        <v>0.18139210931831382</v>
      </c>
      <c r="J1775">
        <v>33.33</v>
      </c>
    </row>
    <row r="1776" spans="1:10" x14ac:dyDescent="0.25">
      <c r="A1776" t="s">
        <v>20</v>
      </c>
      <c r="B1776" t="s">
        <v>109</v>
      </c>
      <c r="C1776" t="s">
        <v>9</v>
      </c>
      <c r="D1776">
        <v>0</v>
      </c>
      <c r="E1776" s="1">
        <v>2462880</v>
      </c>
      <c r="F1776">
        <v>0</v>
      </c>
      <c r="G1776" s="4">
        <f t="shared" si="82"/>
        <v>22433.917397318615</v>
      </c>
      <c r="H1776" s="4">
        <f t="shared" si="83"/>
        <v>74585.773783081619</v>
      </c>
      <c r="I1776" s="17">
        <f t="shared" si="81"/>
        <v>-2.3246879027911724</v>
      </c>
      <c r="J1776">
        <v>45.52</v>
      </c>
    </row>
    <row r="1777" spans="1:10" x14ac:dyDescent="0.25">
      <c r="A1777" t="s">
        <v>21</v>
      </c>
      <c r="B1777" t="s">
        <v>109</v>
      </c>
      <c r="C1777" t="s">
        <v>9</v>
      </c>
      <c r="D1777">
        <v>0</v>
      </c>
      <c r="E1777" s="1">
        <v>2900105</v>
      </c>
      <c r="F1777">
        <v>0</v>
      </c>
      <c r="G1777" s="4">
        <f t="shared" si="82"/>
        <v>6730.1752191955848</v>
      </c>
      <c r="H1777" s="4">
        <f t="shared" si="83"/>
        <v>75673.331991483719</v>
      </c>
      <c r="I1777" s="17">
        <f t="shared" si="81"/>
        <v>-10.243887347189821</v>
      </c>
      <c r="J1777">
        <v>53.5</v>
      </c>
    </row>
    <row r="1778" spans="1:10" x14ac:dyDescent="0.25">
      <c r="A1778" t="s">
        <v>22</v>
      </c>
      <c r="B1778" t="s">
        <v>109</v>
      </c>
      <c r="C1778" t="s">
        <v>9</v>
      </c>
      <c r="D1778">
        <v>3.43</v>
      </c>
      <c r="E1778" s="1">
        <v>2227459</v>
      </c>
      <c r="F1778" s="1">
        <v>76402</v>
      </c>
      <c r="G1778" s="4">
        <f t="shared" si="82"/>
        <v>2019.0525657586754</v>
      </c>
      <c r="H1778" s="4">
        <f t="shared" si="83"/>
        <v>45242.248426872386</v>
      </c>
      <c r="I1778" s="17">
        <f t="shared" si="81"/>
        <v>-21.407662481968242</v>
      </c>
      <c r="J1778">
        <v>42.48</v>
      </c>
    </row>
    <row r="1779" spans="1:10" x14ac:dyDescent="0.25">
      <c r="A1779" t="s">
        <v>23</v>
      </c>
      <c r="B1779" t="s">
        <v>109</v>
      </c>
      <c r="C1779" t="s">
        <v>9</v>
      </c>
      <c r="D1779">
        <v>0</v>
      </c>
      <c r="E1779" s="1">
        <v>2055971</v>
      </c>
      <c r="F1779">
        <v>0</v>
      </c>
      <c r="G1779" s="4">
        <f t="shared" si="82"/>
        <v>54087.115769727599</v>
      </c>
      <c r="H1779" s="4">
        <f t="shared" si="83"/>
        <v>45023.692937814783</v>
      </c>
      <c r="I1779" s="17">
        <f t="shared" si="81"/>
        <v>0.16757082907692386</v>
      </c>
      <c r="J1779">
        <v>37.79</v>
      </c>
    </row>
    <row r="1780" spans="1:10" x14ac:dyDescent="0.25">
      <c r="A1780" t="s">
        <v>24</v>
      </c>
      <c r="B1780" t="s">
        <v>109</v>
      </c>
      <c r="C1780" t="s">
        <v>9</v>
      </c>
      <c r="D1780">
        <v>0</v>
      </c>
      <c r="E1780" s="1">
        <v>2278360</v>
      </c>
      <c r="F1780">
        <v>0</v>
      </c>
      <c r="G1780" s="4">
        <f t="shared" si="82"/>
        <v>16226.134730918278</v>
      </c>
      <c r="H1780" s="4">
        <f t="shared" si="83"/>
        <v>53240.129663547646</v>
      </c>
      <c r="I1780" s="17">
        <f t="shared" si="81"/>
        <v>-2.2811344504677766</v>
      </c>
      <c r="J1780">
        <v>41.8</v>
      </c>
    </row>
    <row r="1781" spans="1:10" x14ac:dyDescent="0.25">
      <c r="A1781" t="s">
        <v>25</v>
      </c>
      <c r="B1781" t="s">
        <v>109</v>
      </c>
      <c r="C1781" t="s">
        <v>9</v>
      </c>
      <c r="D1781">
        <v>0</v>
      </c>
      <c r="E1781" s="1">
        <v>2470733</v>
      </c>
      <c r="F1781">
        <v>0</v>
      </c>
      <c r="G1781" s="4">
        <f t="shared" si="82"/>
        <v>4867.8404192754833</v>
      </c>
      <c r="H1781" s="4">
        <f t="shared" si="83"/>
        <v>53918.229476368309</v>
      </c>
      <c r="I1781" s="17">
        <f t="shared" si="81"/>
        <v>-10.076416815733117</v>
      </c>
      <c r="J1781">
        <v>45.24</v>
      </c>
    </row>
    <row r="1782" spans="1:10" x14ac:dyDescent="0.25">
      <c r="A1782" t="s">
        <v>26</v>
      </c>
      <c r="B1782" t="s">
        <v>109</v>
      </c>
      <c r="C1782" t="s">
        <v>9</v>
      </c>
      <c r="D1782">
        <v>2.17</v>
      </c>
      <c r="E1782" s="1">
        <v>2046275</v>
      </c>
      <c r="F1782" s="1">
        <v>44404</v>
      </c>
      <c r="G1782" s="4">
        <f t="shared" si="82"/>
        <v>1460.3521257826449</v>
      </c>
      <c r="H1782" s="4">
        <f t="shared" si="83"/>
        <v>32723.077539362344</v>
      </c>
      <c r="I1782" s="17">
        <f t="shared" si="81"/>
        <v>-21.407662481968249</v>
      </c>
      <c r="J1782">
        <v>38.229999999999997</v>
      </c>
    </row>
    <row r="1783" spans="1:10" x14ac:dyDescent="0.25">
      <c r="A1783" t="s">
        <v>27</v>
      </c>
      <c r="B1783" t="s">
        <v>109</v>
      </c>
      <c r="C1783" t="s">
        <v>9</v>
      </c>
      <c r="D1783">
        <v>0</v>
      </c>
      <c r="E1783" s="1">
        <v>2017383</v>
      </c>
      <c r="F1783">
        <v>0</v>
      </c>
      <c r="G1783" s="4">
        <f t="shared" si="82"/>
        <v>31520.905637734792</v>
      </c>
      <c r="H1783" s="4">
        <f t="shared" si="83"/>
        <v>26652.956129969381</v>
      </c>
      <c r="I1783" s="17">
        <f t="shared" si="81"/>
        <v>0.1544355851862903</v>
      </c>
      <c r="J1783">
        <v>36.799999999999997</v>
      </c>
    </row>
    <row r="1784" spans="1:10" x14ac:dyDescent="0.25">
      <c r="A1784" t="s">
        <v>28</v>
      </c>
      <c r="B1784" t="s">
        <v>109</v>
      </c>
      <c r="C1784" t="s">
        <v>9</v>
      </c>
      <c r="D1784">
        <v>0</v>
      </c>
      <c r="E1784" s="1">
        <v>2315762</v>
      </c>
      <c r="F1784">
        <v>0</v>
      </c>
      <c r="G1784" s="4">
        <f t="shared" si="82"/>
        <v>9456.2716913204367</v>
      </c>
      <c r="H1784" s="4">
        <f t="shared" si="83"/>
        <v>30883.761943321639</v>
      </c>
      <c r="I1784" s="17">
        <f t="shared" si="81"/>
        <v>-2.2659554369264483</v>
      </c>
      <c r="J1784">
        <v>42.16</v>
      </c>
    </row>
    <row r="1785" spans="1:10" x14ac:dyDescent="0.25">
      <c r="A1785" t="s">
        <v>29</v>
      </c>
      <c r="B1785" t="s">
        <v>109</v>
      </c>
      <c r="C1785" t="s">
        <v>9</v>
      </c>
      <c r="D1785">
        <v>0</v>
      </c>
      <c r="E1785" s="1">
        <v>2325614</v>
      </c>
      <c r="F1785">
        <v>0</v>
      </c>
      <c r="G1785" s="4">
        <f t="shared" si="82"/>
        <v>2836.8815073961309</v>
      </c>
      <c r="H1785" s="4">
        <f t="shared" si="83"/>
        <v>31236.439507236963</v>
      </c>
      <c r="I1785" s="17">
        <f t="shared" si="81"/>
        <v>-10.010836873446907</v>
      </c>
      <c r="J1785">
        <v>42.26</v>
      </c>
    </row>
    <row r="1786" spans="1:10" x14ac:dyDescent="0.25">
      <c r="A1786" t="s">
        <v>30</v>
      </c>
      <c r="B1786" t="s">
        <v>109</v>
      </c>
      <c r="C1786" t="s">
        <v>9</v>
      </c>
      <c r="D1786">
        <v>1.46</v>
      </c>
      <c r="E1786" s="1">
        <v>1985529</v>
      </c>
      <c r="F1786" s="1">
        <v>28989</v>
      </c>
      <c r="G1786" s="4">
        <f t="shared" si="82"/>
        <v>851.06445221883928</v>
      </c>
      <c r="H1786" s="4">
        <f t="shared" si="83"/>
        <v>19070.364995720942</v>
      </c>
      <c r="I1786" s="17">
        <f t="shared" si="81"/>
        <v>-21.407662481968249</v>
      </c>
      <c r="J1786">
        <v>36.54</v>
      </c>
    </row>
    <row r="1787" spans="1:10" x14ac:dyDescent="0.25">
      <c r="A1787" t="s">
        <v>31</v>
      </c>
      <c r="B1787" t="s">
        <v>109</v>
      </c>
      <c r="C1787" t="s">
        <v>9</v>
      </c>
      <c r="D1787">
        <v>3.73</v>
      </c>
      <c r="E1787" s="1">
        <v>2036233</v>
      </c>
      <c r="F1787" s="1">
        <v>75951</v>
      </c>
      <c r="G1787" s="4">
        <f t="shared" si="82"/>
        <v>20547.619335665651</v>
      </c>
      <c r="H1787" s="4">
        <f t="shared" si="83"/>
        <v>17216.391297037844</v>
      </c>
      <c r="I1787" s="17">
        <f t="shared" si="81"/>
        <v>0.16212233564428596</v>
      </c>
      <c r="J1787">
        <v>38.29</v>
      </c>
    </row>
    <row r="1788" spans="1:10" x14ac:dyDescent="0.25">
      <c r="A1788" t="s">
        <v>32</v>
      </c>
      <c r="B1788" t="s">
        <v>109</v>
      </c>
      <c r="C1788" t="s">
        <v>9</v>
      </c>
      <c r="D1788">
        <v>1.1399999999999999</v>
      </c>
      <c r="E1788" s="1">
        <v>1937959</v>
      </c>
      <c r="F1788" s="1">
        <v>22093</v>
      </c>
      <c r="G1788" s="4">
        <f t="shared" si="82"/>
        <v>59329.985800699695</v>
      </c>
      <c r="H1788" s="4">
        <f t="shared" si="83"/>
        <v>35913.441785378127</v>
      </c>
      <c r="I1788" s="17">
        <f t="shared" si="81"/>
        <v>0.39468312185312221</v>
      </c>
      <c r="J1788">
        <v>35.409999999999997</v>
      </c>
    </row>
    <row r="1789" spans="1:10" x14ac:dyDescent="0.25">
      <c r="A1789" t="s">
        <v>33</v>
      </c>
      <c r="B1789" t="s">
        <v>109</v>
      </c>
      <c r="C1789" t="s">
        <v>9</v>
      </c>
      <c r="D1789">
        <v>0.56000000000000005</v>
      </c>
      <c r="E1789" s="1">
        <v>2062357</v>
      </c>
      <c r="F1789" s="1">
        <v>11549</v>
      </c>
      <c r="G1789" s="4">
        <f t="shared" si="82"/>
        <v>33264.095740209901</v>
      </c>
      <c r="H1789" s="4">
        <f t="shared" si="83"/>
        <v>41824.518795596974</v>
      </c>
      <c r="I1789" s="17">
        <f t="shared" si="81"/>
        <v>-0.25734723475555554</v>
      </c>
      <c r="J1789">
        <v>37.39</v>
      </c>
    </row>
    <row r="1790" spans="1:10" x14ac:dyDescent="0.25">
      <c r="A1790" t="s">
        <v>34</v>
      </c>
      <c r="B1790" t="s">
        <v>109</v>
      </c>
      <c r="C1790" t="s">
        <v>9</v>
      </c>
      <c r="D1790">
        <v>1.02</v>
      </c>
      <c r="E1790" s="1">
        <v>2025083</v>
      </c>
      <c r="F1790" s="1">
        <v>20656</v>
      </c>
      <c r="G1790" s="4">
        <f t="shared" si="82"/>
        <v>18063.528722062969</v>
      </c>
      <c r="H1790" s="4">
        <f t="shared" si="83"/>
        <v>40528.480042085343</v>
      </c>
      <c r="I1790" s="17">
        <f t="shared" si="81"/>
        <v>-1.2436634981836889</v>
      </c>
      <c r="J1790">
        <v>36.82</v>
      </c>
    </row>
    <row r="1791" spans="1:10" x14ac:dyDescent="0.25">
      <c r="A1791" t="s">
        <v>35</v>
      </c>
      <c r="B1791" t="s">
        <v>109</v>
      </c>
      <c r="C1791" t="s">
        <v>9</v>
      </c>
      <c r="D1791">
        <v>3</v>
      </c>
      <c r="E1791" s="1">
        <v>2092959</v>
      </c>
      <c r="F1791" s="1">
        <v>62789</v>
      </c>
      <c r="G1791" s="4">
        <f t="shared" si="82"/>
        <v>19878.258616618888</v>
      </c>
      <c r="H1791" s="4">
        <f t="shared" si="83"/>
        <v>24932.304358368223</v>
      </c>
      <c r="I1791" s="17">
        <f t="shared" si="81"/>
        <v>-0.2542499239608435</v>
      </c>
      <c r="J1791">
        <v>38.76</v>
      </c>
    </row>
    <row r="1792" spans="1:10" x14ac:dyDescent="0.25">
      <c r="A1792" t="s">
        <v>36</v>
      </c>
      <c r="B1792" t="s">
        <v>109</v>
      </c>
      <c r="C1792" t="s">
        <v>9</v>
      </c>
      <c r="D1792">
        <v>0.46</v>
      </c>
      <c r="E1792" s="1">
        <v>1918046</v>
      </c>
      <c r="F1792" s="1">
        <v>8823</v>
      </c>
      <c r="G1792" s="4">
        <f t="shared" si="82"/>
        <v>49915.777584985663</v>
      </c>
      <c r="H1792" s="4">
        <f t="shared" si="83"/>
        <v>27806.462177012181</v>
      </c>
      <c r="I1792" s="17">
        <f t="shared" si="81"/>
        <v>0.44293240489603869</v>
      </c>
      <c r="J1792">
        <v>34.549999999999997</v>
      </c>
    </row>
    <row r="1793" spans="1:10" x14ac:dyDescent="0.25">
      <c r="A1793" t="s">
        <v>37</v>
      </c>
      <c r="B1793" t="s">
        <v>109</v>
      </c>
      <c r="C1793" t="s">
        <v>9</v>
      </c>
      <c r="D1793">
        <v>1.02</v>
      </c>
      <c r="E1793" s="1">
        <v>2142532</v>
      </c>
      <c r="F1793" s="1">
        <v>21854</v>
      </c>
      <c r="G1793" s="4">
        <f t="shared" si="82"/>
        <v>21150.833275495697</v>
      </c>
      <c r="H1793" s="4">
        <f t="shared" si="83"/>
        <v>34334.962759299473</v>
      </c>
      <c r="I1793" s="17">
        <f t="shared" si="81"/>
        <v>-0.62333853763947222</v>
      </c>
      <c r="J1793">
        <v>38.74</v>
      </c>
    </row>
    <row r="1794" spans="1:10" x14ac:dyDescent="0.25">
      <c r="A1794" t="s">
        <v>38</v>
      </c>
      <c r="B1794" t="s">
        <v>109</v>
      </c>
      <c r="C1794" t="s">
        <v>9</v>
      </c>
      <c r="D1794">
        <v>1.05</v>
      </c>
      <c r="E1794" s="1">
        <v>1963765</v>
      </c>
      <c r="F1794" s="1">
        <v>20620</v>
      </c>
      <c r="G1794" s="4">
        <f t="shared" si="82"/>
        <v>21643.049982648707</v>
      </c>
      <c r="H1794" s="4">
        <f t="shared" si="83"/>
        <v>34304.725326418062</v>
      </c>
      <c r="I1794" s="17">
        <f t="shared" si="81"/>
        <v>-0.58502269106804516</v>
      </c>
      <c r="J1794">
        <v>35.450000000000003</v>
      </c>
    </row>
    <row r="1795" spans="1:10" x14ac:dyDescent="0.25">
      <c r="A1795" t="s">
        <v>39</v>
      </c>
      <c r="B1795" t="s">
        <v>109</v>
      </c>
      <c r="C1795" t="s">
        <v>9</v>
      </c>
      <c r="D1795">
        <v>3.03</v>
      </c>
      <c r="E1795" s="1">
        <v>2045727</v>
      </c>
      <c r="F1795" s="1">
        <v>61986</v>
      </c>
      <c r="G1795" s="4">
        <f t="shared" si="82"/>
        <v>20926.91499479461</v>
      </c>
      <c r="H1795" s="4">
        <f t="shared" si="83"/>
        <v>23735.749720330776</v>
      </c>
      <c r="I1795" s="17">
        <f t="shared" ref="I1795:I1858" si="84">(G1795-H1795)/G1795</f>
        <v>-0.13422115616347843</v>
      </c>
      <c r="J1795">
        <v>37.61</v>
      </c>
    </row>
    <row r="1796" spans="1:10" x14ac:dyDescent="0.25">
      <c r="A1796" t="s">
        <v>40</v>
      </c>
      <c r="B1796" t="s">
        <v>109</v>
      </c>
      <c r="C1796" t="s">
        <v>9</v>
      </c>
      <c r="D1796">
        <v>0.46</v>
      </c>
      <c r="E1796" s="1">
        <v>1930445</v>
      </c>
      <c r="F1796" s="1">
        <v>8880</v>
      </c>
      <c r="G1796" s="4">
        <f t="shared" ref="G1796:G1859" si="85">0.7*F1795+0.3*G1795</f>
        <v>49668.274498438383</v>
      </c>
      <c r="H1796" s="4">
        <f t="shared" si="83"/>
        <v>23716.306177917122</v>
      </c>
      <c r="I1796" s="17">
        <f t="shared" si="84"/>
        <v>0.52250593729277262</v>
      </c>
      <c r="J1796">
        <v>34.5</v>
      </c>
    </row>
    <row r="1797" spans="1:10" x14ac:dyDescent="0.25">
      <c r="A1797" t="s">
        <v>41</v>
      </c>
      <c r="B1797" t="s">
        <v>109</v>
      </c>
      <c r="C1797" t="s">
        <v>9</v>
      </c>
      <c r="D1797">
        <v>1.55</v>
      </c>
      <c r="E1797" s="1">
        <v>2109007</v>
      </c>
      <c r="F1797" s="1">
        <v>32690</v>
      </c>
      <c r="G1797" s="4">
        <f t="shared" si="85"/>
        <v>21116.482349531514</v>
      </c>
      <c r="H1797" s="4">
        <f t="shared" si="83"/>
        <v>33419.44757817738</v>
      </c>
      <c r="I1797" s="17">
        <f t="shared" si="84"/>
        <v>-0.58262380187194474</v>
      </c>
      <c r="J1797">
        <v>38.04</v>
      </c>
    </row>
    <row r="1798" spans="1:10" x14ac:dyDescent="0.25">
      <c r="A1798" t="s">
        <v>42</v>
      </c>
      <c r="B1798" t="s">
        <v>109</v>
      </c>
      <c r="C1798" t="s">
        <v>9</v>
      </c>
      <c r="D1798">
        <v>4.66</v>
      </c>
      <c r="E1798" s="1">
        <v>1940566</v>
      </c>
      <c r="F1798" s="1">
        <v>90430</v>
      </c>
      <c r="G1798" s="4">
        <f t="shared" si="85"/>
        <v>29217.944704859452</v>
      </c>
      <c r="H1798" s="4">
        <f t="shared" ref="H1798:H1861" si="86">SQRT(SUMXMY2(F1795:F1797,G1795:G1797)/3)</f>
        <v>34075.788613179822</v>
      </c>
      <c r="I1798" s="17">
        <f t="shared" si="84"/>
        <v>-0.16626234176945465</v>
      </c>
      <c r="J1798">
        <v>36.07</v>
      </c>
    </row>
    <row r="1799" spans="1:10" x14ac:dyDescent="0.25">
      <c r="A1799" t="s">
        <v>43</v>
      </c>
      <c r="B1799" t="s">
        <v>109</v>
      </c>
      <c r="C1799" t="s">
        <v>9</v>
      </c>
      <c r="D1799">
        <v>4.58</v>
      </c>
      <c r="E1799" s="1">
        <v>2030567</v>
      </c>
      <c r="F1799" s="1">
        <v>93000</v>
      </c>
      <c r="G1799" s="4">
        <f t="shared" si="85"/>
        <v>72066.38341145782</v>
      </c>
      <c r="H1799" s="4">
        <f t="shared" si="86"/>
        <v>42990.484841884907</v>
      </c>
      <c r="I1799" s="17">
        <f t="shared" si="84"/>
        <v>0.40345993781269923</v>
      </c>
      <c r="J1799">
        <v>37.64</v>
      </c>
    </row>
    <row r="1800" spans="1:10" x14ac:dyDescent="0.25">
      <c r="A1800" t="s">
        <v>44</v>
      </c>
      <c r="B1800" t="s">
        <v>109</v>
      </c>
      <c r="C1800" t="s">
        <v>9</v>
      </c>
      <c r="D1800">
        <v>4.82</v>
      </c>
      <c r="E1800" s="1">
        <v>1958292</v>
      </c>
      <c r="F1800" s="1">
        <v>94390</v>
      </c>
      <c r="G1800" s="4">
        <f t="shared" si="85"/>
        <v>86719.915023437337</v>
      </c>
      <c r="H1800" s="4">
        <f t="shared" si="86"/>
        <v>37943.283673298218</v>
      </c>
      <c r="I1800" s="17">
        <f t="shared" si="84"/>
        <v>0.56246170602169654</v>
      </c>
      <c r="J1800">
        <v>36.32</v>
      </c>
    </row>
    <row r="1801" spans="1:10" x14ac:dyDescent="0.25">
      <c r="A1801" t="s">
        <v>45</v>
      </c>
      <c r="B1801" t="s">
        <v>109</v>
      </c>
      <c r="C1801" t="s">
        <v>9</v>
      </c>
      <c r="D1801">
        <v>1.71</v>
      </c>
      <c r="E1801" s="1">
        <v>2164406</v>
      </c>
      <c r="F1801" s="1">
        <v>37011</v>
      </c>
      <c r="G1801" s="4">
        <f t="shared" si="85"/>
        <v>92088.974507031206</v>
      </c>
      <c r="H1801" s="4">
        <f t="shared" si="86"/>
        <v>37611.887396048631</v>
      </c>
      <c r="I1801" s="17">
        <f t="shared" si="84"/>
        <v>0.59157013532410574</v>
      </c>
      <c r="J1801">
        <v>38.799999999999997</v>
      </c>
    </row>
    <row r="1802" spans="1:10" x14ac:dyDescent="0.25">
      <c r="A1802" t="s">
        <v>46</v>
      </c>
      <c r="B1802" t="s">
        <v>109</v>
      </c>
      <c r="C1802" t="s">
        <v>9</v>
      </c>
      <c r="D1802">
        <v>5.29</v>
      </c>
      <c r="E1802" s="1">
        <v>1958058</v>
      </c>
      <c r="F1802" s="1">
        <v>103581</v>
      </c>
      <c r="G1802" s="4">
        <f t="shared" si="85"/>
        <v>53534.392352109353</v>
      </c>
      <c r="H1802" s="4">
        <f t="shared" si="86"/>
        <v>34305.635022160037</v>
      </c>
      <c r="I1802" s="17">
        <f t="shared" si="84"/>
        <v>0.35918512352726217</v>
      </c>
      <c r="J1802">
        <v>36.36</v>
      </c>
    </row>
    <row r="1803" spans="1:10" x14ac:dyDescent="0.25">
      <c r="A1803" t="s">
        <v>47</v>
      </c>
      <c r="B1803" t="s">
        <v>109</v>
      </c>
      <c r="C1803" t="s">
        <v>9</v>
      </c>
      <c r="D1803">
        <v>5.04</v>
      </c>
      <c r="E1803" s="1">
        <v>1968509</v>
      </c>
      <c r="F1803" s="1">
        <v>99213</v>
      </c>
      <c r="G1803" s="4">
        <f t="shared" si="85"/>
        <v>88567.01770563281</v>
      </c>
      <c r="H1803" s="4">
        <f t="shared" si="86"/>
        <v>43193.658548475141</v>
      </c>
      <c r="I1803" s="17">
        <f t="shared" si="84"/>
        <v>0.51230537430946999</v>
      </c>
      <c r="J1803">
        <v>36.39</v>
      </c>
    </row>
    <row r="1804" spans="1:10" x14ac:dyDescent="0.25">
      <c r="A1804" t="s">
        <v>48</v>
      </c>
      <c r="B1804" t="s">
        <v>109</v>
      </c>
      <c r="C1804" t="s">
        <v>9</v>
      </c>
      <c r="D1804">
        <v>6.11</v>
      </c>
      <c r="E1804" s="1">
        <v>1902434</v>
      </c>
      <c r="F1804" s="1">
        <v>116239</v>
      </c>
      <c r="G1804" s="4">
        <f t="shared" si="85"/>
        <v>96019.205311689831</v>
      </c>
      <c r="H1804" s="4">
        <f t="shared" si="86"/>
        <v>43403.468186582613</v>
      </c>
      <c r="I1804" s="17">
        <f t="shared" si="84"/>
        <v>0.54797097053980226</v>
      </c>
      <c r="J1804">
        <v>35.5</v>
      </c>
    </row>
    <row r="1805" spans="1:10" x14ac:dyDescent="0.25">
      <c r="A1805" t="s">
        <v>49</v>
      </c>
      <c r="B1805" t="s">
        <v>109</v>
      </c>
      <c r="C1805" t="s">
        <v>9</v>
      </c>
      <c r="D1805">
        <v>1.63</v>
      </c>
      <c r="E1805" s="1">
        <v>2108044</v>
      </c>
      <c r="F1805" s="1">
        <v>34361</v>
      </c>
      <c r="G1805" s="4">
        <f t="shared" si="85"/>
        <v>110173.06159350694</v>
      </c>
      <c r="H1805" s="4">
        <f t="shared" si="86"/>
        <v>31763.920692673226</v>
      </c>
      <c r="I1805" s="17">
        <f t="shared" si="84"/>
        <v>0.71169067798198282</v>
      </c>
      <c r="J1805">
        <v>37.47</v>
      </c>
    </row>
    <row r="1806" spans="1:10" x14ac:dyDescent="0.25">
      <c r="A1806" t="s">
        <v>50</v>
      </c>
      <c r="B1806" t="s">
        <v>109</v>
      </c>
      <c r="C1806" t="s">
        <v>9</v>
      </c>
      <c r="D1806">
        <v>4.6500000000000004</v>
      </c>
      <c r="E1806" s="1">
        <v>2021553</v>
      </c>
      <c r="F1806" s="1">
        <v>94002</v>
      </c>
      <c r="G1806" s="4">
        <f t="shared" si="85"/>
        <v>57104.618478052078</v>
      </c>
      <c r="H1806" s="4">
        <f t="shared" si="86"/>
        <v>45715.226199108925</v>
      </c>
      <c r="I1806" s="17">
        <f t="shared" si="84"/>
        <v>0.19944783070953565</v>
      </c>
      <c r="J1806">
        <v>37.01</v>
      </c>
    </row>
    <row r="1807" spans="1:10" x14ac:dyDescent="0.25">
      <c r="A1807" t="s">
        <v>51</v>
      </c>
      <c r="B1807" t="s">
        <v>109</v>
      </c>
      <c r="C1807" t="s">
        <v>9</v>
      </c>
      <c r="D1807">
        <v>5.74</v>
      </c>
      <c r="E1807" s="1">
        <v>2000524</v>
      </c>
      <c r="F1807" s="1">
        <v>114830</v>
      </c>
      <c r="G1807" s="4">
        <f t="shared" si="85"/>
        <v>82932.785543415608</v>
      </c>
      <c r="H1807" s="4">
        <f t="shared" si="86"/>
        <v>50059.050275553869</v>
      </c>
      <c r="I1807" s="17">
        <f t="shared" si="84"/>
        <v>0.39639010136289493</v>
      </c>
      <c r="J1807">
        <v>36.97</v>
      </c>
    </row>
    <row r="1808" spans="1:10" x14ac:dyDescent="0.25">
      <c r="A1808" t="s">
        <v>52</v>
      </c>
      <c r="B1808" t="s">
        <v>109</v>
      </c>
      <c r="C1808" t="s">
        <v>9</v>
      </c>
      <c r="D1808">
        <v>6.11</v>
      </c>
      <c r="E1808" s="1">
        <v>1911380</v>
      </c>
      <c r="F1808" s="1">
        <v>116785</v>
      </c>
      <c r="G1808" s="4">
        <f t="shared" si="85"/>
        <v>105260.83566302469</v>
      </c>
      <c r="H1808" s="4">
        <f t="shared" si="86"/>
        <v>52045.86994925153</v>
      </c>
      <c r="I1808" s="17">
        <f t="shared" si="84"/>
        <v>0.50555332739455106</v>
      </c>
      <c r="J1808">
        <v>35.39</v>
      </c>
    </row>
    <row r="1809" spans="1:10" x14ac:dyDescent="0.25">
      <c r="A1809" t="s">
        <v>53</v>
      </c>
      <c r="B1809" t="s">
        <v>109</v>
      </c>
      <c r="C1809" t="s">
        <v>9</v>
      </c>
      <c r="D1809">
        <v>3.47</v>
      </c>
      <c r="E1809" s="1">
        <v>2157845</v>
      </c>
      <c r="F1809" s="1">
        <v>74877</v>
      </c>
      <c r="G1809" s="4">
        <f t="shared" si="85"/>
        <v>113327.7506989074</v>
      </c>
      <c r="H1809" s="4">
        <f t="shared" si="86"/>
        <v>28934.727790500776</v>
      </c>
      <c r="I1809" s="17">
        <f t="shared" si="84"/>
        <v>0.74468100167826112</v>
      </c>
      <c r="J1809">
        <v>38.79</v>
      </c>
    </row>
    <row r="1810" spans="1:10" x14ac:dyDescent="0.25">
      <c r="A1810" t="s">
        <v>54</v>
      </c>
      <c r="B1810" t="s">
        <v>109</v>
      </c>
      <c r="C1810" t="s">
        <v>9</v>
      </c>
      <c r="D1810">
        <v>4.83</v>
      </c>
      <c r="E1810" s="1">
        <v>2027663</v>
      </c>
      <c r="F1810" s="1">
        <v>97936</v>
      </c>
      <c r="G1810" s="4">
        <f t="shared" si="85"/>
        <v>86412.225209672208</v>
      </c>
      <c r="H1810" s="4">
        <f t="shared" si="86"/>
        <v>29601.232424030804</v>
      </c>
      <c r="I1810" s="17">
        <f t="shared" si="84"/>
        <v>0.65744161370447485</v>
      </c>
      <c r="J1810">
        <v>36.9</v>
      </c>
    </row>
    <row r="1811" spans="1:10" x14ac:dyDescent="0.25">
      <c r="A1811" t="s">
        <v>55</v>
      </c>
      <c r="B1811" t="s">
        <v>109</v>
      </c>
      <c r="C1811" t="s">
        <v>9</v>
      </c>
      <c r="D1811">
        <v>5.56</v>
      </c>
      <c r="E1811" s="1">
        <v>2007113</v>
      </c>
      <c r="F1811" s="1">
        <v>111595</v>
      </c>
      <c r="G1811" s="4">
        <f t="shared" si="85"/>
        <v>94478.867562901665</v>
      </c>
      <c r="H1811" s="4">
        <f t="shared" si="86"/>
        <v>24111.297340965404</v>
      </c>
      <c r="I1811" s="17">
        <f t="shared" si="84"/>
        <v>0.7447969269433431</v>
      </c>
      <c r="J1811">
        <v>36.729999999999997</v>
      </c>
    </row>
    <row r="1812" spans="1:10" x14ac:dyDescent="0.25">
      <c r="A1812" t="s">
        <v>56</v>
      </c>
      <c r="B1812" t="s">
        <v>109</v>
      </c>
      <c r="C1812" t="s">
        <v>9</v>
      </c>
      <c r="D1812">
        <v>4.5199999999999996</v>
      </c>
      <c r="E1812" s="1">
        <v>1947566</v>
      </c>
      <c r="F1812" s="1">
        <v>88030</v>
      </c>
      <c r="G1812" s="4">
        <f t="shared" si="85"/>
        <v>106460.1602688705</v>
      </c>
      <c r="H1812" s="4">
        <f t="shared" si="86"/>
        <v>25194.044298418441</v>
      </c>
      <c r="I1812" s="17">
        <f t="shared" si="84"/>
        <v>0.76334767640035839</v>
      </c>
      <c r="J1812">
        <v>35.19</v>
      </c>
    </row>
    <row r="1813" spans="1:10" x14ac:dyDescent="0.25">
      <c r="A1813" t="s">
        <v>57</v>
      </c>
      <c r="B1813" t="s">
        <v>109</v>
      </c>
      <c r="C1813" t="s">
        <v>9</v>
      </c>
      <c r="D1813">
        <v>4.17</v>
      </c>
      <c r="E1813" s="1">
        <v>1986386</v>
      </c>
      <c r="F1813" s="1">
        <v>82832</v>
      </c>
      <c r="G1813" s="4">
        <f t="shared" si="85"/>
        <v>93559.048080661145</v>
      </c>
      <c r="H1813" s="4">
        <f t="shared" si="86"/>
        <v>15973.208637786138</v>
      </c>
      <c r="I1813" s="17">
        <f t="shared" si="84"/>
        <v>0.8292713642830678</v>
      </c>
      <c r="J1813">
        <v>35.69</v>
      </c>
    </row>
    <row r="1814" spans="1:10" x14ac:dyDescent="0.25">
      <c r="A1814" t="s">
        <v>58</v>
      </c>
      <c r="B1814" t="s">
        <v>109</v>
      </c>
      <c r="C1814" t="s">
        <v>9</v>
      </c>
      <c r="D1814">
        <v>4.8499999999999996</v>
      </c>
      <c r="E1814" s="1">
        <v>2057523</v>
      </c>
      <c r="F1814" s="1">
        <v>99790</v>
      </c>
      <c r="G1814" s="4">
        <f t="shared" si="85"/>
        <v>86050.114424198342</v>
      </c>
      <c r="H1814" s="4">
        <f t="shared" si="86"/>
        <v>15787.150446543106</v>
      </c>
      <c r="I1814" s="17">
        <f t="shared" si="84"/>
        <v>0.8165353927512784</v>
      </c>
      <c r="J1814">
        <v>37.159999999999997</v>
      </c>
    </row>
    <row r="1815" spans="1:10" x14ac:dyDescent="0.25">
      <c r="A1815" t="s">
        <v>60</v>
      </c>
      <c r="B1815" t="s">
        <v>109</v>
      </c>
      <c r="C1815" t="s">
        <v>9</v>
      </c>
      <c r="D1815">
        <v>3.66</v>
      </c>
      <c r="E1815" s="1">
        <v>1972074</v>
      </c>
      <c r="F1815" s="1">
        <v>72178</v>
      </c>
      <c r="G1815" s="4">
        <f t="shared" si="85"/>
        <v>95668.034327259506</v>
      </c>
      <c r="H1815" s="4">
        <f t="shared" si="86"/>
        <v>14646.101002168816</v>
      </c>
      <c r="I1815" s="17">
        <f t="shared" si="84"/>
        <v>0.84690705620575735</v>
      </c>
      <c r="J1815">
        <v>35.04</v>
      </c>
    </row>
    <row r="1816" spans="1:10" x14ac:dyDescent="0.25">
      <c r="A1816" t="s">
        <v>61</v>
      </c>
      <c r="B1816" t="s">
        <v>109</v>
      </c>
      <c r="C1816" t="s">
        <v>9</v>
      </c>
      <c r="D1816">
        <v>3.57</v>
      </c>
      <c r="E1816" s="1">
        <v>1915482</v>
      </c>
      <c r="F1816" s="1">
        <v>68383</v>
      </c>
      <c r="G1816" s="4">
        <f t="shared" si="85"/>
        <v>79225.010298177847</v>
      </c>
      <c r="H1816" s="4">
        <f t="shared" si="86"/>
        <v>16888.21807115608</v>
      </c>
      <c r="I1816" s="17">
        <f t="shared" si="84"/>
        <v>0.78683223886504805</v>
      </c>
      <c r="J1816">
        <v>33.94</v>
      </c>
    </row>
    <row r="1817" spans="1:10" x14ac:dyDescent="0.25">
      <c r="A1817" t="s">
        <v>62</v>
      </c>
      <c r="B1817" t="s">
        <v>109</v>
      </c>
      <c r="C1817" t="s">
        <v>9</v>
      </c>
      <c r="D1817">
        <v>10.71</v>
      </c>
      <c r="E1817" s="1">
        <v>1675441</v>
      </c>
      <c r="F1817" s="1">
        <v>179440</v>
      </c>
      <c r="G1817" s="4">
        <f t="shared" si="85"/>
        <v>71635.603089453347</v>
      </c>
      <c r="H1817" s="4">
        <f t="shared" si="86"/>
        <v>16912.671340721103</v>
      </c>
      <c r="I1817" s="17">
        <f t="shared" si="84"/>
        <v>0.76390690367188241</v>
      </c>
      <c r="J1817">
        <v>32</v>
      </c>
    </row>
    <row r="1818" spans="1:10" x14ac:dyDescent="0.25">
      <c r="A1818" t="s">
        <v>64</v>
      </c>
      <c r="B1818" t="s">
        <v>109</v>
      </c>
      <c r="C1818" t="s">
        <v>9</v>
      </c>
      <c r="D1818">
        <v>11.54</v>
      </c>
      <c r="E1818" s="1">
        <v>1907133</v>
      </c>
      <c r="F1818" s="1">
        <v>220083</v>
      </c>
      <c r="G1818" s="4">
        <f t="shared" si="85"/>
        <v>147098.68092683598</v>
      </c>
      <c r="H1818" s="4">
        <f t="shared" si="86"/>
        <v>64008.121602518295</v>
      </c>
      <c r="I1818" s="17">
        <f t="shared" si="84"/>
        <v>0.56486270849461462</v>
      </c>
      <c r="J1818">
        <v>36.619999999999997</v>
      </c>
    </row>
    <row r="1819" spans="1:10" x14ac:dyDescent="0.25">
      <c r="A1819" t="s">
        <v>66</v>
      </c>
      <c r="B1819" t="s">
        <v>109</v>
      </c>
      <c r="C1819" t="s">
        <v>9</v>
      </c>
      <c r="D1819">
        <v>10.1</v>
      </c>
      <c r="E1819" s="1">
        <v>1783067</v>
      </c>
      <c r="F1819" s="1">
        <v>180090</v>
      </c>
      <c r="G1819" s="4">
        <f t="shared" si="85"/>
        <v>198187.70427805078</v>
      </c>
      <c r="H1819" s="4">
        <f t="shared" si="86"/>
        <v>75423.356265650873</v>
      </c>
      <c r="I1819" s="17">
        <f t="shared" si="84"/>
        <v>0.61943473466025722</v>
      </c>
      <c r="J1819">
        <v>33.56</v>
      </c>
    </row>
    <row r="1820" spans="1:10" x14ac:dyDescent="0.25">
      <c r="A1820" t="s">
        <v>68</v>
      </c>
      <c r="B1820" t="s">
        <v>109</v>
      </c>
      <c r="C1820" t="s">
        <v>9</v>
      </c>
      <c r="D1820">
        <v>5.56</v>
      </c>
      <c r="E1820" s="1">
        <v>1811937</v>
      </c>
      <c r="F1820" s="1">
        <v>100744</v>
      </c>
      <c r="G1820" s="4">
        <f t="shared" si="85"/>
        <v>185519.31128341521</v>
      </c>
      <c r="H1820" s="4">
        <f t="shared" si="86"/>
        <v>75885.935728029493</v>
      </c>
      <c r="I1820" s="17">
        <f t="shared" si="84"/>
        <v>0.59095398100039498</v>
      </c>
      <c r="J1820">
        <v>32.340000000000003</v>
      </c>
    </row>
    <row r="1821" spans="1:10" x14ac:dyDescent="0.25">
      <c r="A1821" t="s">
        <v>69</v>
      </c>
      <c r="B1821" t="s">
        <v>109</v>
      </c>
      <c r="C1821" t="s">
        <v>9</v>
      </c>
      <c r="D1821">
        <v>2.59</v>
      </c>
      <c r="E1821" s="1">
        <v>1786648</v>
      </c>
      <c r="F1821" s="1">
        <v>46274</v>
      </c>
      <c r="G1821" s="4">
        <f t="shared" si="85"/>
        <v>126176.59338502455</v>
      </c>
      <c r="H1821" s="4">
        <f t="shared" si="86"/>
        <v>65424.488620875331</v>
      </c>
      <c r="I1821" s="17">
        <f t="shared" si="84"/>
        <v>0.48148474399499575</v>
      </c>
      <c r="J1821">
        <v>30.85</v>
      </c>
    </row>
    <row r="1822" spans="1:10" x14ac:dyDescent="0.25">
      <c r="A1822" t="s">
        <v>70</v>
      </c>
      <c r="B1822" t="s">
        <v>109</v>
      </c>
      <c r="C1822" t="s">
        <v>9</v>
      </c>
      <c r="D1822">
        <v>4.17</v>
      </c>
      <c r="E1822" s="1">
        <v>1806312</v>
      </c>
      <c r="F1822" s="1">
        <v>75323</v>
      </c>
      <c r="G1822" s="4">
        <f t="shared" si="85"/>
        <v>70244.778015507356</v>
      </c>
      <c r="H1822" s="4">
        <f t="shared" si="86"/>
        <v>68065.666168752781</v>
      </c>
      <c r="I1822" s="17">
        <f t="shared" si="84"/>
        <v>3.1021691694626902E-2</v>
      </c>
      <c r="J1822">
        <v>31.65</v>
      </c>
    </row>
    <row r="1823" spans="1:10" x14ac:dyDescent="0.25">
      <c r="A1823" t="s">
        <v>71</v>
      </c>
      <c r="B1823" t="s">
        <v>109</v>
      </c>
      <c r="C1823" t="s">
        <v>9</v>
      </c>
      <c r="D1823">
        <v>2.27</v>
      </c>
      <c r="E1823" s="1">
        <v>1666221</v>
      </c>
      <c r="F1823" s="1">
        <v>37823</v>
      </c>
      <c r="G1823" s="4">
        <f t="shared" si="85"/>
        <v>73799.533404652204</v>
      </c>
      <c r="H1823" s="4">
        <f t="shared" si="86"/>
        <v>67322.770222702267</v>
      </c>
      <c r="I1823" s="17">
        <f t="shared" si="84"/>
        <v>8.7761573592031031E-2</v>
      </c>
      <c r="J1823">
        <v>28.57</v>
      </c>
    </row>
    <row r="1824" spans="1:10" x14ac:dyDescent="0.25">
      <c r="A1824" t="s">
        <v>72</v>
      </c>
      <c r="B1824" t="s">
        <v>109</v>
      </c>
      <c r="C1824" t="s">
        <v>9</v>
      </c>
      <c r="D1824">
        <v>5.95</v>
      </c>
      <c r="E1824" s="1">
        <v>2031872</v>
      </c>
      <c r="F1824" s="1">
        <v>120896</v>
      </c>
      <c r="G1824" s="4">
        <f t="shared" si="85"/>
        <v>48615.960021395658</v>
      </c>
      <c r="H1824" s="4">
        <f t="shared" si="86"/>
        <v>50677.160286110513</v>
      </c>
      <c r="I1824" s="17">
        <f t="shared" si="84"/>
        <v>-4.2397604897809894E-2</v>
      </c>
      <c r="J1824">
        <v>36.130000000000003</v>
      </c>
    </row>
    <row r="1825" spans="1:10" x14ac:dyDescent="0.25">
      <c r="A1825" t="s">
        <v>73</v>
      </c>
      <c r="B1825" t="s">
        <v>109</v>
      </c>
      <c r="C1825" t="s">
        <v>9</v>
      </c>
      <c r="D1825">
        <v>3.95</v>
      </c>
      <c r="E1825" s="1">
        <v>1669166</v>
      </c>
      <c r="F1825" s="1">
        <v>65932</v>
      </c>
      <c r="G1825" s="4">
        <f t="shared" si="85"/>
        <v>99211.988006418687</v>
      </c>
      <c r="H1825" s="4">
        <f t="shared" si="86"/>
        <v>46706.542987924375</v>
      </c>
      <c r="I1825" s="17">
        <f t="shared" si="84"/>
        <v>0.52922480512231429</v>
      </c>
      <c r="J1825">
        <v>29.01</v>
      </c>
    </row>
    <row r="1826" spans="1:10" x14ac:dyDescent="0.25">
      <c r="A1826" t="s">
        <v>74</v>
      </c>
      <c r="B1826" t="s">
        <v>109</v>
      </c>
      <c r="C1826" t="s">
        <v>9</v>
      </c>
      <c r="D1826">
        <v>4.82</v>
      </c>
      <c r="E1826" s="1">
        <v>1852243</v>
      </c>
      <c r="F1826" s="1">
        <v>89278</v>
      </c>
      <c r="G1826" s="4">
        <f t="shared" si="85"/>
        <v>75915.9964019256</v>
      </c>
      <c r="H1826" s="4">
        <f t="shared" si="86"/>
        <v>50419.152236797447</v>
      </c>
      <c r="I1826" s="17">
        <f t="shared" si="84"/>
        <v>0.33585601682864075</v>
      </c>
      <c r="J1826">
        <v>32.42</v>
      </c>
    </row>
    <row r="1827" spans="1:10" x14ac:dyDescent="0.25">
      <c r="A1827" t="s">
        <v>75</v>
      </c>
      <c r="B1827" t="s">
        <v>109</v>
      </c>
      <c r="C1827" t="s">
        <v>9</v>
      </c>
      <c r="D1827">
        <v>2.13</v>
      </c>
      <c r="E1827" s="1">
        <v>1686888</v>
      </c>
      <c r="F1827" s="1">
        <v>35931</v>
      </c>
      <c r="G1827" s="4">
        <f t="shared" si="85"/>
        <v>85269.398920577674</v>
      </c>
      <c r="H1827" s="4">
        <f t="shared" si="86"/>
        <v>46585.06527908906</v>
      </c>
      <c r="I1827" s="17">
        <f t="shared" si="84"/>
        <v>0.45367194012379863</v>
      </c>
      <c r="J1827">
        <v>28.66</v>
      </c>
    </row>
    <row r="1828" spans="1:10" x14ac:dyDescent="0.25">
      <c r="A1828" t="s">
        <v>76</v>
      </c>
      <c r="B1828" t="s">
        <v>109</v>
      </c>
      <c r="C1828" t="s">
        <v>9</v>
      </c>
      <c r="D1828">
        <v>6.33</v>
      </c>
      <c r="E1828" s="1">
        <v>1949057</v>
      </c>
      <c r="F1828" s="1">
        <v>123375</v>
      </c>
      <c r="G1828" s="4">
        <f t="shared" si="85"/>
        <v>50732.519676173295</v>
      </c>
      <c r="H1828" s="4">
        <f t="shared" si="86"/>
        <v>35215.424413687368</v>
      </c>
      <c r="I1828" s="17">
        <f t="shared" si="84"/>
        <v>0.30586092237349655</v>
      </c>
      <c r="J1828">
        <v>34.53</v>
      </c>
    </row>
    <row r="1829" spans="1:10" x14ac:dyDescent="0.25">
      <c r="A1829" t="s">
        <v>77</v>
      </c>
      <c r="B1829" t="s">
        <v>109</v>
      </c>
      <c r="C1829" t="s">
        <v>9</v>
      </c>
      <c r="D1829">
        <v>3.75</v>
      </c>
      <c r="E1829" s="1">
        <v>1781224</v>
      </c>
      <c r="F1829" s="1">
        <v>66796</v>
      </c>
      <c r="G1829" s="4">
        <f t="shared" si="85"/>
        <v>101582.25590285199</v>
      </c>
      <c r="H1829" s="4">
        <f t="shared" si="86"/>
        <v>51282.715398070737</v>
      </c>
      <c r="I1829" s="17">
        <f t="shared" si="84"/>
        <v>0.49516069571131721</v>
      </c>
      <c r="J1829">
        <v>30.65</v>
      </c>
    </row>
    <row r="1830" spans="1:10" x14ac:dyDescent="0.25">
      <c r="A1830" t="s">
        <v>78</v>
      </c>
      <c r="B1830" t="s">
        <v>109</v>
      </c>
      <c r="C1830" t="s">
        <v>9</v>
      </c>
      <c r="D1830">
        <v>3.16</v>
      </c>
      <c r="E1830" s="1">
        <v>1908449</v>
      </c>
      <c r="F1830" s="1">
        <v>60307</v>
      </c>
      <c r="G1830" s="4">
        <f t="shared" si="85"/>
        <v>77231.876770855597</v>
      </c>
      <c r="H1830" s="4">
        <f t="shared" si="86"/>
        <v>54532.226421271043</v>
      </c>
      <c r="I1830" s="17">
        <f t="shared" si="84"/>
        <v>0.29391556050015022</v>
      </c>
      <c r="J1830">
        <v>32.58</v>
      </c>
    </row>
    <row r="1831" spans="1:10" x14ac:dyDescent="0.25">
      <c r="A1831" t="s">
        <v>79</v>
      </c>
      <c r="B1831" t="s">
        <v>109</v>
      </c>
      <c r="C1831" t="s">
        <v>9</v>
      </c>
      <c r="D1831">
        <v>2.27</v>
      </c>
      <c r="E1831" s="1">
        <v>1761053</v>
      </c>
      <c r="F1831" s="1">
        <v>39976</v>
      </c>
      <c r="G1831" s="4">
        <f t="shared" si="85"/>
        <v>65384.463031256673</v>
      </c>
      <c r="H1831" s="4">
        <f t="shared" si="86"/>
        <v>47516.540983271996</v>
      </c>
      <c r="I1831" s="17">
        <f t="shared" si="84"/>
        <v>0.2732747386706077</v>
      </c>
      <c r="J1831">
        <v>29.73</v>
      </c>
    </row>
    <row r="1832" spans="1:10" x14ac:dyDescent="0.25">
      <c r="A1832" t="s">
        <v>80</v>
      </c>
      <c r="B1832" t="s">
        <v>109</v>
      </c>
      <c r="C1832" t="s">
        <v>9</v>
      </c>
      <c r="D1832">
        <v>5.09</v>
      </c>
      <c r="E1832" s="1">
        <v>1945373</v>
      </c>
      <c r="F1832" s="1">
        <v>99019</v>
      </c>
      <c r="G1832" s="4">
        <f t="shared" si="85"/>
        <v>47598.538909376999</v>
      </c>
      <c r="H1832" s="4">
        <f t="shared" si="86"/>
        <v>26721.558381814048</v>
      </c>
      <c r="I1832" s="17">
        <f t="shared" si="84"/>
        <v>0.43860549096497892</v>
      </c>
      <c r="J1832">
        <v>33.75</v>
      </c>
    </row>
    <row r="1833" spans="1:10" x14ac:dyDescent="0.25">
      <c r="A1833" t="s">
        <v>81</v>
      </c>
      <c r="B1833" t="s">
        <v>109</v>
      </c>
      <c r="C1833" t="s">
        <v>9</v>
      </c>
      <c r="D1833">
        <v>3.54</v>
      </c>
      <c r="E1833" s="1">
        <v>1832358</v>
      </c>
      <c r="F1833" s="1">
        <v>64865</v>
      </c>
      <c r="G1833" s="4">
        <f t="shared" si="85"/>
        <v>83592.861672813087</v>
      </c>
      <c r="H1833" s="4">
        <f t="shared" si="86"/>
        <v>34525.86115793811</v>
      </c>
      <c r="I1833" s="17">
        <f t="shared" si="84"/>
        <v>0.58697596341330949</v>
      </c>
      <c r="J1833">
        <v>31.22</v>
      </c>
    </row>
    <row r="1834" spans="1:10" x14ac:dyDescent="0.25">
      <c r="A1834" t="s">
        <v>82</v>
      </c>
      <c r="B1834" t="s">
        <v>109</v>
      </c>
      <c r="C1834" t="s">
        <v>9</v>
      </c>
      <c r="D1834">
        <v>5.13</v>
      </c>
      <c r="E1834" s="1">
        <v>1790210</v>
      </c>
      <c r="F1834" s="1">
        <v>91838</v>
      </c>
      <c r="G1834" s="4">
        <f t="shared" si="85"/>
        <v>70483.358501843933</v>
      </c>
      <c r="H1834" s="4">
        <f t="shared" si="86"/>
        <v>34834.784412609915</v>
      </c>
      <c r="I1834" s="17">
        <f t="shared" si="84"/>
        <v>0.50577292068597168</v>
      </c>
      <c r="J1834">
        <v>30.95</v>
      </c>
    </row>
    <row r="1835" spans="1:10" x14ac:dyDescent="0.25">
      <c r="A1835" t="s">
        <v>83</v>
      </c>
      <c r="B1835" t="s">
        <v>109</v>
      </c>
      <c r="C1835" t="s">
        <v>9</v>
      </c>
      <c r="D1835">
        <v>2.08</v>
      </c>
      <c r="E1835" s="1">
        <v>1631256</v>
      </c>
      <c r="F1835" s="1">
        <v>33930</v>
      </c>
      <c r="G1835" s="4">
        <f t="shared" si="85"/>
        <v>85431.607550553177</v>
      </c>
      <c r="H1835" s="4">
        <f t="shared" si="86"/>
        <v>33915.666660719224</v>
      </c>
      <c r="I1835" s="17">
        <f t="shared" si="84"/>
        <v>0.60300797757258617</v>
      </c>
      <c r="J1835">
        <v>27.27</v>
      </c>
    </row>
    <row r="1836" spans="1:10" x14ac:dyDescent="0.25">
      <c r="A1836" t="s">
        <v>84</v>
      </c>
      <c r="B1836" t="s">
        <v>109</v>
      </c>
      <c r="C1836" t="s">
        <v>9</v>
      </c>
      <c r="D1836">
        <v>5.53</v>
      </c>
      <c r="E1836" s="1">
        <v>1915518</v>
      </c>
      <c r="F1836" s="1">
        <v>105928</v>
      </c>
      <c r="G1836" s="4">
        <f t="shared" si="85"/>
        <v>49380.482265165949</v>
      </c>
      <c r="H1836" s="4">
        <f t="shared" si="86"/>
        <v>33956.68366533058</v>
      </c>
      <c r="I1836" s="17">
        <f t="shared" si="84"/>
        <v>0.31234605034863433</v>
      </c>
      <c r="J1836">
        <v>33.130000000000003</v>
      </c>
    </row>
    <row r="1837" spans="1:10" x14ac:dyDescent="0.25">
      <c r="A1837" t="s">
        <v>7</v>
      </c>
      <c r="B1837" t="s">
        <v>110</v>
      </c>
      <c r="C1837" t="s">
        <v>9</v>
      </c>
      <c r="D1837">
        <v>8.3000000000000007</v>
      </c>
      <c r="E1837" s="1">
        <v>22075472</v>
      </c>
      <c r="F1837" s="1">
        <v>1832264</v>
      </c>
      <c r="G1837" s="4">
        <f t="shared" si="85"/>
        <v>88963.744679549767</v>
      </c>
      <c r="H1837" s="4">
        <f t="shared" si="86"/>
        <v>45847.784591251286</v>
      </c>
      <c r="I1837" s="17">
        <f t="shared" si="84"/>
        <v>0.48464641684771181</v>
      </c>
      <c r="J1837">
        <v>48.57</v>
      </c>
    </row>
    <row r="1838" spans="1:10" x14ac:dyDescent="0.25">
      <c r="A1838" t="s">
        <v>10</v>
      </c>
      <c r="B1838" t="s">
        <v>110</v>
      </c>
      <c r="C1838" t="s">
        <v>9</v>
      </c>
      <c r="D1838">
        <v>4.66</v>
      </c>
      <c r="E1838" s="1">
        <v>21471002</v>
      </c>
      <c r="F1838" s="1">
        <v>1000549</v>
      </c>
      <c r="G1838" s="4">
        <f t="shared" si="85"/>
        <v>1309273.9234038647</v>
      </c>
      <c r="H1838" s="4">
        <f t="shared" si="86"/>
        <v>1007463.1205065871</v>
      </c>
      <c r="I1838" s="17">
        <f t="shared" si="84"/>
        <v>0.23051769190715002</v>
      </c>
      <c r="J1838">
        <v>45.35</v>
      </c>
    </row>
    <row r="1839" spans="1:10" x14ac:dyDescent="0.25">
      <c r="A1839" t="s">
        <v>11</v>
      </c>
      <c r="B1839" t="s">
        <v>110</v>
      </c>
      <c r="C1839" t="s">
        <v>9</v>
      </c>
      <c r="D1839">
        <v>8.4</v>
      </c>
      <c r="E1839" s="1">
        <v>21405797</v>
      </c>
      <c r="F1839" s="1">
        <v>1798087</v>
      </c>
      <c r="G1839" s="4">
        <f t="shared" si="85"/>
        <v>1093166.4770211594</v>
      </c>
      <c r="H1839" s="4">
        <f t="shared" si="86"/>
        <v>1022676.9578403926</v>
      </c>
      <c r="I1839" s="17">
        <f t="shared" si="84"/>
        <v>6.4481961954091616E-2</v>
      </c>
      <c r="J1839">
        <v>46.96</v>
      </c>
    </row>
    <row r="1840" spans="1:10" x14ac:dyDescent="0.25">
      <c r="A1840" t="s">
        <v>12</v>
      </c>
      <c r="B1840" t="s">
        <v>110</v>
      </c>
      <c r="C1840" t="s">
        <v>9</v>
      </c>
      <c r="D1840">
        <v>7.64</v>
      </c>
      <c r="E1840" s="1">
        <v>21089931</v>
      </c>
      <c r="F1840" s="1">
        <v>1611271</v>
      </c>
      <c r="G1840" s="4">
        <f t="shared" si="85"/>
        <v>1586610.8431063476</v>
      </c>
      <c r="H1840" s="4">
        <f t="shared" si="86"/>
        <v>1100199.9518644828</v>
      </c>
      <c r="I1840" s="17">
        <f t="shared" si="84"/>
        <v>0.30657227218335703</v>
      </c>
      <c r="J1840">
        <v>45.8</v>
      </c>
    </row>
    <row r="1841" spans="1:10" x14ac:dyDescent="0.25">
      <c r="A1841" t="s">
        <v>13</v>
      </c>
      <c r="B1841" t="s">
        <v>110</v>
      </c>
      <c r="C1841" t="s">
        <v>9</v>
      </c>
      <c r="D1841">
        <v>5.64</v>
      </c>
      <c r="E1841" s="1">
        <v>22359938</v>
      </c>
      <c r="F1841" s="1">
        <v>1261101</v>
      </c>
      <c r="G1841" s="4">
        <f t="shared" si="85"/>
        <v>1603872.9529319042</v>
      </c>
      <c r="H1841" s="4">
        <f t="shared" si="86"/>
        <v>444534.26766504889</v>
      </c>
      <c r="I1841" s="17">
        <f t="shared" si="84"/>
        <v>0.72283698228563964</v>
      </c>
      <c r="J1841">
        <v>47.42</v>
      </c>
    </row>
    <row r="1842" spans="1:10" x14ac:dyDescent="0.25">
      <c r="A1842" t="s">
        <v>14</v>
      </c>
      <c r="B1842" t="s">
        <v>110</v>
      </c>
      <c r="C1842" t="s">
        <v>9</v>
      </c>
      <c r="D1842">
        <v>5.72</v>
      </c>
      <c r="E1842" s="1">
        <v>20823298</v>
      </c>
      <c r="F1842" s="1">
        <v>1191093</v>
      </c>
      <c r="G1842" s="4">
        <f t="shared" si="85"/>
        <v>1363932.5858795713</v>
      </c>
      <c r="H1842" s="4">
        <f t="shared" si="86"/>
        <v>452774.2921042571</v>
      </c>
      <c r="I1842" s="17">
        <f t="shared" si="84"/>
        <v>0.66803763119108084</v>
      </c>
      <c r="J1842">
        <v>44.12</v>
      </c>
    </row>
    <row r="1843" spans="1:10" x14ac:dyDescent="0.25">
      <c r="A1843" t="s">
        <v>15</v>
      </c>
      <c r="B1843" t="s">
        <v>110</v>
      </c>
      <c r="C1843" t="s">
        <v>9</v>
      </c>
      <c r="D1843">
        <v>8.17</v>
      </c>
      <c r="E1843" s="1">
        <v>21126808</v>
      </c>
      <c r="F1843" s="1">
        <v>1726060</v>
      </c>
      <c r="G1843" s="4">
        <f t="shared" si="85"/>
        <v>1242944.8757638712</v>
      </c>
      <c r="H1843" s="4">
        <f t="shared" si="86"/>
        <v>222091.76594506516</v>
      </c>
      <c r="I1843" s="17">
        <f t="shared" si="84"/>
        <v>0.82131808877801182</v>
      </c>
      <c r="J1843">
        <v>45.86</v>
      </c>
    </row>
    <row r="1844" spans="1:10" x14ac:dyDescent="0.25">
      <c r="A1844" t="s">
        <v>16</v>
      </c>
      <c r="B1844" t="s">
        <v>110</v>
      </c>
      <c r="C1844" t="s">
        <v>9</v>
      </c>
      <c r="D1844">
        <v>6.41</v>
      </c>
      <c r="E1844" s="1">
        <v>22080987</v>
      </c>
      <c r="F1844" s="1">
        <v>1415391</v>
      </c>
      <c r="G1844" s="4">
        <f t="shared" si="85"/>
        <v>1581125.4627291614</v>
      </c>
      <c r="H1844" s="4">
        <f t="shared" si="86"/>
        <v>356261.30738989107</v>
      </c>
      <c r="I1844" s="17">
        <f t="shared" si="84"/>
        <v>0.77467866036705735</v>
      </c>
      <c r="J1844">
        <v>46.93</v>
      </c>
    </row>
    <row r="1845" spans="1:10" x14ac:dyDescent="0.25">
      <c r="A1845" t="s">
        <v>17</v>
      </c>
      <c r="B1845" t="s">
        <v>110</v>
      </c>
      <c r="C1845" t="s">
        <v>9</v>
      </c>
      <c r="D1845">
        <v>7.74</v>
      </c>
      <c r="E1845" s="1">
        <v>23690379</v>
      </c>
      <c r="F1845" s="1">
        <v>1833635</v>
      </c>
      <c r="G1845" s="4">
        <f t="shared" si="85"/>
        <v>1465111.3388187485</v>
      </c>
      <c r="H1845" s="4">
        <f t="shared" si="86"/>
        <v>311309.95157497271</v>
      </c>
      <c r="I1845" s="17">
        <f t="shared" si="84"/>
        <v>0.78751788800845157</v>
      </c>
      <c r="J1845">
        <v>50.97</v>
      </c>
    </row>
    <row r="1846" spans="1:10" x14ac:dyDescent="0.25">
      <c r="A1846" t="s">
        <v>18</v>
      </c>
      <c r="B1846" t="s">
        <v>110</v>
      </c>
      <c r="C1846" t="s">
        <v>9</v>
      </c>
      <c r="D1846">
        <v>4.07</v>
      </c>
      <c r="E1846" s="1">
        <v>22053746</v>
      </c>
      <c r="F1846" s="1">
        <v>897587</v>
      </c>
      <c r="G1846" s="4">
        <f t="shared" si="85"/>
        <v>1723077.9016456245</v>
      </c>
      <c r="H1846" s="4">
        <f t="shared" si="86"/>
        <v>363628.85118952807</v>
      </c>
      <c r="I1846" s="17">
        <f t="shared" si="84"/>
        <v>0.78896551871378273</v>
      </c>
      <c r="J1846">
        <v>45.54</v>
      </c>
    </row>
    <row r="1847" spans="1:10" x14ac:dyDescent="0.25">
      <c r="A1847" t="s">
        <v>19</v>
      </c>
      <c r="B1847" t="s">
        <v>110</v>
      </c>
      <c r="C1847" t="s">
        <v>9</v>
      </c>
      <c r="D1847">
        <v>7.92</v>
      </c>
      <c r="E1847" s="1">
        <v>21312030</v>
      </c>
      <c r="F1847" s="1">
        <v>1687913</v>
      </c>
      <c r="G1847" s="4">
        <f t="shared" si="85"/>
        <v>1145234.2704936871</v>
      </c>
      <c r="H1847" s="4">
        <f t="shared" si="86"/>
        <v>530632.58779380913</v>
      </c>
      <c r="I1847" s="17">
        <f t="shared" si="84"/>
        <v>0.53666022623906962</v>
      </c>
      <c r="J1847">
        <v>45.76</v>
      </c>
    </row>
    <row r="1848" spans="1:10" x14ac:dyDescent="0.25">
      <c r="A1848" t="s">
        <v>20</v>
      </c>
      <c r="B1848" t="s">
        <v>110</v>
      </c>
      <c r="C1848" t="s">
        <v>9</v>
      </c>
      <c r="D1848">
        <v>5.48</v>
      </c>
      <c r="E1848" s="1">
        <v>22049104</v>
      </c>
      <c r="F1848" s="1">
        <v>1208291</v>
      </c>
      <c r="G1848" s="4">
        <f t="shared" si="85"/>
        <v>1525109.381148106</v>
      </c>
      <c r="H1848" s="4">
        <f t="shared" si="86"/>
        <v>608754.22544973646</v>
      </c>
      <c r="I1848" s="17">
        <f t="shared" si="84"/>
        <v>0.60084553083565395</v>
      </c>
      <c r="J1848">
        <v>46.02</v>
      </c>
    </row>
    <row r="1849" spans="1:10" x14ac:dyDescent="0.25">
      <c r="A1849" t="s">
        <v>21</v>
      </c>
      <c r="B1849" t="s">
        <v>110</v>
      </c>
      <c r="C1849" t="s">
        <v>9</v>
      </c>
      <c r="D1849">
        <v>5.75</v>
      </c>
      <c r="E1849" s="1">
        <v>22887232</v>
      </c>
      <c r="F1849" s="1">
        <v>1316016</v>
      </c>
      <c r="G1849" s="4">
        <f t="shared" si="85"/>
        <v>1303336.5143444317</v>
      </c>
      <c r="H1849" s="4">
        <f t="shared" si="86"/>
        <v>598973.93343160837</v>
      </c>
      <c r="I1849" s="17">
        <f t="shared" si="84"/>
        <v>0.54043032874522989</v>
      </c>
      <c r="J1849">
        <v>47.81</v>
      </c>
    </row>
    <row r="1850" spans="1:10" x14ac:dyDescent="0.25">
      <c r="A1850" t="s">
        <v>22</v>
      </c>
      <c r="B1850" t="s">
        <v>110</v>
      </c>
      <c r="C1850" t="s">
        <v>9</v>
      </c>
      <c r="D1850">
        <v>4.18</v>
      </c>
      <c r="E1850" s="1">
        <v>22306933</v>
      </c>
      <c r="F1850" s="1">
        <v>932430</v>
      </c>
      <c r="G1850" s="4">
        <f t="shared" si="85"/>
        <v>1312212.1543033295</v>
      </c>
      <c r="H1850" s="4">
        <f t="shared" si="86"/>
        <v>362875.02873963933</v>
      </c>
      <c r="I1850" s="17">
        <f t="shared" si="84"/>
        <v>0.72346314004971679</v>
      </c>
      <c r="J1850">
        <v>45.75</v>
      </c>
    </row>
    <row r="1851" spans="1:10" x14ac:dyDescent="0.25">
      <c r="A1851" t="s">
        <v>23</v>
      </c>
      <c r="B1851" t="s">
        <v>110</v>
      </c>
      <c r="C1851" t="s">
        <v>9</v>
      </c>
      <c r="D1851">
        <v>6.9</v>
      </c>
      <c r="E1851" s="1">
        <v>21696106</v>
      </c>
      <c r="F1851" s="1">
        <v>1497031</v>
      </c>
      <c r="G1851" s="4">
        <f t="shared" si="85"/>
        <v>1046364.6462909989</v>
      </c>
      <c r="H1851" s="4">
        <f t="shared" si="86"/>
        <v>285639.13172455574</v>
      </c>
      <c r="I1851" s="17">
        <f t="shared" si="84"/>
        <v>0.72701760066431165</v>
      </c>
      <c r="J1851">
        <v>45.7</v>
      </c>
    </row>
    <row r="1852" spans="1:10" x14ac:dyDescent="0.25">
      <c r="A1852" t="s">
        <v>24</v>
      </c>
      <c r="B1852" t="s">
        <v>110</v>
      </c>
      <c r="C1852" t="s">
        <v>9</v>
      </c>
      <c r="D1852">
        <v>4.75</v>
      </c>
      <c r="E1852" s="1">
        <v>22540227</v>
      </c>
      <c r="F1852" s="1">
        <v>1070661</v>
      </c>
      <c r="G1852" s="4">
        <f t="shared" si="85"/>
        <v>1361831.0938872995</v>
      </c>
      <c r="H1852" s="4">
        <f t="shared" si="86"/>
        <v>340340.71969578479</v>
      </c>
      <c r="I1852" s="17">
        <f t="shared" si="84"/>
        <v>0.75008595322618599</v>
      </c>
      <c r="J1852">
        <v>46.31</v>
      </c>
    </row>
    <row r="1853" spans="1:10" x14ac:dyDescent="0.25">
      <c r="A1853" t="s">
        <v>25</v>
      </c>
      <c r="B1853" t="s">
        <v>110</v>
      </c>
      <c r="C1853" t="s">
        <v>9</v>
      </c>
      <c r="D1853">
        <v>4.67</v>
      </c>
      <c r="E1853" s="1">
        <v>23554388</v>
      </c>
      <c r="F1853" s="1">
        <v>1099990</v>
      </c>
      <c r="G1853" s="4">
        <f t="shared" si="85"/>
        <v>1158012.0281661898</v>
      </c>
      <c r="H1853" s="4">
        <f t="shared" si="86"/>
        <v>379523.67983521277</v>
      </c>
      <c r="I1853" s="17">
        <f t="shared" si="84"/>
        <v>0.67226274805088104</v>
      </c>
      <c r="J1853">
        <v>48.26</v>
      </c>
    </row>
    <row r="1854" spans="1:10" x14ac:dyDescent="0.25">
      <c r="A1854" t="s">
        <v>26</v>
      </c>
      <c r="B1854" t="s">
        <v>110</v>
      </c>
      <c r="C1854" t="s">
        <v>9</v>
      </c>
      <c r="D1854">
        <v>4.1399999999999997</v>
      </c>
      <c r="E1854" s="1">
        <v>23015128</v>
      </c>
      <c r="F1854" s="1">
        <v>952826</v>
      </c>
      <c r="G1854" s="4">
        <f t="shared" si="85"/>
        <v>1117396.608449857</v>
      </c>
      <c r="H1854" s="4">
        <f t="shared" si="86"/>
        <v>311580.24204166274</v>
      </c>
      <c r="I1854" s="17">
        <f t="shared" si="84"/>
        <v>0.721155192627699</v>
      </c>
      <c r="J1854">
        <v>46.8</v>
      </c>
    </row>
    <row r="1855" spans="1:10" x14ac:dyDescent="0.25">
      <c r="A1855" t="s">
        <v>27</v>
      </c>
      <c r="B1855" t="s">
        <v>110</v>
      </c>
      <c r="C1855" t="s">
        <v>9</v>
      </c>
      <c r="D1855">
        <v>6.71</v>
      </c>
      <c r="E1855" s="1">
        <v>21847440</v>
      </c>
      <c r="F1855" s="1">
        <v>1465963</v>
      </c>
      <c r="G1855" s="4">
        <f t="shared" si="85"/>
        <v>1002197.1825349571</v>
      </c>
      <c r="H1855" s="4">
        <f t="shared" si="86"/>
        <v>195984.74812462073</v>
      </c>
      <c r="I1855" s="17">
        <f t="shared" si="84"/>
        <v>0.80444492207721341</v>
      </c>
      <c r="J1855">
        <v>45.55</v>
      </c>
    </row>
    <row r="1856" spans="1:10" x14ac:dyDescent="0.25">
      <c r="A1856" t="s">
        <v>28</v>
      </c>
      <c r="B1856" t="s">
        <v>110</v>
      </c>
      <c r="C1856" t="s">
        <v>9</v>
      </c>
      <c r="D1856">
        <v>4.55</v>
      </c>
      <c r="E1856" s="1">
        <v>22455769</v>
      </c>
      <c r="F1856" s="1">
        <v>1021737</v>
      </c>
      <c r="G1856" s="4">
        <f t="shared" si="85"/>
        <v>1326833.254760487</v>
      </c>
      <c r="H1856" s="4">
        <f t="shared" si="86"/>
        <v>286082.0245821664</v>
      </c>
      <c r="I1856" s="17">
        <f t="shared" si="84"/>
        <v>0.78438735722386721</v>
      </c>
      <c r="J1856">
        <v>45.67</v>
      </c>
    </row>
    <row r="1857" spans="1:10" x14ac:dyDescent="0.25">
      <c r="A1857" t="s">
        <v>29</v>
      </c>
      <c r="B1857" t="s">
        <v>110</v>
      </c>
      <c r="C1857" t="s">
        <v>9</v>
      </c>
      <c r="D1857">
        <v>6.24</v>
      </c>
      <c r="E1857" s="1">
        <v>22305161</v>
      </c>
      <c r="F1857" s="1">
        <v>1391842</v>
      </c>
      <c r="G1857" s="4">
        <f t="shared" si="85"/>
        <v>1113265.8764281459</v>
      </c>
      <c r="H1857" s="4">
        <f t="shared" si="86"/>
        <v>334288.27045104431</v>
      </c>
      <c r="I1857" s="17">
        <f t="shared" si="84"/>
        <v>0.69972288064411858</v>
      </c>
      <c r="J1857">
        <v>46.08</v>
      </c>
    </row>
    <row r="1858" spans="1:10" x14ac:dyDescent="0.25">
      <c r="A1858" t="s">
        <v>30</v>
      </c>
      <c r="B1858" t="s">
        <v>110</v>
      </c>
      <c r="C1858" t="s">
        <v>9</v>
      </c>
      <c r="D1858">
        <v>5.08</v>
      </c>
      <c r="E1858" s="1">
        <v>23412291</v>
      </c>
      <c r="F1858" s="1">
        <v>1189344</v>
      </c>
      <c r="G1858" s="4">
        <f t="shared" si="85"/>
        <v>1308269.1629284436</v>
      </c>
      <c r="H1858" s="4">
        <f t="shared" si="86"/>
        <v>358593.13747951936</v>
      </c>
      <c r="I1858" s="17">
        <f t="shared" si="84"/>
        <v>0.72590262948884265</v>
      </c>
      <c r="J1858">
        <v>47.68</v>
      </c>
    </row>
    <row r="1859" spans="1:10" x14ac:dyDescent="0.25">
      <c r="A1859" t="s">
        <v>31</v>
      </c>
      <c r="B1859" t="s">
        <v>110</v>
      </c>
      <c r="C1859" t="s">
        <v>9</v>
      </c>
      <c r="D1859">
        <v>5.95</v>
      </c>
      <c r="E1859" s="1">
        <v>22561441</v>
      </c>
      <c r="F1859" s="1">
        <v>1342406</v>
      </c>
      <c r="G1859" s="4">
        <f t="shared" si="85"/>
        <v>1225021.5488785331</v>
      </c>
      <c r="H1859" s="4">
        <f t="shared" si="86"/>
        <v>248214.67568132345</v>
      </c>
      <c r="I1859" s="17">
        <f t="shared" ref="I1859:I1912" si="87">(G1859-H1859)/G1859</f>
        <v>0.797379339238109</v>
      </c>
      <c r="J1859">
        <v>46.28</v>
      </c>
    </row>
    <row r="1860" spans="1:10" x14ac:dyDescent="0.25">
      <c r="A1860" t="s">
        <v>32</v>
      </c>
      <c r="B1860" t="s">
        <v>110</v>
      </c>
      <c r="C1860" t="s">
        <v>9</v>
      </c>
      <c r="D1860">
        <v>4.4800000000000004</v>
      </c>
      <c r="E1860" s="1">
        <v>23349724</v>
      </c>
      <c r="F1860" s="1">
        <v>1046068</v>
      </c>
      <c r="G1860" s="4">
        <f t="shared" ref="G1860:G1912" si="88">0.7*F1859+0.3*G1859</f>
        <v>1307190.6646635598</v>
      </c>
      <c r="H1860" s="4">
        <f t="shared" si="86"/>
        <v>187551.73541094011</v>
      </c>
      <c r="I1860" s="17">
        <f t="shared" si="87"/>
        <v>0.85652304558095083</v>
      </c>
      <c r="J1860">
        <v>47.06</v>
      </c>
    </row>
    <row r="1861" spans="1:10" x14ac:dyDescent="0.25">
      <c r="A1861" t="s">
        <v>33</v>
      </c>
      <c r="B1861" t="s">
        <v>110</v>
      </c>
      <c r="C1861" t="s">
        <v>9</v>
      </c>
      <c r="D1861">
        <v>7.87</v>
      </c>
      <c r="E1861" s="1">
        <v>22219046</v>
      </c>
      <c r="F1861" s="1">
        <v>1748639</v>
      </c>
      <c r="G1861" s="4">
        <f t="shared" si="88"/>
        <v>1124404.7993990679</v>
      </c>
      <c r="H1861" s="4">
        <f t="shared" si="86"/>
        <v>178985.42747352627</v>
      </c>
      <c r="I1861" s="17">
        <f t="shared" si="87"/>
        <v>0.8408176240717008</v>
      </c>
      <c r="J1861">
        <v>46.33</v>
      </c>
    </row>
    <row r="1862" spans="1:10" x14ac:dyDescent="0.25">
      <c r="A1862" t="s">
        <v>34</v>
      </c>
      <c r="B1862" t="s">
        <v>110</v>
      </c>
      <c r="C1862" t="s">
        <v>9</v>
      </c>
      <c r="D1862">
        <v>8.7899999999999991</v>
      </c>
      <c r="E1862" s="1">
        <v>23869814</v>
      </c>
      <c r="F1862" s="1">
        <v>2098157</v>
      </c>
      <c r="G1862" s="4">
        <f t="shared" si="88"/>
        <v>1561368.7398197202</v>
      </c>
      <c r="H1862" s="4">
        <f t="shared" ref="H1862:H1912" si="89">SQRT(SUMXMY2(F1859:F1861,G1859:G1861)/3)</f>
        <v>396498.21040620544</v>
      </c>
      <c r="I1862" s="17">
        <f t="shared" si="87"/>
        <v>0.74605728916284941</v>
      </c>
      <c r="J1862">
        <v>50.19</v>
      </c>
    </row>
    <row r="1863" spans="1:10" x14ac:dyDescent="0.25">
      <c r="A1863" t="s">
        <v>35</v>
      </c>
      <c r="B1863" t="s">
        <v>110</v>
      </c>
      <c r="C1863" t="s">
        <v>9</v>
      </c>
      <c r="D1863">
        <v>8.7200000000000006</v>
      </c>
      <c r="E1863" s="1">
        <v>22389479</v>
      </c>
      <c r="F1863" s="1">
        <v>1952363</v>
      </c>
      <c r="G1863" s="4">
        <f t="shared" si="88"/>
        <v>1937120.5219459159</v>
      </c>
      <c r="H1863" s="4">
        <f t="shared" si="89"/>
        <v>498663.21950733254</v>
      </c>
      <c r="I1863" s="17">
        <f t="shared" si="87"/>
        <v>0.74257501592807174</v>
      </c>
      <c r="J1863">
        <v>46.94</v>
      </c>
    </row>
    <row r="1864" spans="1:10" x14ac:dyDescent="0.25">
      <c r="A1864" t="s">
        <v>36</v>
      </c>
      <c r="B1864" t="s">
        <v>110</v>
      </c>
      <c r="C1864" t="s">
        <v>9</v>
      </c>
      <c r="D1864">
        <v>5.63</v>
      </c>
      <c r="E1864" s="1">
        <v>22899228</v>
      </c>
      <c r="F1864" s="1">
        <v>1289227</v>
      </c>
      <c r="G1864" s="4">
        <f t="shared" si="88"/>
        <v>1947790.2565837745</v>
      </c>
      <c r="H1864" s="4">
        <f t="shared" si="89"/>
        <v>475409.40483071562</v>
      </c>
      <c r="I1864" s="17">
        <f t="shared" si="87"/>
        <v>0.75592371754413878</v>
      </c>
      <c r="J1864">
        <v>46.34</v>
      </c>
    </row>
    <row r="1865" spans="1:10" x14ac:dyDescent="0.25">
      <c r="A1865" t="s">
        <v>37</v>
      </c>
      <c r="B1865" t="s">
        <v>110</v>
      </c>
      <c r="C1865" t="s">
        <v>9</v>
      </c>
      <c r="D1865">
        <v>7.33</v>
      </c>
      <c r="E1865" s="1">
        <v>22622121</v>
      </c>
      <c r="F1865" s="1">
        <v>1658201</v>
      </c>
      <c r="G1865" s="4">
        <f t="shared" si="88"/>
        <v>1486795.9769751322</v>
      </c>
      <c r="H1865" s="4">
        <f t="shared" si="89"/>
        <v>490604.90972092381</v>
      </c>
      <c r="I1865" s="17">
        <f t="shared" si="87"/>
        <v>0.67002539869723532</v>
      </c>
      <c r="J1865">
        <v>46.52</v>
      </c>
    </row>
    <row r="1866" spans="1:10" x14ac:dyDescent="0.25">
      <c r="A1866" t="s">
        <v>38</v>
      </c>
      <c r="B1866" t="s">
        <v>110</v>
      </c>
      <c r="C1866" t="s">
        <v>9</v>
      </c>
      <c r="D1866">
        <v>7.56</v>
      </c>
      <c r="E1866" s="1">
        <v>24109126</v>
      </c>
      <c r="F1866" s="1">
        <v>1822650</v>
      </c>
      <c r="G1866" s="4">
        <f t="shared" si="88"/>
        <v>1606779.4930925397</v>
      </c>
      <c r="H1866" s="4">
        <f t="shared" si="89"/>
        <v>392987.52226909663</v>
      </c>
      <c r="I1866" s="17">
        <f t="shared" si="87"/>
        <v>0.7554191325203431</v>
      </c>
      <c r="J1866">
        <v>49.6</v>
      </c>
    </row>
    <row r="1867" spans="1:10" x14ac:dyDescent="0.25">
      <c r="A1867" t="s">
        <v>39</v>
      </c>
      <c r="B1867" t="s">
        <v>110</v>
      </c>
      <c r="C1867" t="s">
        <v>9</v>
      </c>
      <c r="D1867">
        <v>6.21</v>
      </c>
      <c r="E1867" s="1">
        <v>23719522</v>
      </c>
      <c r="F1867" s="1">
        <v>1472982</v>
      </c>
      <c r="G1867" s="4">
        <f t="shared" si="88"/>
        <v>1757888.847927762</v>
      </c>
      <c r="H1867" s="4">
        <f t="shared" si="89"/>
        <v>412183.34132311627</v>
      </c>
      <c r="I1867" s="17">
        <f t="shared" si="87"/>
        <v>0.76552366106138781</v>
      </c>
      <c r="J1867">
        <v>48</v>
      </c>
    </row>
    <row r="1868" spans="1:10" x14ac:dyDescent="0.25">
      <c r="A1868" t="s">
        <v>40</v>
      </c>
      <c r="B1868" t="s">
        <v>110</v>
      </c>
      <c r="C1868" t="s">
        <v>9</v>
      </c>
      <c r="D1868">
        <v>4.8</v>
      </c>
      <c r="E1868" s="1">
        <v>23036472</v>
      </c>
      <c r="F1868" s="1">
        <v>1105751</v>
      </c>
      <c r="G1868" s="4">
        <f t="shared" si="88"/>
        <v>1558454.0543783284</v>
      </c>
      <c r="H1868" s="4">
        <f t="shared" si="89"/>
        <v>228875.27146663103</v>
      </c>
      <c r="I1868" s="17">
        <f t="shared" si="87"/>
        <v>0.85313954503591061</v>
      </c>
      <c r="J1868">
        <v>45.83</v>
      </c>
    </row>
    <row r="1869" spans="1:10" x14ac:dyDescent="0.25">
      <c r="A1869" t="s">
        <v>41</v>
      </c>
      <c r="B1869" t="s">
        <v>110</v>
      </c>
      <c r="C1869" t="s">
        <v>9</v>
      </c>
      <c r="D1869">
        <v>6.37</v>
      </c>
      <c r="E1869" s="1">
        <v>22959228</v>
      </c>
      <c r="F1869" s="1">
        <v>1462503</v>
      </c>
      <c r="G1869" s="4">
        <f t="shared" si="88"/>
        <v>1241561.9163134985</v>
      </c>
      <c r="H1869" s="4">
        <f t="shared" si="89"/>
        <v>333022.54337711359</v>
      </c>
      <c r="I1869" s="17">
        <f t="shared" si="87"/>
        <v>0.7317712962991495</v>
      </c>
      <c r="J1869">
        <v>46.35</v>
      </c>
    </row>
    <row r="1870" spans="1:10" x14ac:dyDescent="0.25">
      <c r="A1870" t="s">
        <v>42</v>
      </c>
      <c r="B1870" t="s">
        <v>110</v>
      </c>
      <c r="C1870" t="s">
        <v>9</v>
      </c>
      <c r="D1870">
        <v>6.27</v>
      </c>
      <c r="E1870" s="1">
        <v>24343879</v>
      </c>
      <c r="F1870" s="1">
        <v>1526361</v>
      </c>
      <c r="G1870" s="4">
        <f t="shared" si="88"/>
        <v>1396220.6748940495</v>
      </c>
      <c r="H1870" s="4">
        <f t="shared" si="89"/>
        <v>334129.18155516154</v>
      </c>
      <c r="I1870" s="17">
        <f t="shared" si="87"/>
        <v>0.76069027800314126</v>
      </c>
      <c r="J1870">
        <v>48.99</v>
      </c>
    </row>
    <row r="1871" spans="1:10" x14ac:dyDescent="0.25">
      <c r="A1871" t="s">
        <v>43</v>
      </c>
      <c r="B1871" t="s">
        <v>110</v>
      </c>
      <c r="C1871" t="s">
        <v>9</v>
      </c>
      <c r="D1871">
        <v>5.73</v>
      </c>
      <c r="E1871" s="1">
        <v>24083524</v>
      </c>
      <c r="F1871" s="1">
        <v>1379986</v>
      </c>
      <c r="G1871" s="4">
        <f t="shared" si="88"/>
        <v>1487318.9024682147</v>
      </c>
      <c r="H1871" s="4">
        <f t="shared" si="89"/>
        <v>300383.93328245543</v>
      </c>
      <c r="I1871" s="17">
        <f t="shared" si="87"/>
        <v>0.79803663304220329</v>
      </c>
      <c r="J1871">
        <v>48.09</v>
      </c>
    </row>
    <row r="1872" spans="1:10" x14ac:dyDescent="0.25">
      <c r="A1872" t="s">
        <v>44</v>
      </c>
      <c r="B1872" t="s">
        <v>110</v>
      </c>
      <c r="C1872" t="s">
        <v>9</v>
      </c>
      <c r="D1872">
        <v>5.38</v>
      </c>
      <c r="E1872" s="1">
        <v>23436809</v>
      </c>
      <c r="F1872" s="1">
        <v>1260900</v>
      </c>
      <c r="G1872" s="4">
        <f t="shared" si="88"/>
        <v>1412185.8707404644</v>
      </c>
      <c r="H1872" s="4">
        <f t="shared" si="89"/>
        <v>160490.72520605818</v>
      </c>
      <c r="I1872" s="17">
        <f t="shared" si="87"/>
        <v>0.88635297340717145</v>
      </c>
      <c r="J1872">
        <v>46.53</v>
      </c>
    </row>
    <row r="1873" spans="1:10" x14ac:dyDescent="0.25">
      <c r="A1873" t="s">
        <v>45</v>
      </c>
      <c r="B1873" t="s">
        <v>110</v>
      </c>
      <c r="C1873" t="s">
        <v>9</v>
      </c>
      <c r="D1873">
        <v>6.7</v>
      </c>
      <c r="E1873" s="1">
        <v>23418234</v>
      </c>
      <c r="F1873" s="1">
        <v>1569022</v>
      </c>
      <c r="G1873" s="4">
        <f t="shared" si="88"/>
        <v>1306285.7612221392</v>
      </c>
      <c r="H1873" s="4">
        <f t="shared" si="89"/>
        <v>130823.38075516712</v>
      </c>
      <c r="I1873" s="17">
        <f t="shared" si="87"/>
        <v>0.8998508713493355</v>
      </c>
      <c r="J1873">
        <v>47.06</v>
      </c>
    </row>
    <row r="1874" spans="1:10" x14ac:dyDescent="0.25">
      <c r="A1874" t="s">
        <v>46</v>
      </c>
      <c r="B1874" t="s">
        <v>110</v>
      </c>
      <c r="C1874" t="s">
        <v>9</v>
      </c>
      <c r="D1874">
        <v>5.99</v>
      </c>
      <c r="E1874" s="1">
        <v>24664811</v>
      </c>
      <c r="F1874" s="1">
        <v>1477422</v>
      </c>
      <c r="G1874" s="4">
        <f t="shared" si="88"/>
        <v>1490201.1283666417</v>
      </c>
      <c r="H1874" s="4">
        <f t="shared" si="89"/>
        <v>185686.20286663633</v>
      </c>
      <c r="I1874" s="17">
        <f t="shared" si="87"/>
        <v>0.87539520717571828</v>
      </c>
      <c r="J1874">
        <v>49.09</v>
      </c>
    </row>
    <row r="1875" spans="1:10" x14ac:dyDescent="0.25">
      <c r="A1875" t="s">
        <v>47</v>
      </c>
      <c r="B1875" t="s">
        <v>110</v>
      </c>
      <c r="C1875" t="s">
        <v>9</v>
      </c>
      <c r="D1875">
        <v>5.54</v>
      </c>
      <c r="E1875" s="1">
        <v>25033573</v>
      </c>
      <c r="F1875" s="1">
        <v>1386860</v>
      </c>
      <c r="G1875" s="4">
        <f t="shared" si="88"/>
        <v>1481255.7385099924</v>
      </c>
      <c r="H1875" s="4">
        <f t="shared" si="89"/>
        <v>175196.130070129</v>
      </c>
      <c r="I1875" s="17">
        <f t="shared" si="87"/>
        <v>0.88172458980894131</v>
      </c>
      <c r="J1875">
        <v>49.49</v>
      </c>
    </row>
    <row r="1876" spans="1:10" x14ac:dyDescent="0.25">
      <c r="A1876" t="s">
        <v>48</v>
      </c>
      <c r="B1876" t="s">
        <v>110</v>
      </c>
      <c r="C1876" t="s">
        <v>9</v>
      </c>
      <c r="D1876">
        <v>6.51</v>
      </c>
      <c r="E1876" s="1">
        <v>24167841</v>
      </c>
      <c r="F1876" s="1">
        <v>1573326</v>
      </c>
      <c r="G1876" s="4">
        <f t="shared" si="88"/>
        <v>1415178.7215529976</v>
      </c>
      <c r="H1876" s="4">
        <f t="shared" si="89"/>
        <v>161352.81501293476</v>
      </c>
      <c r="I1876" s="17">
        <f t="shared" si="87"/>
        <v>0.88598414281139803</v>
      </c>
      <c r="J1876">
        <v>48.18</v>
      </c>
    </row>
    <row r="1877" spans="1:10" x14ac:dyDescent="0.25">
      <c r="A1877" t="s">
        <v>49</v>
      </c>
      <c r="B1877" t="s">
        <v>110</v>
      </c>
      <c r="C1877" t="s">
        <v>9</v>
      </c>
      <c r="D1877">
        <v>6.02</v>
      </c>
      <c r="E1877" s="1">
        <v>23452891</v>
      </c>
      <c r="F1877" s="1">
        <v>1411864</v>
      </c>
      <c r="G1877" s="4">
        <f t="shared" si="88"/>
        <v>1525881.8164658993</v>
      </c>
      <c r="H1877" s="4">
        <f t="shared" si="89"/>
        <v>106590.21726664488</v>
      </c>
      <c r="I1877" s="17">
        <f t="shared" si="87"/>
        <v>0.93014516844199713</v>
      </c>
      <c r="J1877">
        <v>46.41</v>
      </c>
    </row>
    <row r="1878" spans="1:10" x14ac:dyDescent="0.25">
      <c r="A1878" t="s">
        <v>50</v>
      </c>
      <c r="B1878" t="s">
        <v>110</v>
      </c>
      <c r="C1878" t="s">
        <v>9</v>
      </c>
      <c r="D1878">
        <v>5.85</v>
      </c>
      <c r="E1878" s="1">
        <v>25543479</v>
      </c>
      <c r="F1878" s="1">
        <v>1494294</v>
      </c>
      <c r="G1878" s="4">
        <f t="shared" si="88"/>
        <v>1446069.3449397697</v>
      </c>
      <c r="H1878" s="4">
        <f t="shared" si="89"/>
        <v>125061.55764354885</v>
      </c>
      <c r="I1878" s="17">
        <f t="shared" si="87"/>
        <v>0.91351620993752702</v>
      </c>
      <c r="J1878">
        <v>50.36</v>
      </c>
    </row>
    <row r="1879" spans="1:10" x14ac:dyDescent="0.25">
      <c r="A1879" t="s">
        <v>51</v>
      </c>
      <c r="B1879" t="s">
        <v>110</v>
      </c>
      <c r="C1879" t="s">
        <v>9</v>
      </c>
      <c r="D1879">
        <v>5.62</v>
      </c>
      <c r="E1879" s="1">
        <v>24857801</v>
      </c>
      <c r="F1879" s="1">
        <v>1397008</v>
      </c>
      <c r="G1879" s="4">
        <f t="shared" si="88"/>
        <v>1479826.6034819309</v>
      </c>
      <c r="H1879" s="4">
        <f t="shared" si="89"/>
        <v>115954.36100397921</v>
      </c>
      <c r="I1879" s="17">
        <f t="shared" si="87"/>
        <v>0.92164327852253336</v>
      </c>
      <c r="J1879">
        <v>48.78</v>
      </c>
    </row>
    <row r="1880" spans="1:10" x14ac:dyDescent="0.25">
      <c r="A1880" t="s">
        <v>52</v>
      </c>
      <c r="B1880" t="s">
        <v>110</v>
      </c>
      <c r="C1880" t="s">
        <v>9</v>
      </c>
      <c r="D1880">
        <v>5.58</v>
      </c>
      <c r="E1880" s="1">
        <v>24924839</v>
      </c>
      <c r="F1880" s="1">
        <v>1390806</v>
      </c>
      <c r="G1880" s="4">
        <f t="shared" si="88"/>
        <v>1421853.5810445792</v>
      </c>
      <c r="H1880" s="4">
        <f t="shared" si="89"/>
        <v>85993.412364023563</v>
      </c>
      <c r="I1880" s="17">
        <f t="shared" si="87"/>
        <v>0.93952020551873738</v>
      </c>
      <c r="J1880">
        <v>48.79</v>
      </c>
    </row>
    <row r="1881" spans="1:10" x14ac:dyDescent="0.25">
      <c r="A1881" t="s">
        <v>53</v>
      </c>
      <c r="B1881" t="s">
        <v>110</v>
      </c>
      <c r="C1881" t="s">
        <v>9</v>
      </c>
      <c r="D1881">
        <v>5.81</v>
      </c>
      <c r="E1881" s="1">
        <v>24623902</v>
      </c>
      <c r="F1881" s="1">
        <v>1430649</v>
      </c>
      <c r="G1881" s="4">
        <f t="shared" si="88"/>
        <v>1400120.2743133737</v>
      </c>
      <c r="H1881" s="4">
        <f t="shared" si="89"/>
        <v>58162.103145992478</v>
      </c>
      <c r="I1881" s="17">
        <f t="shared" si="87"/>
        <v>0.95845920938862528</v>
      </c>
      <c r="J1881">
        <v>48.22</v>
      </c>
    </row>
    <row r="1882" spans="1:10" x14ac:dyDescent="0.25">
      <c r="A1882" t="s">
        <v>54</v>
      </c>
      <c r="B1882" t="s">
        <v>110</v>
      </c>
      <c r="C1882" t="s">
        <v>9</v>
      </c>
      <c r="D1882">
        <v>6.78</v>
      </c>
      <c r="E1882" s="1">
        <v>24353011</v>
      </c>
      <c r="F1882" s="1">
        <v>1651134</v>
      </c>
      <c r="G1882" s="4">
        <f t="shared" si="88"/>
        <v>1421490.382294012</v>
      </c>
      <c r="H1882" s="4">
        <f t="shared" si="89"/>
        <v>54021.219483539629</v>
      </c>
      <c r="I1882" s="17">
        <f t="shared" si="87"/>
        <v>0.96199677454281485</v>
      </c>
      <c r="J1882">
        <v>48.09</v>
      </c>
    </row>
    <row r="1883" spans="1:10" x14ac:dyDescent="0.25">
      <c r="A1883" t="s">
        <v>55</v>
      </c>
      <c r="B1883" t="s">
        <v>110</v>
      </c>
      <c r="C1883" t="s">
        <v>9</v>
      </c>
      <c r="D1883">
        <v>5.83</v>
      </c>
      <c r="E1883" s="1">
        <v>25630349</v>
      </c>
      <c r="F1883" s="1">
        <v>1494249</v>
      </c>
      <c r="G1883" s="4">
        <f t="shared" si="88"/>
        <v>1582240.9146882035</v>
      </c>
      <c r="H1883" s="4">
        <f t="shared" si="89"/>
        <v>134947.08411554378</v>
      </c>
      <c r="I1883" s="17">
        <f t="shared" si="87"/>
        <v>0.91471141792453492</v>
      </c>
      <c r="J1883">
        <v>50</v>
      </c>
    </row>
    <row r="1884" spans="1:10" x14ac:dyDescent="0.25">
      <c r="A1884" t="s">
        <v>56</v>
      </c>
      <c r="B1884" t="s">
        <v>110</v>
      </c>
      <c r="C1884" t="s">
        <v>9</v>
      </c>
      <c r="D1884">
        <v>5.79</v>
      </c>
      <c r="E1884" s="1">
        <v>24906236</v>
      </c>
      <c r="F1884" s="1">
        <v>1442071</v>
      </c>
      <c r="G1884" s="4">
        <f t="shared" si="88"/>
        <v>1520646.5744064609</v>
      </c>
      <c r="H1884" s="4">
        <f t="shared" si="89"/>
        <v>143074.30621375187</v>
      </c>
      <c r="I1884" s="17">
        <f t="shared" si="87"/>
        <v>0.90591218983964328</v>
      </c>
      <c r="J1884">
        <v>48.47</v>
      </c>
    </row>
    <row r="1885" spans="1:10" x14ac:dyDescent="0.25">
      <c r="A1885" t="s">
        <v>57</v>
      </c>
      <c r="B1885" t="s">
        <v>110</v>
      </c>
      <c r="C1885" t="s">
        <v>9</v>
      </c>
      <c r="D1885">
        <v>6.79</v>
      </c>
      <c r="E1885" s="1">
        <v>24612171</v>
      </c>
      <c r="F1885" s="1">
        <v>1671166</v>
      </c>
      <c r="G1885" s="4">
        <f t="shared" si="88"/>
        <v>1465643.6723219382</v>
      </c>
      <c r="H1885" s="4">
        <f t="shared" si="89"/>
        <v>149055.79391276644</v>
      </c>
      <c r="I1885" s="17">
        <f t="shared" si="87"/>
        <v>0.89830011432681611</v>
      </c>
      <c r="J1885">
        <v>48.3</v>
      </c>
    </row>
    <row r="1886" spans="1:10" x14ac:dyDescent="0.25">
      <c r="A1886" t="s">
        <v>58</v>
      </c>
      <c r="B1886" t="s">
        <v>110</v>
      </c>
      <c r="C1886" t="s">
        <v>9</v>
      </c>
      <c r="D1886">
        <v>3.78</v>
      </c>
      <c r="E1886" s="1">
        <v>26093009</v>
      </c>
      <c r="F1886" s="1">
        <v>986316</v>
      </c>
      <c r="G1886" s="4">
        <f t="shared" si="88"/>
        <v>1609509.3016965813</v>
      </c>
      <c r="H1886" s="4">
        <f t="shared" si="89"/>
        <v>136816.33079669249</v>
      </c>
      <c r="I1886" s="17">
        <f t="shared" si="87"/>
        <v>0.91499500459396255</v>
      </c>
      <c r="J1886">
        <v>49.51</v>
      </c>
    </row>
    <row r="1887" spans="1:10" x14ac:dyDescent="0.25">
      <c r="A1887" t="s">
        <v>59</v>
      </c>
      <c r="B1887" t="s">
        <v>110</v>
      </c>
      <c r="C1887" t="s">
        <v>9</v>
      </c>
      <c r="D1887">
        <v>7.02</v>
      </c>
      <c r="E1887" s="1">
        <v>25097812</v>
      </c>
      <c r="F1887" s="1">
        <v>1761866</v>
      </c>
      <c r="G1887" s="4">
        <f t="shared" si="88"/>
        <v>1173273.9905089743</v>
      </c>
      <c r="H1887" s="4">
        <f t="shared" si="89"/>
        <v>381568.44704762124</v>
      </c>
      <c r="I1887" s="17">
        <f t="shared" si="87"/>
        <v>0.674783170739092</v>
      </c>
      <c r="J1887">
        <v>49.18</v>
      </c>
    </row>
    <row r="1888" spans="1:10" x14ac:dyDescent="0.25">
      <c r="A1888" t="s">
        <v>60</v>
      </c>
      <c r="B1888" t="s">
        <v>110</v>
      </c>
      <c r="C1888" t="s">
        <v>9</v>
      </c>
      <c r="D1888">
        <v>18.32</v>
      </c>
      <c r="E1888" s="1">
        <v>17639370</v>
      </c>
      <c r="F1888" s="1">
        <v>3231533</v>
      </c>
      <c r="G1888" s="4">
        <f t="shared" si="88"/>
        <v>1585288.3971526923</v>
      </c>
      <c r="H1888" s="4">
        <f t="shared" si="89"/>
        <v>508936.7583797875</v>
      </c>
      <c r="I1888" s="17">
        <f t="shared" si="87"/>
        <v>0.67896266742765576</v>
      </c>
      <c r="J1888">
        <v>39.270000000000003</v>
      </c>
    </row>
    <row r="1889" spans="1:10" x14ac:dyDescent="0.25">
      <c r="A1889" t="s">
        <v>61</v>
      </c>
      <c r="B1889" t="s">
        <v>110</v>
      </c>
      <c r="C1889" t="s">
        <v>9</v>
      </c>
      <c r="D1889">
        <v>18.43</v>
      </c>
      <c r="E1889" s="1">
        <v>19115772</v>
      </c>
      <c r="F1889" s="1">
        <v>3523037</v>
      </c>
      <c r="G1889" s="4">
        <f t="shared" si="88"/>
        <v>2737659.6191458073</v>
      </c>
      <c r="H1889" s="4">
        <f t="shared" si="89"/>
        <v>1071592.5434168933</v>
      </c>
      <c r="I1889" s="17">
        <f t="shared" si="87"/>
        <v>0.60857349251064052</v>
      </c>
      <c r="J1889">
        <v>42.53</v>
      </c>
    </row>
    <row r="1890" spans="1:10" x14ac:dyDescent="0.25">
      <c r="A1890" t="s">
        <v>62</v>
      </c>
      <c r="B1890" t="s">
        <v>110</v>
      </c>
      <c r="C1890" t="s">
        <v>9</v>
      </c>
      <c r="D1890">
        <v>5.96</v>
      </c>
      <c r="E1890" s="1">
        <v>21532156</v>
      </c>
      <c r="F1890" s="1">
        <v>1283316</v>
      </c>
      <c r="G1890" s="4">
        <f t="shared" si="88"/>
        <v>3287423.7857437422</v>
      </c>
      <c r="H1890" s="4">
        <f t="shared" si="89"/>
        <v>1106553.1281714351</v>
      </c>
      <c r="I1890" s="17">
        <f t="shared" si="87"/>
        <v>0.6633980891146074</v>
      </c>
      <c r="J1890">
        <v>41.47</v>
      </c>
    </row>
    <row r="1891" spans="1:10" x14ac:dyDescent="0.25">
      <c r="A1891" t="s">
        <v>63</v>
      </c>
      <c r="B1891" t="s">
        <v>110</v>
      </c>
      <c r="C1891" t="s">
        <v>9</v>
      </c>
      <c r="D1891">
        <v>4.4000000000000004</v>
      </c>
      <c r="E1891" s="1">
        <v>25839438</v>
      </c>
      <c r="F1891" s="1">
        <v>1136935</v>
      </c>
      <c r="G1891" s="4">
        <f t="shared" si="88"/>
        <v>1884548.3357231226</v>
      </c>
      <c r="H1891" s="4">
        <f t="shared" si="89"/>
        <v>1564543.2709090074</v>
      </c>
      <c r="I1891" s="17">
        <f t="shared" si="87"/>
        <v>0.1698046469534174</v>
      </c>
      <c r="J1891">
        <v>48.85</v>
      </c>
    </row>
    <row r="1892" spans="1:10" x14ac:dyDescent="0.25">
      <c r="A1892" t="s">
        <v>64</v>
      </c>
      <c r="B1892" t="s">
        <v>110</v>
      </c>
      <c r="C1892" t="s">
        <v>9</v>
      </c>
      <c r="D1892">
        <v>13.13</v>
      </c>
      <c r="E1892" s="1">
        <v>23276167</v>
      </c>
      <c r="F1892" s="1">
        <v>3056161</v>
      </c>
      <c r="G1892" s="4">
        <f t="shared" si="88"/>
        <v>1361219.0007169368</v>
      </c>
      <c r="H1892" s="4">
        <f t="shared" si="89"/>
        <v>1315572.2895362729</v>
      </c>
      <c r="I1892" s="17">
        <f t="shared" si="87"/>
        <v>3.3533701158022594E-2</v>
      </c>
      <c r="J1892">
        <v>48.32</v>
      </c>
    </row>
    <row r="1893" spans="1:10" x14ac:dyDescent="0.25">
      <c r="A1893" t="s">
        <v>65</v>
      </c>
      <c r="B1893" t="s">
        <v>110</v>
      </c>
      <c r="C1893" t="s">
        <v>9</v>
      </c>
      <c r="D1893">
        <v>8</v>
      </c>
      <c r="E1893" s="1">
        <v>25355088</v>
      </c>
      <c r="F1893" s="1">
        <v>2028407</v>
      </c>
      <c r="G1893" s="4">
        <f t="shared" si="88"/>
        <v>2547678.4002150809</v>
      </c>
      <c r="H1893" s="4">
        <f t="shared" si="89"/>
        <v>1575669.3918843307</v>
      </c>
      <c r="I1893" s="17">
        <f t="shared" si="87"/>
        <v>0.38152735771072638</v>
      </c>
      <c r="J1893">
        <v>49.6</v>
      </c>
    </row>
    <row r="1894" spans="1:10" x14ac:dyDescent="0.25">
      <c r="A1894" t="s">
        <v>66</v>
      </c>
      <c r="B1894" t="s">
        <v>110</v>
      </c>
      <c r="C1894" t="s">
        <v>9</v>
      </c>
      <c r="D1894">
        <v>10.48</v>
      </c>
      <c r="E1894" s="1">
        <v>23913470</v>
      </c>
      <c r="F1894" s="1">
        <v>2506132</v>
      </c>
      <c r="G1894" s="4">
        <f t="shared" si="88"/>
        <v>2184188.4200645243</v>
      </c>
      <c r="H1894" s="4">
        <f t="shared" si="89"/>
        <v>1110765.0318235704</v>
      </c>
      <c r="I1894" s="17">
        <f t="shared" si="87"/>
        <v>0.49145182639931922</v>
      </c>
      <c r="J1894">
        <v>47.98</v>
      </c>
    </row>
    <row r="1895" spans="1:10" x14ac:dyDescent="0.25">
      <c r="A1895" t="s">
        <v>67</v>
      </c>
      <c r="B1895" t="s">
        <v>110</v>
      </c>
      <c r="C1895" t="s">
        <v>9</v>
      </c>
      <c r="D1895">
        <v>12.38</v>
      </c>
      <c r="E1895" s="1">
        <v>23159145</v>
      </c>
      <c r="F1895" s="1">
        <v>2867102</v>
      </c>
      <c r="G1895" s="4">
        <f t="shared" si="88"/>
        <v>2409548.9260193571</v>
      </c>
      <c r="H1895" s="4">
        <f t="shared" si="89"/>
        <v>1040211.3305600723</v>
      </c>
      <c r="I1895" s="17">
        <f t="shared" si="87"/>
        <v>0.56829624029318593</v>
      </c>
      <c r="J1895">
        <v>47.38</v>
      </c>
    </row>
    <row r="1896" spans="1:10" x14ac:dyDescent="0.25">
      <c r="A1896" t="s">
        <v>68</v>
      </c>
      <c r="B1896" t="s">
        <v>110</v>
      </c>
      <c r="C1896" t="s">
        <v>9</v>
      </c>
      <c r="D1896">
        <v>5.52</v>
      </c>
      <c r="E1896" s="1">
        <v>25277052</v>
      </c>
      <c r="F1896" s="1">
        <v>1395293</v>
      </c>
      <c r="G1896" s="4">
        <f t="shared" si="88"/>
        <v>2729836.0778058069</v>
      </c>
      <c r="H1896" s="4">
        <f t="shared" si="89"/>
        <v>440698.41208856064</v>
      </c>
      <c r="I1896" s="17">
        <f t="shared" si="87"/>
        <v>0.83856231673705983</v>
      </c>
      <c r="J1896">
        <v>47.85</v>
      </c>
    </row>
    <row r="1897" spans="1:10" x14ac:dyDescent="0.25">
      <c r="A1897" t="s">
        <v>69</v>
      </c>
      <c r="B1897" t="s">
        <v>110</v>
      </c>
      <c r="C1897" t="s">
        <v>9</v>
      </c>
      <c r="D1897">
        <v>4.83</v>
      </c>
      <c r="E1897" s="1">
        <v>25877979</v>
      </c>
      <c r="F1897" s="1">
        <v>1249906</v>
      </c>
      <c r="G1897" s="4">
        <f t="shared" si="88"/>
        <v>1795655.923341742</v>
      </c>
      <c r="H1897" s="4">
        <f t="shared" si="89"/>
        <v>835465.48117206327</v>
      </c>
      <c r="I1897" s="17">
        <f t="shared" si="87"/>
        <v>0.53472963817185548</v>
      </c>
      <c r="J1897">
        <v>48.54</v>
      </c>
    </row>
    <row r="1898" spans="1:10" x14ac:dyDescent="0.25">
      <c r="A1898" t="s">
        <v>70</v>
      </c>
      <c r="B1898" t="s">
        <v>110</v>
      </c>
      <c r="C1898" t="s">
        <v>9</v>
      </c>
      <c r="D1898">
        <v>6.35</v>
      </c>
      <c r="E1898" s="1">
        <v>26281435</v>
      </c>
      <c r="F1898" s="1">
        <v>1668871</v>
      </c>
      <c r="G1898" s="4">
        <f t="shared" si="88"/>
        <v>1413630.9770025224</v>
      </c>
      <c r="H1898" s="4">
        <f t="shared" si="89"/>
        <v>873346.63237763138</v>
      </c>
      <c r="I1898" s="17">
        <f t="shared" si="87"/>
        <v>0.38219616959053593</v>
      </c>
      <c r="J1898">
        <v>50</v>
      </c>
    </row>
    <row r="1899" spans="1:10" x14ac:dyDescent="0.25">
      <c r="A1899" t="s">
        <v>71</v>
      </c>
      <c r="B1899" t="s">
        <v>110</v>
      </c>
      <c r="C1899" t="s">
        <v>9</v>
      </c>
      <c r="D1899">
        <v>7.68</v>
      </c>
      <c r="E1899" s="1">
        <v>25044372</v>
      </c>
      <c r="F1899" s="1">
        <v>1923408</v>
      </c>
      <c r="G1899" s="4">
        <f t="shared" si="88"/>
        <v>1592298.9931007568</v>
      </c>
      <c r="H1899" s="4">
        <f t="shared" si="89"/>
        <v>845378.74641816935</v>
      </c>
      <c r="I1899" s="17">
        <f t="shared" si="87"/>
        <v>0.46908291088476756</v>
      </c>
      <c r="J1899">
        <v>48.23</v>
      </c>
    </row>
    <row r="1900" spans="1:10" x14ac:dyDescent="0.25">
      <c r="A1900" t="s">
        <v>72</v>
      </c>
      <c r="B1900" t="s">
        <v>110</v>
      </c>
      <c r="C1900" t="s">
        <v>9</v>
      </c>
      <c r="D1900">
        <v>7.49</v>
      </c>
      <c r="E1900" s="1">
        <v>23876542</v>
      </c>
      <c r="F1900" s="1">
        <v>1788353</v>
      </c>
      <c r="G1900" s="4">
        <f t="shared" si="88"/>
        <v>1824075.2979302269</v>
      </c>
      <c r="H1900" s="4">
        <f t="shared" si="89"/>
        <v>396914.60988356732</v>
      </c>
      <c r="I1900" s="17">
        <f t="shared" si="87"/>
        <v>0.78240228880137508</v>
      </c>
      <c r="J1900">
        <v>45.8</v>
      </c>
    </row>
    <row r="1901" spans="1:10" x14ac:dyDescent="0.25">
      <c r="A1901" t="s">
        <v>73</v>
      </c>
      <c r="B1901" t="s">
        <v>110</v>
      </c>
      <c r="C1901" t="s">
        <v>9</v>
      </c>
      <c r="D1901">
        <v>21.81</v>
      </c>
      <c r="E1901" s="1">
        <v>18987650</v>
      </c>
      <c r="F1901" s="1">
        <v>4141206</v>
      </c>
      <c r="G1901" s="4">
        <f t="shared" si="88"/>
        <v>1799069.6893790679</v>
      </c>
      <c r="H1901" s="4">
        <f t="shared" si="89"/>
        <v>242251.05872418932</v>
      </c>
      <c r="I1901" s="17">
        <f t="shared" si="87"/>
        <v>0.86534648426665439</v>
      </c>
      <c r="J1901">
        <v>43</v>
      </c>
    </row>
    <row r="1902" spans="1:10" x14ac:dyDescent="0.25">
      <c r="A1902" t="s">
        <v>74</v>
      </c>
      <c r="B1902" t="s">
        <v>110</v>
      </c>
      <c r="C1902" t="s">
        <v>9</v>
      </c>
      <c r="D1902">
        <v>25.56</v>
      </c>
      <c r="E1902" s="1">
        <v>19779606</v>
      </c>
      <c r="F1902" s="1">
        <v>5055667</v>
      </c>
      <c r="G1902" s="4">
        <f t="shared" si="88"/>
        <v>3438565.10681372</v>
      </c>
      <c r="H1902" s="4">
        <f t="shared" si="89"/>
        <v>1365834.5134688718</v>
      </c>
      <c r="I1902" s="17">
        <f t="shared" si="87"/>
        <v>0.6027893987633417</v>
      </c>
      <c r="J1902">
        <v>46.95</v>
      </c>
    </row>
    <row r="1903" spans="1:10" x14ac:dyDescent="0.25">
      <c r="A1903" t="s">
        <v>75</v>
      </c>
      <c r="B1903" t="s">
        <v>110</v>
      </c>
      <c r="C1903" t="s">
        <v>9</v>
      </c>
      <c r="D1903">
        <v>6.59</v>
      </c>
      <c r="E1903" s="1">
        <v>24573809</v>
      </c>
      <c r="F1903" s="1">
        <v>1619414</v>
      </c>
      <c r="G1903" s="4">
        <f t="shared" si="88"/>
        <v>4570536.4320441158</v>
      </c>
      <c r="H1903" s="4">
        <f t="shared" si="89"/>
        <v>1643360.0856218436</v>
      </c>
      <c r="I1903" s="17">
        <f t="shared" si="87"/>
        <v>0.64044481210121962</v>
      </c>
      <c r="J1903">
        <v>46.39</v>
      </c>
    </row>
    <row r="1904" spans="1:10" x14ac:dyDescent="0.25">
      <c r="A1904" t="s">
        <v>76</v>
      </c>
      <c r="B1904" t="s">
        <v>110</v>
      </c>
      <c r="C1904" t="s">
        <v>9</v>
      </c>
      <c r="D1904">
        <v>6.62</v>
      </c>
      <c r="E1904" s="1">
        <v>24494680</v>
      </c>
      <c r="F1904" s="1">
        <v>1621548</v>
      </c>
      <c r="G1904" s="4">
        <f t="shared" si="88"/>
        <v>2504750.7296132343</v>
      </c>
      <c r="H1904" s="4">
        <f t="shared" si="89"/>
        <v>2367118.1240339247</v>
      </c>
      <c r="I1904" s="17">
        <f t="shared" si="87"/>
        <v>5.4948623809987621E-2</v>
      </c>
      <c r="J1904">
        <v>46.16</v>
      </c>
    </row>
    <row r="1905" spans="1:10" x14ac:dyDescent="0.25">
      <c r="A1905" t="s">
        <v>77</v>
      </c>
      <c r="B1905" t="s">
        <v>110</v>
      </c>
      <c r="C1905" t="s">
        <v>9</v>
      </c>
      <c r="D1905">
        <v>6.59</v>
      </c>
      <c r="E1905" s="1">
        <v>25210093</v>
      </c>
      <c r="F1905" s="1">
        <v>1661345</v>
      </c>
      <c r="G1905" s="4">
        <f t="shared" si="88"/>
        <v>1886508.8188839701</v>
      </c>
      <c r="H1905" s="4">
        <f t="shared" si="89"/>
        <v>2008663.6688320003</v>
      </c>
      <c r="I1905" s="17">
        <f t="shared" si="87"/>
        <v>-6.4751804351646305E-2</v>
      </c>
      <c r="J1905">
        <v>47.4</v>
      </c>
    </row>
    <row r="1906" spans="1:10" x14ac:dyDescent="0.25">
      <c r="A1906" t="s">
        <v>78</v>
      </c>
      <c r="B1906" t="s">
        <v>110</v>
      </c>
      <c r="C1906" t="s">
        <v>9</v>
      </c>
      <c r="D1906">
        <v>5.6</v>
      </c>
      <c r="E1906" s="1">
        <v>25424790</v>
      </c>
      <c r="F1906" s="1">
        <v>1423788</v>
      </c>
      <c r="G1906" s="4">
        <f t="shared" si="88"/>
        <v>1728894.1456651911</v>
      </c>
      <c r="H1906" s="4">
        <f t="shared" si="89"/>
        <v>1783243.245311256</v>
      </c>
      <c r="I1906" s="17">
        <f t="shared" si="87"/>
        <v>-3.1435758969010873E-2</v>
      </c>
      <c r="J1906">
        <v>47.2</v>
      </c>
    </row>
    <row r="1907" spans="1:10" x14ac:dyDescent="0.25">
      <c r="A1907" t="s">
        <v>79</v>
      </c>
      <c r="B1907" t="s">
        <v>110</v>
      </c>
      <c r="C1907" t="s">
        <v>9</v>
      </c>
      <c r="D1907">
        <v>5.93</v>
      </c>
      <c r="E1907" s="1">
        <v>25006196</v>
      </c>
      <c r="F1907" s="1">
        <v>1482867</v>
      </c>
      <c r="G1907" s="4">
        <f t="shared" si="88"/>
        <v>1515319.8436995572</v>
      </c>
      <c r="H1907" s="4">
        <f t="shared" si="89"/>
        <v>554928.09355607803</v>
      </c>
      <c r="I1907" s="17">
        <f t="shared" si="87"/>
        <v>0.63378814323367116</v>
      </c>
      <c r="J1907">
        <v>46.49</v>
      </c>
    </row>
    <row r="1908" spans="1:10" x14ac:dyDescent="0.25">
      <c r="A1908" t="s">
        <v>80</v>
      </c>
      <c r="B1908" t="s">
        <v>110</v>
      </c>
      <c r="C1908" t="s">
        <v>9</v>
      </c>
      <c r="D1908">
        <v>6.8</v>
      </c>
      <c r="E1908" s="1">
        <v>24215396</v>
      </c>
      <c r="F1908" s="1">
        <v>1646647</v>
      </c>
      <c r="G1908" s="4">
        <f t="shared" si="88"/>
        <v>1492602.8531098671</v>
      </c>
      <c r="H1908" s="4">
        <f t="shared" si="89"/>
        <v>219728.38727337139</v>
      </c>
      <c r="I1908" s="17">
        <f t="shared" si="87"/>
        <v>0.8527884448193549</v>
      </c>
      <c r="J1908">
        <v>45.35</v>
      </c>
    </row>
    <row r="1909" spans="1:10" x14ac:dyDescent="0.25">
      <c r="A1909" t="s">
        <v>81</v>
      </c>
      <c r="B1909" t="s">
        <v>110</v>
      </c>
      <c r="C1909" t="s">
        <v>9</v>
      </c>
      <c r="D1909">
        <v>5.82</v>
      </c>
      <c r="E1909" s="1">
        <v>25640434</v>
      </c>
      <c r="F1909" s="1">
        <v>1492273</v>
      </c>
      <c r="G1909" s="4">
        <f t="shared" si="88"/>
        <v>1600433.75593296</v>
      </c>
      <c r="H1909" s="4">
        <f t="shared" si="89"/>
        <v>198219.1938048765</v>
      </c>
      <c r="I1909" s="17">
        <f t="shared" si="87"/>
        <v>0.87614658021923175</v>
      </c>
      <c r="J1909">
        <v>47.42</v>
      </c>
    </row>
    <row r="1910" spans="1:10" x14ac:dyDescent="0.25">
      <c r="A1910" t="s">
        <v>82</v>
      </c>
      <c r="B1910" t="s">
        <v>110</v>
      </c>
      <c r="C1910" t="s">
        <v>9</v>
      </c>
      <c r="D1910">
        <v>6.54</v>
      </c>
      <c r="E1910" s="1">
        <v>25330389</v>
      </c>
      <c r="F1910" s="1">
        <v>1656607</v>
      </c>
      <c r="G1910" s="4">
        <f t="shared" si="88"/>
        <v>1524721.2267798879</v>
      </c>
      <c r="H1910" s="4">
        <f t="shared" si="89"/>
        <v>110274.71057815276</v>
      </c>
      <c r="I1910" s="17">
        <f t="shared" si="87"/>
        <v>0.92767549330244081</v>
      </c>
      <c r="J1910">
        <v>47.12</v>
      </c>
    </row>
    <row r="1911" spans="1:10" x14ac:dyDescent="0.25">
      <c r="A1911" t="s">
        <v>83</v>
      </c>
      <c r="B1911" t="s">
        <v>110</v>
      </c>
      <c r="C1911" t="s">
        <v>9</v>
      </c>
      <c r="D1911">
        <v>5.0599999999999996</v>
      </c>
      <c r="E1911" s="1">
        <v>24580354</v>
      </c>
      <c r="F1911" s="1">
        <v>1243766</v>
      </c>
      <c r="G1911" s="4">
        <f t="shared" si="88"/>
        <v>1617041.2680339662</v>
      </c>
      <c r="H1911" s="4">
        <f t="shared" si="89"/>
        <v>132692.88538195385</v>
      </c>
      <c r="I1911" s="17">
        <f t="shared" si="87"/>
        <v>0.91794094065188292</v>
      </c>
      <c r="J1911">
        <v>44.92</v>
      </c>
    </row>
    <row r="1912" spans="1:10" x14ac:dyDescent="0.25">
      <c r="A1912" t="s">
        <v>84</v>
      </c>
      <c r="B1912" t="s">
        <v>110</v>
      </c>
      <c r="C1912" t="s">
        <v>9</v>
      </c>
      <c r="D1912">
        <v>5.26</v>
      </c>
      <c r="E1912" s="1">
        <v>24548458</v>
      </c>
      <c r="F1912" s="1">
        <v>1291249</v>
      </c>
      <c r="G1912" s="4">
        <f t="shared" si="88"/>
        <v>1355748.5804101899</v>
      </c>
      <c r="H1912" s="4">
        <f t="shared" si="89"/>
        <v>236943.75705898751</v>
      </c>
      <c r="I1912" s="17">
        <f t="shared" si="87"/>
        <v>0.8252303115174211</v>
      </c>
      <c r="J1912">
        <v>44.86</v>
      </c>
    </row>
  </sheetData>
  <pageMargins left="0.75" right="0.75" top="1" bottom="1" header="0.5" footer="0.5"/>
  <pageSetup orientation="portrait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4E6E-A525-435A-BD73-6A853C3FB4D9}">
  <dimension ref="A3:M33"/>
  <sheetViews>
    <sheetView workbookViewId="0">
      <selection activeCell="C1" sqref="C1:C1048576"/>
    </sheetView>
  </sheetViews>
  <sheetFormatPr defaultRowHeight="15" x14ac:dyDescent="0.25"/>
  <cols>
    <col min="1" max="1" width="16.85546875" bestFit="1" customWidth="1"/>
    <col min="2" max="2" width="20.5703125" style="12" bestFit="1" customWidth="1"/>
    <col min="3" max="3" width="13.28515625" bestFit="1" customWidth="1"/>
    <col min="4" max="5" width="14.28515625" bestFit="1" customWidth="1"/>
  </cols>
  <sheetData>
    <row r="3" spans="1:5" ht="45" x14ac:dyDescent="0.25">
      <c r="A3" s="8" t="s">
        <v>118</v>
      </c>
      <c r="B3" s="12" t="s">
        <v>114</v>
      </c>
      <c r="C3" s="12" t="s">
        <v>115</v>
      </c>
      <c r="D3" s="12" t="s">
        <v>116</v>
      </c>
      <c r="E3" s="12" t="s">
        <v>117</v>
      </c>
    </row>
    <row r="4" spans="1:5" x14ac:dyDescent="0.25">
      <c r="A4" s="9" t="s">
        <v>8</v>
      </c>
      <c r="B4" s="13">
        <v>5.4509210526315801</v>
      </c>
      <c r="C4" s="11">
        <v>660794.71052631584</v>
      </c>
      <c r="D4" s="11">
        <v>663441.92051218718</v>
      </c>
      <c r="E4" s="11">
        <v>235820.5773049063</v>
      </c>
    </row>
    <row r="5" spans="1:5" x14ac:dyDescent="0.25">
      <c r="A5" s="9" t="s">
        <v>85</v>
      </c>
      <c r="B5" s="13">
        <v>5.8680303030303032</v>
      </c>
      <c r="C5" s="11">
        <v>543113.31818181823</v>
      </c>
      <c r="D5" s="11">
        <v>540717.97766982042</v>
      </c>
      <c r="E5" s="11">
        <v>294508.89377945347</v>
      </c>
    </row>
    <row r="6" spans="1:5" x14ac:dyDescent="0.25">
      <c r="A6" s="9" t="s">
        <v>86</v>
      </c>
      <c r="B6" s="13">
        <v>9.9790789473684214</v>
      </c>
      <c r="C6" s="11">
        <v>2212343.8026315789</v>
      </c>
      <c r="D6" s="11">
        <v>2153144.8228207384</v>
      </c>
      <c r="E6" s="11">
        <v>648356.51482130832</v>
      </c>
    </row>
    <row r="7" spans="1:5" x14ac:dyDescent="0.25">
      <c r="A7" s="9" t="s">
        <v>87</v>
      </c>
      <c r="B7" s="13">
        <v>4.5539473684210519</v>
      </c>
      <c r="C7" s="11">
        <v>296036.65789473685</v>
      </c>
      <c r="D7" s="11">
        <v>368559.09436419839</v>
      </c>
      <c r="E7" s="11">
        <v>295365.17882859998</v>
      </c>
    </row>
    <row r="8" spans="1:5" x14ac:dyDescent="0.25">
      <c r="A8" s="9" t="s">
        <v>88</v>
      </c>
      <c r="B8" s="13">
        <v>11.371578947368418</v>
      </c>
      <c r="C8" s="11">
        <v>16292.473684210527</v>
      </c>
      <c r="D8" s="11">
        <v>17002.674543316207</v>
      </c>
      <c r="E8" s="11">
        <v>7976.1294996565985</v>
      </c>
    </row>
    <row r="9" spans="1:5" x14ac:dyDescent="0.25">
      <c r="A9" s="9" t="s">
        <v>89</v>
      </c>
      <c r="B9" s="13">
        <v>9.9700000000000024</v>
      </c>
      <c r="C9" s="11">
        <v>17643.057142857142</v>
      </c>
      <c r="D9" s="11">
        <v>17397.247459183262</v>
      </c>
      <c r="E9" s="11">
        <v>9528.2057296081421</v>
      </c>
    </row>
    <row r="10" spans="1:5" x14ac:dyDescent="0.25">
      <c r="A10" s="9" t="s">
        <v>90</v>
      </c>
      <c r="B10" s="13">
        <v>3.5643421052631594</v>
      </c>
      <c r="C10" s="11">
        <v>454491.01315789472</v>
      </c>
      <c r="D10" s="11">
        <v>451298.51760564174</v>
      </c>
      <c r="E10" s="11">
        <v>218311.01523837511</v>
      </c>
    </row>
    <row r="11" spans="1:5" x14ac:dyDescent="0.25">
      <c r="A11" s="9" t="s">
        <v>91</v>
      </c>
      <c r="B11" s="13">
        <v>18.088157894736842</v>
      </c>
      <c r="C11" s="11">
        <v>838898.25</v>
      </c>
      <c r="D11" s="11">
        <v>818449.18855547498</v>
      </c>
      <c r="E11" s="11">
        <v>332587.26570201374</v>
      </c>
    </row>
    <row r="12" spans="1:5" x14ac:dyDescent="0.25">
      <c r="A12" s="9" t="s">
        <v>92</v>
      </c>
      <c r="B12" s="13">
        <v>10.8675</v>
      </c>
      <c r="C12" s="11">
        <v>209555.51315789475</v>
      </c>
      <c r="D12" s="11">
        <v>232645.97955957142</v>
      </c>
      <c r="E12" s="11">
        <v>117044.56545934532</v>
      </c>
    </row>
    <row r="13" spans="1:5" x14ac:dyDescent="0.25">
      <c r="A13" s="9" t="s">
        <v>93</v>
      </c>
      <c r="B13" s="13">
        <v>14.772465753424658</v>
      </c>
      <c r="C13" s="11">
        <v>352659.78082191781</v>
      </c>
      <c r="D13" s="11">
        <v>346789.80294819857</v>
      </c>
      <c r="E13" s="11">
        <v>117643.5365889196</v>
      </c>
    </row>
    <row r="14" spans="1:5" x14ac:dyDescent="0.25">
      <c r="A14" s="9" t="s">
        <v>94</v>
      </c>
      <c r="B14" s="13">
        <v>9.125657894736845</v>
      </c>
      <c r="C14" s="11">
        <v>617684.78947368416</v>
      </c>
      <c r="D14" s="11">
        <v>605749.50130580319</v>
      </c>
      <c r="E14" s="11">
        <v>244686.32991651408</v>
      </c>
    </row>
    <row r="15" spans="1:5" x14ac:dyDescent="0.25">
      <c r="A15" s="9" t="s">
        <v>95</v>
      </c>
      <c r="B15" s="13">
        <v>3.1605263157894736</v>
      </c>
      <c r="C15" s="11">
        <v>414833.96052631579</v>
      </c>
      <c r="D15" s="11">
        <v>429342.64804732119</v>
      </c>
      <c r="E15" s="11">
        <v>324794.43520325306</v>
      </c>
    </row>
    <row r="16" spans="1:5" x14ac:dyDescent="0.25">
      <c r="A16" s="9" t="s">
        <v>96</v>
      </c>
      <c r="B16" s="13">
        <v>9.345600000000001</v>
      </c>
      <c r="C16" s="11">
        <v>473781.48</v>
      </c>
      <c r="D16" s="11">
        <v>472439.46045377821</v>
      </c>
      <c r="E16" s="11">
        <v>228555.23810840101</v>
      </c>
    </row>
    <row r="17" spans="1:13" x14ac:dyDescent="0.25">
      <c r="A17" s="9" t="s">
        <v>97</v>
      </c>
      <c r="B17" s="13">
        <v>3.813421052631579</v>
      </c>
      <c r="C17" s="11">
        <v>600758.07894736843</v>
      </c>
      <c r="D17" s="11">
        <v>601988.63993978954</v>
      </c>
      <c r="E17" s="11">
        <v>329945.22078446264</v>
      </c>
    </row>
    <row r="18" spans="1:13" x14ac:dyDescent="0.25">
      <c r="A18" s="9" t="s">
        <v>98</v>
      </c>
      <c r="B18" s="13">
        <v>4.3034210526315784</v>
      </c>
      <c r="C18" s="11">
        <v>1052076.0789473683</v>
      </c>
      <c r="D18" s="11">
        <v>1045040.3159300599</v>
      </c>
      <c r="E18" s="11">
        <v>349883.02355864446</v>
      </c>
    </row>
    <row r="19" spans="1:13" x14ac:dyDescent="0.25">
      <c r="A19" s="9" t="s">
        <v>99</v>
      </c>
      <c r="B19" s="13">
        <v>2.8190384615384607</v>
      </c>
      <c r="C19" s="11">
        <v>29055.384615384617</v>
      </c>
      <c r="D19" s="11">
        <v>45115.246825456838</v>
      </c>
      <c r="E19" s="11">
        <v>43706.143060544826</v>
      </c>
    </row>
    <row r="20" spans="1:13" x14ac:dyDescent="0.25">
      <c r="A20" s="9" t="s">
        <v>100</v>
      </c>
      <c r="B20" s="13">
        <v>5.0593421052631582</v>
      </c>
      <c r="C20" s="11">
        <v>559002.23684210528</v>
      </c>
      <c r="D20" s="11">
        <v>552160.18819186988</v>
      </c>
      <c r="E20" s="11">
        <v>269420.20570353762</v>
      </c>
    </row>
    <row r="21" spans="1:13" x14ac:dyDescent="0.25">
      <c r="A21" s="9" t="s">
        <v>101</v>
      </c>
      <c r="B21" s="13">
        <v>5.2026027397260277</v>
      </c>
      <c r="C21" s="11">
        <v>6664.2191780821922</v>
      </c>
      <c r="D21" s="11">
        <v>13863.04890665829</v>
      </c>
      <c r="E21" s="11">
        <v>37829.773102905368</v>
      </c>
    </row>
    <row r="22" spans="1:13" x14ac:dyDescent="0.25">
      <c r="A22" s="9" t="s">
        <v>102</v>
      </c>
      <c r="B22" s="13">
        <v>8.1932894736842119</v>
      </c>
      <c r="C22" s="11">
        <v>486004.28947368421</v>
      </c>
      <c r="D22" s="11">
        <v>479271.05988502043</v>
      </c>
      <c r="E22" s="11">
        <v>251290.12133371588</v>
      </c>
    </row>
    <row r="23" spans="1:13" x14ac:dyDescent="0.25">
      <c r="A23" s="9" t="s">
        <v>103</v>
      </c>
      <c r="B23" s="13">
        <v>11.776578947368421</v>
      </c>
      <c r="C23" s="11">
        <v>1742072.5921052631</v>
      </c>
      <c r="D23" s="11">
        <v>1674696.6576519972</v>
      </c>
      <c r="E23" s="11">
        <v>636874.61009761586</v>
      </c>
    </row>
    <row r="24" spans="1:13" x14ac:dyDescent="0.25">
      <c r="A24" s="9" t="s">
        <v>104</v>
      </c>
      <c r="B24" s="13">
        <v>4.9312499999999995</v>
      </c>
      <c r="C24" s="11">
        <v>7702.625</v>
      </c>
      <c r="D24" s="11">
        <v>712993.68509180588</v>
      </c>
      <c r="E24" s="11">
        <v>1179443.3993667513</v>
      </c>
    </row>
    <row r="25" spans="1:13" x14ac:dyDescent="0.25">
      <c r="A25" s="9" t="s">
        <v>105</v>
      </c>
      <c r="B25" s="13">
        <v>5.2652631578947364</v>
      </c>
      <c r="C25" s="11">
        <v>684291.17105263157</v>
      </c>
      <c r="D25" s="11">
        <v>676136.25908981997</v>
      </c>
      <c r="E25" s="11">
        <v>510086.81309537089</v>
      </c>
    </row>
    <row r="26" spans="1:13" x14ac:dyDescent="0.25">
      <c r="A26" s="9" t="s">
        <v>106</v>
      </c>
      <c r="B26" s="13">
        <v>4.2173684210526314</v>
      </c>
      <c r="C26" s="11">
        <v>451445.39473684208</v>
      </c>
      <c r="D26" s="11">
        <v>439699.35771348985</v>
      </c>
      <c r="E26" s="11">
        <v>301768.73167926818</v>
      </c>
    </row>
    <row r="27" spans="1:13" x14ac:dyDescent="0.25">
      <c r="A27" s="9" t="s">
        <v>107</v>
      </c>
      <c r="B27" s="13">
        <v>21.389259259259259</v>
      </c>
      <c r="C27" s="11">
        <v>219423.72222222222</v>
      </c>
      <c r="D27" s="11">
        <v>243890.98879000606</v>
      </c>
      <c r="E27" s="11">
        <v>100036.39422371521</v>
      </c>
    </row>
    <row r="28" spans="1:13" x14ac:dyDescent="0.25">
      <c r="A28" s="9" t="s">
        <v>108</v>
      </c>
      <c r="B28" s="13">
        <v>6.8510526315789493</v>
      </c>
      <c r="C28" s="11">
        <v>2939152.5526315789</v>
      </c>
      <c r="D28" s="11">
        <v>2923563.4829367683</v>
      </c>
      <c r="E28" s="11">
        <v>1279647.9690803518</v>
      </c>
    </row>
    <row r="29" spans="1:13" x14ac:dyDescent="0.25">
      <c r="A29" s="9" t="s">
        <v>109</v>
      </c>
      <c r="B29" s="13">
        <v>3.0961111111111106</v>
      </c>
      <c r="C29" s="11">
        <v>60105.819444444445</v>
      </c>
      <c r="D29" s="11">
        <v>77494.651593295668</v>
      </c>
      <c r="E29" s="11">
        <v>79378.517167272847</v>
      </c>
    </row>
    <row r="30" spans="1:13" x14ac:dyDescent="0.25">
      <c r="A30" s="9" t="s">
        <v>110</v>
      </c>
      <c r="B30" s="13">
        <v>7.1706578947368396</v>
      </c>
      <c r="C30" s="11">
        <v>1640791.5789473683</v>
      </c>
      <c r="D30" s="11">
        <v>1617828.5126044452</v>
      </c>
      <c r="E30" s="11">
        <v>529621.90517759568</v>
      </c>
    </row>
    <row r="31" spans="1:13" x14ac:dyDescent="0.25">
      <c r="A31" s="9" t="s">
        <v>113</v>
      </c>
      <c r="B31" s="14"/>
      <c r="C31" s="10"/>
      <c r="D31" s="10"/>
      <c r="E31" s="10"/>
    </row>
    <row r="32" spans="1:13" x14ac:dyDescent="0.25">
      <c r="A32" s="9" t="s">
        <v>119</v>
      </c>
      <c r="B32" s="14">
        <v>7.7980062794348433</v>
      </c>
      <c r="C32" s="10">
        <v>692417.4086865515</v>
      </c>
      <c r="D32" s="10">
        <v>692028.73501224269</v>
      </c>
      <c r="E32" s="10">
        <v>311128.08349721681</v>
      </c>
      <c r="F32" s="2"/>
      <c r="G32" s="2"/>
      <c r="H32" s="2"/>
      <c r="I32" s="2"/>
      <c r="J32" s="2"/>
      <c r="K32" s="2"/>
      <c r="L32" s="2"/>
      <c r="M32" s="2"/>
    </row>
    <row r="33" spans="2:13" x14ac:dyDescent="0.25">
      <c r="B33" s="1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EF1E-4DF2-4258-82D6-0539FB695CDA}">
  <dimension ref="A1:F1912"/>
  <sheetViews>
    <sheetView topLeftCell="A1036" workbookViewId="0">
      <selection sqref="A1:XFD1048576"/>
    </sheetView>
  </sheetViews>
  <sheetFormatPr defaultRowHeight="15" x14ac:dyDescent="0.25"/>
  <cols>
    <col min="1" max="1" width="10.85546875" bestFit="1" customWidth="1"/>
    <col min="2" max="2" width="16.85546875" bestFit="1" customWidth="1"/>
    <col min="3" max="3" width="33.140625" bestFit="1" customWidth="1"/>
    <col min="4" max="4" width="22.5703125" bestFit="1" customWidth="1"/>
    <col min="5" max="5" width="22.5703125" style="5" customWidth="1"/>
    <col min="6" max="6" width="22.42578125" style="5" bestFit="1" customWidth="1"/>
  </cols>
  <sheetData>
    <row r="1" spans="1:6" s="6" customFormat="1" x14ac:dyDescent="0.25">
      <c r="A1" s="6" t="s">
        <v>0</v>
      </c>
      <c r="B1" s="6" t="s">
        <v>1</v>
      </c>
      <c r="C1" s="6" t="s">
        <v>3</v>
      </c>
      <c r="D1" s="6" t="s">
        <v>5</v>
      </c>
      <c r="E1" s="7" t="s">
        <v>111</v>
      </c>
      <c r="F1" s="7" t="s">
        <v>112</v>
      </c>
    </row>
    <row r="2" spans="1:6" x14ac:dyDescent="0.25">
      <c r="A2" t="s">
        <v>7</v>
      </c>
      <c r="B2" t="s">
        <v>8</v>
      </c>
      <c r="C2">
        <v>17.11</v>
      </c>
      <c r="D2" s="1">
        <v>2635567</v>
      </c>
      <c r="E2" s="4">
        <v>0</v>
      </c>
      <c r="F2" s="4">
        <v>0</v>
      </c>
    </row>
    <row r="3" spans="1:6" x14ac:dyDescent="0.25">
      <c r="A3" t="s">
        <v>10</v>
      </c>
      <c r="B3" t="s">
        <v>8</v>
      </c>
      <c r="C3">
        <v>10.08</v>
      </c>
      <c r="D3" s="1">
        <v>1399021</v>
      </c>
      <c r="E3" s="4">
        <v>2635567</v>
      </c>
      <c r="F3" s="4">
        <v>0</v>
      </c>
    </row>
    <row r="4" spans="1:6" x14ac:dyDescent="0.25">
      <c r="A4" t="s">
        <v>11</v>
      </c>
      <c r="B4" t="s">
        <v>8</v>
      </c>
      <c r="C4">
        <v>8.74</v>
      </c>
      <c r="D4" s="1">
        <v>1251094</v>
      </c>
      <c r="E4" s="4">
        <v>1769984.7999999998</v>
      </c>
      <c r="F4" s="4">
        <v>0</v>
      </c>
    </row>
    <row r="5" spans="1:6" x14ac:dyDescent="0.25">
      <c r="A5" t="s">
        <v>12</v>
      </c>
      <c r="B5" t="s">
        <v>8</v>
      </c>
      <c r="C5">
        <v>3.97</v>
      </c>
      <c r="D5" s="1">
        <v>557626</v>
      </c>
      <c r="E5" s="4">
        <v>1406761.2399999998</v>
      </c>
      <c r="F5" s="4">
        <v>0</v>
      </c>
    </row>
    <row r="6" spans="1:6" x14ac:dyDescent="0.25">
      <c r="A6" t="s">
        <v>13</v>
      </c>
      <c r="B6" t="s">
        <v>8</v>
      </c>
      <c r="C6">
        <v>5.94</v>
      </c>
      <c r="D6" s="1">
        <v>942914</v>
      </c>
      <c r="E6" s="4">
        <v>812366.57199999993</v>
      </c>
      <c r="F6" s="4">
        <v>916392.26103426854</v>
      </c>
    </row>
    <row r="7" spans="1:6" x14ac:dyDescent="0.25">
      <c r="A7" t="s">
        <v>14</v>
      </c>
      <c r="B7" t="s">
        <v>8</v>
      </c>
      <c r="C7">
        <v>3.54</v>
      </c>
      <c r="D7" s="1">
        <v>460439</v>
      </c>
      <c r="E7" s="4">
        <v>903749.77159999986</v>
      </c>
      <c r="F7" s="4">
        <v>579459.79126881959</v>
      </c>
    </row>
    <row r="8" spans="1:6" x14ac:dyDescent="0.25">
      <c r="A8" t="s">
        <v>15</v>
      </c>
      <c r="B8" t="s">
        <v>8</v>
      </c>
      <c r="C8">
        <v>4.9800000000000004</v>
      </c>
      <c r="D8" s="1">
        <v>705422</v>
      </c>
      <c r="E8" s="4">
        <v>593432.23147999996</v>
      </c>
      <c r="F8" s="4">
        <v>558151.03301999415</v>
      </c>
    </row>
    <row r="9" spans="1:6" x14ac:dyDescent="0.25">
      <c r="A9" t="s">
        <v>16</v>
      </c>
      <c r="B9" t="s">
        <v>8</v>
      </c>
      <c r="C9">
        <v>3.01</v>
      </c>
      <c r="D9" s="1">
        <v>408119</v>
      </c>
      <c r="E9" s="4">
        <v>671825.06944399991</v>
      </c>
      <c r="F9" s="4">
        <v>274535.23114964418</v>
      </c>
    </row>
    <row r="10" spans="1:6" x14ac:dyDescent="0.25">
      <c r="A10" t="s">
        <v>17</v>
      </c>
      <c r="B10" t="s">
        <v>8</v>
      </c>
      <c r="C10">
        <v>8.4700000000000006</v>
      </c>
      <c r="D10" s="1">
        <v>1233973</v>
      </c>
      <c r="E10" s="4">
        <v>487230.82083319995</v>
      </c>
      <c r="F10" s="4">
        <v>304744.17660903389</v>
      </c>
    </row>
    <row r="11" spans="1:6" x14ac:dyDescent="0.25">
      <c r="A11" t="s">
        <v>18</v>
      </c>
      <c r="B11" t="s">
        <v>8</v>
      </c>
      <c r="C11">
        <v>11.11</v>
      </c>
      <c r="D11" s="1">
        <v>1523070</v>
      </c>
      <c r="E11" s="4">
        <v>1009950.3462499599</v>
      </c>
      <c r="F11" s="4">
        <v>461774.28882573801</v>
      </c>
    </row>
    <row r="12" spans="1:6" x14ac:dyDescent="0.25">
      <c r="A12" t="s">
        <v>19</v>
      </c>
      <c r="B12" t="s">
        <v>8</v>
      </c>
      <c r="C12">
        <v>4.87</v>
      </c>
      <c r="D12" s="1">
        <v>669997</v>
      </c>
      <c r="E12" s="4">
        <v>1369134.1038749879</v>
      </c>
      <c r="F12" s="4">
        <v>544810.83942745544</v>
      </c>
    </row>
    <row r="13" spans="1:6" x14ac:dyDescent="0.25">
      <c r="A13" t="s">
        <v>20</v>
      </c>
      <c r="B13" t="s">
        <v>8</v>
      </c>
      <c r="C13">
        <v>4.07</v>
      </c>
      <c r="D13" s="1">
        <v>535734</v>
      </c>
      <c r="E13" s="4">
        <v>879738.13116249628</v>
      </c>
      <c r="F13" s="4">
        <v>660734.02395266632</v>
      </c>
    </row>
    <row r="14" spans="1:6" x14ac:dyDescent="0.25">
      <c r="A14" t="s">
        <v>21</v>
      </c>
      <c r="B14" t="s">
        <v>8</v>
      </c>
      <c r="C14">
        <v>5.86</v>
      </c>
      <c r="D14" s="1">
        <v>844155</v>
      </c>
      <c r="E14" s="4">
        <v>638935.23934874893</v>
      </c>
      <c r="F14" s="4">
        <v>538647.47635045147</v>
      </c>
    </row>
    <row r="15" spans="1:6" x14ac:dyDescent="0.25">
      <c r="A15" t="s">
        <v>22</v>
      </c>
      <c r="B15" t="s">
        <v>8</v>
      </c>
      <c r="C15">
        <v>4.83</v>
      </c>
      <c r="D15" s="1">
        <v>627618</v>
      </c>
      <c r="E15" s="4">
        <v>782589.07180462463</v>
      </c>
      <c r="F15" s="4">
        <v>465204.8589719467</v>
      </c>
    </row>
    <row r="16" spans="1:6" x14ac:dyDescent="0.25">
      <c r="A16" t="s">
        <v>23</v>
      </c>
      <c r="B16" t="s">
        <v>8</v>
      </c>
      <c r="C16">
        <v>2.78</v>
      </c>
      <c r="D16" s="1">
        <v>371961</v>
      </c>
      <c r="E16" s="4">
        <v>674109.32154138735</v>
      </c>
      <c r="F16" s="4">
        <v>247971.78973618138</v>
      </c>
    </row>
    <row r="17" spans="1:6" x14ac:dyDescent="0.25">
      <c r="A17" t="s">
        <v>24</v>
      </c>
      <c r="B17" t="s">
        <v>8</v>
      </c>
      <c r="C17">
        <v>2.75</v>
      </c>
      <c r="D17" s="1">
        <v>361435</v>
      </c>
      <c r="E17" s="4">
        <v>462605.49646241619</v>
      </c>
      <c r="F17" s="4">
        <v>229074.07205844176</v>
      </c>
    </row>
    <row r="18" spans="1:6" x14ac:dyDescent="0.25">
      <c r="A18" t="s">
        <v>25</v>
      </c>
      <c r="B18" t="s">
        <v>8</v>
      </c>
      <c r="C18">
        <v>1.7</v>
      </c>
      <c r="D18" s="1">
        <v>222830</v>
      </c>
      <c r="E18" s="4">
        <v>391786.14893872483</v>
      </c>
      <c r="F18" s="4">
        <v>204568.7420412378</v>
      </c>
    </row>
    <row r="19" spans="1:6" x14ac:dyDescent="0.25">
      <c r="A19" t="s">
        <v>26</v>
      </c>
      <c r="B19" t="s">
        <v>8</v>
      </c>
      <c r="C19">
        <v>3.76</v>
      </c>
      <c r="D19" s="1">
        <v>474034</v>
      </c>
      <c r="E19" s="4">
        <v>273516.84468161745</v>
      </c>
      <c r="F19" s="4">
        <v>208226.84571474281</v>
      </c>
    </row>
    <row r="20" spans="1:6" x14ac:dyDescent="0.25">
      <c r="A20" t="s">
        <v>27</v>
      </c>
      <c r="B20" t="s">
        <v>8</v>
      </c>
      <c r="C20">
        <v>2.5099999999999998</v>
      </c>
      <c r="D20" s="1">
        <v>325621</v>
      </c>
      <c r="E20" s="4">
        <v>413878.85340448521</v>
      </c>
      <c r="F20" s="4">
        <v>162263.96107950434</v>
      </c>
    </row>
    <row r="21" spans="1:6" x14ac:dyDescent="0.25">
      <c r="A21" t="s">
        <v>28</v>
      </c>
      <c r="B21" t="s">
        <v>8</v>
      </c>
      <c r="C21">
        <v>2.4900000000000002</v>
      </c>
      <c r="D21" s="1">
        <v>317468</v>
      </c>
      <c r="E21" s="4">
        <v>352098.35602134553</v>
      </c>
      <c r="F21" s="4">
        <v>159731.81537475923</v>
      </c>
    </row>
    <row r="22" spans="1:6" x14ac:dyDescent="0.25">
      <c r="A22" t="s">
        <v>29</v>
      </c>
      <c r="B22" t="s">
        <v>8</v>
      </c>
      <c r="C22">
        <v>5.91</v>
      </c>
      <c r="D22" s="1">
        <v>808718</v>
      </c>
      <c r="E22" s="4">
        <v>327857.10680640361</v>
      </c>
      <c r="F22" s="4">
        <v>128057.07037971924</v>
      </c>
    </row>
    <row r="23" spans="1:6" x14ac:dyDescent="0.25">
      <c r="A23" t="s">
        <v>30</v>
      </c>
      <c r="B23" t="s">
        <v>8</v>
      </c>
      <c r="C23">
        <v>2.96</v>
      </c>
      <c r="D23" s="1">
        <v>359079</v>
      </c>
      <c r="E23" s="4">
        <v>664459.732041921</v>
      </c>
      <c r="F23" s="4">
        <v>282969.90938300377</v>
      </c>
    </row>
    <row r="24" spans="1:6" x14ac:dyDescent="0.25">
      <c r="A24" t="s">
        <v>31</v>
      </c>
      <c r="B24" t="s">
        <v>8</v>
      </c>
      <c r="C24">
        <v>3.19</v>
      </c>
      <c r="D24" s="1">
        <v>415057</v>
      </c>
      <c r="E24" s="4">
        <v>450693.2196125763</v>
      </c>
      <c r="F24" s="4">
        <v>329486.39408609271</v>
      </c>
    </row>
    <row r="25" spans="1:6" x14ac:dyDescent="0.25">
      <c r="A25" t="s">
        <v>32</v>
      </c>
      <c r="B25" t="s">
        <v>8</v>
      </c>
      <c r="C25">
        <v>3.45</v>
      </c>
      <c r="D25" s="1">
        <v>467321</v>
      </c>
      <c r="E25" s="4">
        <v>425747.86588377284</v>
      </c>
      <c r="F25" s="4">
        <v>329522.14404785133</v>
      </c>
    </row>
    <row r="26" spans="1:6" x14ac:dyDescent="0.25">
      <c r="A26" t="s">
        <v>33</v>
      </c>
      <c r="B26" t="s">
        <v>8</v>
      </c>
      <c r="C26">
        <v>4.79</v>
      </c>
      <c r="D26" s="1">
        <v>625664</v>
      </c>
      <c r="E26" s="4">
        <v>454849.05976513179</v>
      </c>
      <c r="F26" s="4">
        <v>179123.47429541548</v>
      </c>
    </row>
    <row r="27" spans="1:6" x14ac:dyDescent="0.25">
      <c r="A27" t="s">
        <v>34</v>
      </c>
      <c r="B27" t="s">
        <v>8</v>
      </c>
      <c r="C27">
        <v>4.38</v>
      </c>
      <c r="D27" s="1">
        <v>543750</v>
      </c>
      <c r="E27" s="4">
        <v>574419.51792953955</v>
      </c>
      <c r="F27" s="4">
        <v>103563.20040755013</v>
      </c>
    </row>
    <row r="28" spans="1:6" x14ac:dyDescent="0.25">
      <c r="A28" t="s">
        <v>35</v>
      </c>
      <c r="B28" t="s">
        <v>8</v>
      </c>
      <c r="C28">
        <v>4.17</v>
      </c>
      <c r="D28" s="1">
        <v>524727</v>
      </c>
      <c r="E28" s="4">
        <v>552950.85537886189</v>
      </c>
      <c r="F28" s="4">
        <v>103031.85367920247</v>
      </c>
    </row>
    <row r="29" spans="1:6" x14ac:dyDescent="0.25">
      <c r="A29" t="s">
        <v>36</v>
      </c>
      <c r="B29" t="s">
        <v>8</v>
      </c>
      <c r="C29">
        <v>2.8</v>
      </c>
      <c r="D29" s="1">
        <v>339967</v>
      </c>
      <c r="E29" s="4">
        <v>533194.15661365853</v>
      </c>
      <c r="F29" s="4">
        <v>101513.46240756914</v>
      </c>
    </row>
    <row r="30" spans="1:6" x14ac:dyDescent="0.25">
      <c r="A30" t="s">
        <v>37</v>
      </c>
      <c r="B30" t="s">
        <v>8</v>
      </c>
      <c r="C30">
        <v>3.64</v>
      </c>
      <c r="D30" s="1">
        <v>448048</v>
      </c>
      <c r="E30" s="4">
        <v>397935.14698409755</v>
      </c>
      <c r="F30" s="4">
        <v>114125.57323036261</v>
      </c>
    </row>
    <row r="31" spans="1:6" x14ac:dyDescent="0.25">
      <c r="A31" t="s">
        <v>38</v>
      </c>
      <c r="B31" t="s">
        <v>8</v>
      </c>
      <c r="C31">
        <v>4.78</v>
      </c>
      <c r="D31" s="1">
        <v>553410</v>
      </c>
      <c r="E31" s="4">
        <v>433014.14409522922</v>
      </c>
      <c r="F31" s="4">
        <v>116396.76127057784</v>
      </c>
    </row>
    <row r="32" spans="1:6" x14ac:dyDescent="0.25">
      <c r="A32" t="s">
        <v>39</v>
      </c>
      <c r="B32" t="s">
        <v>8</v>
      </c>
      <c r="C32">
        <v>5.26</v>
      </c>
      <c r="D32" s="1">
        <v>664665</v>
      </c>
      <c r="E32" s="4">
        <v>517291.24322856875</v>
      </c>
      <c r="F32" s="4">
        <v>134589.7398385616</v>
      </c>
    </row>
    <row r="33" spans="1:6" x14ac:dyDescent="0.25">
      <c r="A33" t="s">
        <v>40</v>
      </c>
      <c r="B33" t="s">
        <v>8</v>
      </c>
      <c r="C33">
        <v>4.03</v>
      </c>
      <c r="D33" s="1">
        <v>497239</v>
      </c>
      <c r="E33" s="4">
        <v>620452.87296857056</v>
      </c>
      <c r="F33" s="4">
        <v>113615.55694733703</v>
      </c>
    </row>
    <row r="34" spans="1:6" x14ac:dyDescent="0.25">
      <c r="A34" t="s">
        <v>41</v>
      </c>
      <c r="B34" t="s">
        <v>8</v>
      </c>
      <c r="C34">
        <v>4.0599999999999996</v>
      </c>
      <c r="D34" s="1">
        <v>505177</v>
      </c>
      <c r="E34" s="4">
        <v>534203.16189057112</v>
      </c>
      <c r="F34" s="4">
        <v>130889.06854773671</v>
      </c>
    </row>
    <row r="35" spans="1:6" x14ac:dyDescent="0.25">
      <c r="A35" t="s">
        <v>42</v>
      </c>
      <c r="B35" t="s">
        <v>8</v>
      </c>
      <c r="C35">
        <v>5.74</v>
      </c>
      <c r="D35" s="1">
        <v>625324</v>
      </c>
      <c r="E35" s="4">
        <v>513884.84856717126</v>
      </c>
      <c r="F35" s="4">
        <v>112165.35524385067</v>
      </c>
    </row>
    <row r="36" spans="1:6" x14ac:dyDescent="0.25">
      <c r="A36" t="s">
        <v>43</v>
      </c>
      <c r="B36" t="s">
        <v>8</v>
      </c>
      <c r="C36">
        <v>4.67</v>
      </c>
      <c r="D36" s="1">
        <v>564351</v>
      </c>
      <c r="E36" s="4">
        <v>591892.25457015133</v>
      </c>
      <c r="F36" s="4">
        <v>97370.188863740739</v>
      </c>
    </row>
    <row r="37" spans="1:6" x14ac:dyDescent="0.25">
      <c r="A37" t="s">
        <v>44</v>
      </c>
      <c r="B37" t="s">
        <v>8</v>
      </c>
      <c r="C37">
        <v>3.9</v>
      </c>
      <c r="D37" s="1">
        <v>476683</v>
      </c>
      <c r="E37" s="4">
        <v>572613.37637104536</v>
      </c>
      <c r="F37" s="4">
        <v>68361.107971966194</v>
      </c>
    </row>
    <row r="38" spans="1:6" x14ac:dyDescent="0.25">
      <c r="A38" t="s">
        <v>45</v>
      </c>
      <c r="B38" t="s">
        <v>8</v>
      </c>
      <c r="C38">
        <v>4.67</v>
      </c>
      <c r="D38" s="1">
        <v>595374</v>
      </c>
      <c r="E38" s="4">
        <v>505462.11291131354</v>
      </c>
      <c r="F38" s="4">
        <v>86370.987192955858</v>
      </c>
    </row>
    <row r="39" spans="1:6" x14ac:dyDescent="0.25">
      <c r="A39" t="s">
        <v>46</v>
      </c>
      <c r="B39" t="s">
        <v>8</v>
      </c>
      <c r="C39">
        <v>5.75</v>
      </c>
      <c r="D39" s="1">
        <v>623421</v>
      </c>
      <c r="E39" s="4">
        <v>568400.43387339404</v>
      </c>
      <c r="F39" s="4">
        <v>77557.087047406589</v>
      </c>
    </row>
    <row r="40" spans="1:6" x14ac:dyDescent="0.25">
      <c r="A40" t="s">
        <v>47</v>
      </c>
      <c r="B40" t="s">
        <v>8</v>
      </c>
      <c r="C40">
        <v>4.96</v>
      </c>
      <c r="D40" s="1">
        <v>574443</v>
      </c>
      <c r="E40" s="4">
        <v>606914.83016201819</v>
      </c>
      <c r="F40" s="4">
        <v>82288.207432639552</v>
      </c>
    </row>
    <row r="41" spans="1:6" x14ac:dyDescent="0.25">
      <c r="A41" t="s">
        <v>48</v>
      </c>
      <c r="B41" t="s">
        <v>8</v>
      </c>
      <c r="C41">
        <v>3.56</v>
      </c>
      <c r="D41" s="1">
        <v>455132</v>
      </c>
      <c r="E41" s="4">
        <v>584184.54904860537</v>
      </c>
      <c r="F41" s="4">
        <v>63681.05393498623</v>
      </c>
    </row>
    <row r="42" spans="1:6" x14ac:dyDescent="0.25">
      <c r="A42" t="s">
        <v>49</v>
      </c>
      <c r="B42" t="s">
        <v>8</v>
      </c>
      <c r="C42">
        <v>3.65</v>
      </c>
      <c r="D42" s="1">
        <v>437969</v>
      </c>
      <c r="E42" s="4">
        <v>493847.76471458154</v>
      </c>
      <c r="F42" s="4">
        <v>83138.925634357875</v>
      </c>
    </row>
    <row r="43" spans="1:6" x14ac:dyDescent="0.25">
      <c r="A43" t="s">
        <v>50</v>
      </c>
      <c r="B43" t="s">
        <v>8</v>
      </c>
      <c r="C43">
        <v>3.05</v>
      </c>
      <c r="D43" s="1">
        <v>358554</v>
      </c>
      <c r="E43" s="4">
        <v>454732.62941437447</v>
      </c>
      <c r="F43" s="4">
        <v>83329.499610564511</v>
      </c>
    </row>
    <row r="44" spans="1:6" x14ac:dyDescent="0.25">
      <c r="A44" t="s">
        <v>51</v>
      </c>
      <c r="B44" t="s">
        <v>8</v>
      </c>
      <c r="C44">
        <v>3.75</v>
      </c>
      <c r="D44" s="1">
        <v>453252</v>
      </c>
      <c r="E44" s="4">
        <v>387407.58882431232</v>
      </c>
      <c r="F44" s="4">
        <v>98365.518209715883</v>
      </c>
    </row>
    <row r="45" spans="1:6" x14ac:dyDescent="0.25">
      <c r="A45" t="s">
        <v>52</v>
      </c>
      <c r="B45" t="s">
        <v>8</v>
      </c>
      <c r="C45">
        <v>3.32</v>
      </c>
      <c r="D45" s="1">
        <v>407885</v>
      </c>
      <c r="E45" s="4">
        <v>433498.67664729367</v>
      </c>
      <c r="F45" s="4">
        <v>74628.528024092244</v>
      </c>
    </row>
    <row r="46" spans="1:6" x14ac:dyDescent="0.25">
      <c r="A46" t="s">
        <v>53</v>
      </c>
      <c r="B46" t="s">
        <v>8</v>
      </c>
      <c r="C46">
        <v>5.17</v>
      </c>
      <c r="D46" s="1">
        <v>633675</v>
      </c>
      <c r="E46" s="4">
        <v>415569.10299418808</v>
      </c>
      <c r="F46" s="4">
        <v>68900.594265682783</v>
      </c>
    </row>
    <row r="47" spans="1:6" x14ac:dyDescent="0.25">
      <c r="A47" t="s">
        <v>54</v>
      </c>
      <c r="B47" t="s">
        <v>8</v>
      </c>
      <c r="C47">
        <v>3.52</v>
      </c>
      <c r="D47" s="1">
        <v>423013</v>
      </c>
      <c r="E47" s="4">
        <v>568243.23089825641</v>
      </c>
      <c r="F47" s="4">
        <v>132365.31421684835</v>
      </c>
    </row>
    <row r="48" spans="1:6" x14ac:dyDescent="0.25">
      <c r="A48" t="s">
        <v>55</v>
      </c>
      <c r="B48" t="s">
        <v>8</v>
      </c>
      <c r="C48">
        <v>4.12</v>
      </c>
      <c r="D48" s="1">
        <v>469584</v>
      </c>
      <c r="E48" s="4">
        <v>466582.06926947692</v>
      </c>
      <c r="F48" s="4">
        <v>152006.64755953144</v>
      </c>
    </row>
    <row r="49" spans="1:6" x14ac:dyDescent="0.25">
      <c r="A49" t="s">
        <v>56</v>
      </c>
      <c r="B49" t="s">
        <v>8</v>
      </c>
      <c r="C49">
        <v>4.38</v>
      </c>
      <c r="D49" s="1">
        <v>548744</v>
      </c>
      <c r="E49" s="4">
        <v>468683.42078084307</v>
      </c>
      <c r="F49" s="4">
        <v>151295.53183926875</v>
      </c>
    </row>
    <row r="50" spans="1:6" x14ac:dyDescent="0.25">
      <c r="A50" t="s">
        <v>57</v>
      </c>
      <c r="B50" t="s">
        <v>8</v>
      </c>
      <c r="C50">
        <v>4.84</v>
      </c>
      <c r="D50" s="1">
        <v>581607</v>
      </c>
      <c r="E50" s="4">
        <v>524725.82623425289</v>
      </c>
      <c r="F50" s="4">
        <v>95761.035743108368</v>
      </c>
    </row>
    <row r="51" spans="1:6" x14ac:dyDescent="0.25">
      <c r="A51" t="s">
        <v>58</v>
      </c>
      <c r="B51" t="s">
        <v>8</v>
      </c>
      <c r="C51">
        <v>5.91</v>
      </c>
      <c r="D51" s="1">
        <v>692866</v>
      </c>
      <c r="E51" s="4">
        <v>564542.64787027589</v>
      </c>
      <c r="F51" s="4">
        <v>56727.935099581169</v>
      </c>
    </row>
    <row r="52" spans="1:6" x14ac:dyDescent="0.25">
      <c r="A52" t="s">
        <v>59</v>
      </c>
      <c r="B52" t="s">
        <v>8</v>
      </c>
      <c r="C52">
        <v>4.0599999999999996</v>
      </c>
      <c r="D52" s="1">
        <v>461202</v>
      </c>
      <c r="E52" s="4">
        <v>654368.99436108267</v>
      </c>
      <c r="F52" s="4">
        <v>93295.314236898994</v>
      </c>
    </row>
    <row r="53" spans="1:6" x14ac:dyDescent="0.25">
      <c r="A53" t="s">
        <v>60</v>
      </c>
      <c r="B53" t="s">
        <v>8</v>
      </c>
      <c r="C53">
        <v>16.29</v>
      </c>
      <c r="D53" s="1">
        <v>1432352</v>
      </c>
      <c r="E53" s="4">
        <v>519152.09830832476</v>
      </c>
      <c r="F53" s="4">
        <v>137859.63675815682</v>
      </c>
    </row>
    <row r="54" spans="1:6" x14ac:dyDescent="0.25">
      <c r="A54" t="s">
        <v>61</v>
      </c>
      <c r="B54" t="s">
        <v>8</v>
      </c>
      <c r="C54">
        <v>14.46</v>
      </c>
      <c r="D54" s="1">
        <v>1377590</v>
      </c>
      <c r="E54" s="4">
        <v>1158392.0294924974</v>
      </c>
      <c r="F54" s="4">
        <v>543971.33222930937</v>
      </c>
    </row>
    <row r="55" spans="1:6" x14ac:dyDescent="0.25">
      <c r="A55" t="s">
        <v>62</v>
      </c>
      <c r="B55" t="s">
        <v>8</v>
      </c>
      <c r="C55">
        <v>2.44</v>
      </c>
      <c r="D55" s="1">
        <v>362476</v>
      </c>
      <c r="E55" s="4">
        <v>1311830.6088477492</v>
      </c>
      <c r="F55" s="4">
        <v>553562.79331700865</v>
      </c>
    </row>
    <row r="56" spans="1:6" x14ac:dyDescent="0.25">
      <c r="A56" t="s">
        <v>63</v>
      </c>
      <c r="B56" t="s">
        <v>8</v>
      </c>
      <c r="C56">
        <v>7.79</v>
      </c>
      <c r="D56" s="1">
        <v>878156</v>
      </c>
      <c r="E56" s="4">
        <v>647282.38265432476</v>
      </c>
      <c r="F56" s="4">
        <v>770985.513064233</v>
      </c>
    </row>
    <row r="57" spans="1:6" x14ac:dyDescent="0.25">
      <c r="A57" t="s">
        <v>64</v>
      </c>
      <c r="B57" t="s">
        <v>8</v>
      </c>
      <c r="C57">
        <v>5.84</v>
      </c>
      <c r="D57" s="1">
        <v>628523</v>
      </c>
      <c r="E57" s="4">
        <v>808893.91479629744</v>
      </c>
      <c r="F57" s="4">
        <v>578107.41527889902</v>
      </c>
    </row>
    <row r="58" spans="1:6" x14ac:dyDescent="0.25">
      <c r="A58" t="s">
        <v>65</v>
      </c>
      <c r="B58" t="s">
        <v>8</v>
      </c>
      <c r="C58">
        <v>5.43</v>
      </c>
      <c r="D58" s="1">
        <v>587384</v>
      </c>
      <c r="E58" s="4">
        <v>682634.27443888923</v>
      </c>
      <c r="F58" s="4">
        <v>573617.31361340941</v>
      </c>
    </row>
    <row r="59" spans="1:6" x14ac:dyDescent="0.25">
      <c r="A59" t="s">
        <v>66</v>
      </c>
      <c r="B59" t="s">
        <v>8</v>
      </c>
      <c r="C59">
        <v>6.55</v>
      </c>
      <c r="D59" s="1">
        <v>687107</v>
      </c>
      <c r="E59" s="4">
        <v>615959.08233166672</v>
      </c>
      <c r="F59" s="4">
        <v>177865.96908104164</v>
      </c>
    </row>
    <row r="60" spans="1:6" x14ac:dyDescent="0.25">
      <c r="A60" t="s">
        <v>67</v>
      </c>
      <c r="B60" t="s">
        <v>8</v>
      </c>
      <c r="C60">
        <v>4.74</v>
      </c>
      <c r="D60" s="1">
        <v>527743</v>
      </c>
      <c r="E60" s="4">
        <v>665762.62469949992</v>
      </c>
      <c r="F60" s="4">
        <v>124724.10602830131</v>
      </c>
    </row>
    <row r="61" spans="1:6" x14ac:dyDescent="0.25">
      <c r="A61" t="s">
        <v>68</v>
      </c>
      <c r="B61" t="s">
        <v>8</v>
      </c>
      <c r="C61">
        <v>6.51</v>
      </c>
      <c r="D61" s="1">
        <v>731612</v>
      </c>
      <c r="E61" s="4">
        <v>569148.88740984991</v>
      </c>
      <c r="F61" s="4">
        <v>105172.96511210229</v>
      </c>
    </row>
    <row r="62" spans="1:6" x14ac:dyDescent="0.25">
      <c r="A62" t="s">
        <v>69</v>
      </c>
      <c r="B62" t="s">
        <v>8</v>
      </c>
      <c r="C62">
        <v>2.95</v>
      </c>
      <c r="D62" s="1">
        <v>347420</v>
      </c>
      <c r="E62" s="4">
        <v>682873.06622295489</v>
      </c>
      <c r="F62" s="4">
        <v>129750.6659497496</v>
      </c>
    </row>
    <row r="63" spans="1:6" x14ac:dyDescent="0.25">
      <c r="A63" t="s">
        <v>70</v>
      </c>
      <c r="B63" t="s">
        <v>8</v>
      </c>
      <c r="C63">
        <v>3.14</v>
      </c>
      <c r="D63" s="1">
        <v>368514</v>
      </c>
      <c r="E63" s="4">
        <v>448055.91986688646</v>
      </c>
      <c r="F63" s="4">
        <v>229472.17652186996</v>
      </c>
    </row>
    <row r="64" spans="1:6" x14ac:dyDescent="0.25">
      <c r="A64" t="s">
        <v>71</v>
      </c>
      <c r="B64" t="s">
        <v>8</v>
      </c>
      <c r="C64">
        <v>5.39</v>
      </c>
      <c r="D64" s="1">
        <v>599929</v>
      </c>
      <c r="E64" s="4">
        <v>392376.57596006594</v>
      </c>
      <c r="F64" s="4">
        <v>220037.82978310203</v>
      </c>
    </row>
    <row r="65" spans="1:6" x14ac:dyDescent="0.25">
      <c r="A65" t="s">
        <v>72</v>
      </c>
      <c r="B65" t="s">
        <v>8</v>
      </c>
      <c r="C65">
        <v>3.56</v>
      </c>
      <c r="D65" s="1">
        <v>400309</v>
      </c>
      <c r="E65" s="4">
        <v>537663.27278801973</v>
      </c>
      <c r="F65" s="4">
        <v>232331.43378899101</v>
      </c>
    </row>
    <row r="66" spans="1:6" x14ac:dyDescent="0.25">
      <c r="A66" t="s">
        <v>73</v>
      </c>
      <c r="B66" t="s">
        <v>8</v>
      </c>
      <c r="C66">
        <v>13.55</v>
      </c>
      <c r="D66" s="1">
        <v>1441325</v>
      </c>
      <c r="E66" s="4">
        <v>441515.28183640586</v>
      </c>
      <c r="F66" s="4">
        <v>150854.36906068109</v>
      </c>
    </row>
    <row r="67" spans="1:6" x14ac:dyDescent="0.25">
      <c r="A67" t="s">
        <v>74</v>
      </c>
      <c r="B67" t="s">
        <v>8</v>
      </c>
      <c r="C67">
        <v>7.47</v>
      </c>
      <c r="D67" s="1">
        <v>807558</v>
      </c>
      <c r="E67" s="4">
        <v>1141382.0845509216</v>
      </c>
      <c r="F67" s="4">
        <v>594856.75516949571</v>
      </c>
    </row>
    <row r="68" spans="1:6" x14ac:dyDescent="0.25">
      <c r="A68" t="s">
        <v>75</v>
      </c>
      <c r="B68" t="s">
        <v>8</v>
      </c>
      <c r="C68">
        <v>8.93</v>
      </c>
      <c r="D68" s="1">
        <v>970962</v>
      </c>
      <c r="E68" s="4">
        <v>907705.22536527645</v>
      </c>
      <c r="F68" s="4">
        <v>613711.16665028245</v>
      </c>
    </row>
    <row r="69" spans="1:6" x14ac:dyDescent="0.25">
      <c r="A69" t="s">
        <v>76</v>
      </c>
      <c r="B69" t="s">
        <v>8</v>
      </c>
      <c r="C69">
        <v>5.77</v>
      </c>
      <c r="D69" s="1">
        <v>664949</v>
      </c>
      <c r="E69" s="4">
        <v>951984.96760958282</v>
      </c>
      <c r="F69" s="4">
        <v>609660.94716594042</v>
      </c>
    </row>
    <row r="70" spans="1:6" x14ac:dyDescent="0.25">
      <c r="A70" t="s">
        <v>77</v>
      </c>
      <c r="B70" t="s">
        <v>8</v>
      </c>
      <c r="C70">
        <v>5.44</v>
      </c>
      <c r="D70" s="1">
        <v>665559</v>
      </c>
      <c r="E70" s="4">
        <v>751059.79028287483</v>
      </c>
      <c r="F70" s="4">
        <v>256794.07162485825</v>
      </c>
    </row>
    <row r="71" spans="1:6" x14ac:dyDescent="0.25">
      <c r="A71" t="s">
        <v>78</v>
      </c>
      <c r="B71" t="s">
        <v>8</v>
      </c>
      <c r="C71">
        <v>5.16</v>
      </c>
      <c r="D71" s="1">
        <v>560505</v>
      </c>
      <c r="E71" s="4">
        <v>691209.23708486243</v>
      </c>
      <c r="F71" s="4">
        <v>176730.91728930152</v>
      </c>
    </row>
    <row r="72" spans="1:6" x14ac:dyDescent="0.25">
      <c r="A72" t="s">
        <v>79</v>
      </c>
      <c r="B72" t="s">
        <v>8</v>
      </c>
      <c r="C72">
        <v>5.93</v>
      </c>
      <c r="D72" s="1">
        <v>658550</v>
      </c>
      <c r="E72" s="4">
        <v>599716.27112545876</v>
      </c>
      <c r="F72" s="4">
        <v>188665.16144791327</v>
      </c>
    </row>
    <row r="73" spans="1:6" x14ac:dyDescent="0.25">
      <c r="A73" t="s">
        <v>80</v>
      </c>
      <c r="B73" t="s">
        <v>8</v>
      </c>
      <c r="C73">
        <v>4.8</v>
      </c>
      <c r="D73" s="1">
        <v>575302</v>
      </c>
      <c r="E73" s="4">
        <v>640899.88133763755</v>
      </c>
      <c r="F73" s="4">
        <v>96359.380073097709</v>
      </c>
    </row>
    <row r="74" spans="1:6" x14ac:dyDescent="0.25">
      <c r="A74" t="s">
        <v>81</v>
      </c>
      <c r="B74" t="s">
        <v>8</v>
      </c>
      <c r="C74">
        <v>5.22</v>
      </c>
      <c r="D74" s="1">
        <v>575613</v>
      </c>
      <c r="E74" s="4">
        <v>594981.36440129124</v>
      </c>
      <c r="F74" s="4">
        <v>91009.3168878984</v>
      </c>
    </row>
    <row r="75" spans="1:6" x14ac:dyDescent="0.25">
      <c r="A75" t="s">
        <v>82</v>
      </c>
      <c r="B75" t="s">
        <v>8</v>
      </c>
      <c r="C75">
        <v>7.73</v>
      </c>
      <c r="D75" s="1">
        <v>826408</v>
      </c>
      <c r="E75" s="4">
        <v>581423.50932038738</v>
      </c>
      <c r="F75" s="4">
        <v>52088.460746602374</v>
      </c>
    </row>
    <row r="76" spans="1:6" x14ac:dyDescent="0.25">
      <c r="A76" t="s">
        <v>83</v>
      </c>
      <c r="B76" t="s">
        <v>8</v>
      </c>
      <c r="C76">
        <v>9.51</v>
      </c>
      <c r="D76" s="1">
        <v>1012879</v>
      </c>
      <c r="E76" s="4">
        <v>752912.65279611619</v>
      </c>
      <c r="F76" s="4">
        <v>146850.96328036938</v>
      </c>
    </row>
    <row r="77" spans="1:6" x14ac:dyDescent="0.25">
      <c r="A77" t="s">
        <v>84</v>
      </c>
      <c r="B77" t="s">
        <v>8</v>
      </c>
      <c r="C77">
        <v>4.66</v>
      </c>
      <c r="D77" s="1">
        <v>527674</v>
      </c>
      <c r="E77" s="4">
        <v>934889.09583883476</v>
      </c>
      <c r="F77" s="4">
        <v>206538.9679872063</v>
      </c>
    </row>
    <row r="78" spans="1:6" x14ac:dyDescent="0.25">
      <c r="A78" t="s">
        <v>7</v>
      </c>
      <c r="B78" t="s">
        <v>85</v>
      </c>
      <c r="C78">
        <v>5.83</v>
      </c>
      <c r="D78" s="1">
        <v>573091</v>
      </c>
      <c r="E78" s="4">
        <v>649838.52875165036</v>
      </c>
      <c r="F78" s="4">
        <v>312742.72527170042</v>
      </c>
    </row>
    <row r="79" spans="1:6" x14ac:dyDescent="0.25">
      <c r="A79" t="s">
        <v>10</v>
      </c>
      <c r="B79" t="s">
        <v>85</v>
      </c>
      <c r="C79">
        <v>13.24</v>
      </c>
      <c r="D79" s="1">
        <v>1267703</v>
      </c>
      <c r="E79" s="4">
        <v>596115.25862549501</v>
      </c>
      <c r="F79" s="4">
        <v>282428.05522058596</v>
      </c>
    </row>
    <row r="80" spans="1:6" x14ac:dyDescent="0.25">
      <c r="A80" t="s">
        <v>11</v>
      </c>
      <c r="B80" t="s">
        <v>85</v>
      </c>
      <c r="C80">
        <v>4.1500000000000004</v>
      </c>
      <c r="D80" s="1">
        <v>358394</v>
      </c>
      <c r="E80" s="4">
        <v>1066226.6775876484</v>
      </c>
      <c r="F80" s="4">
        <v>455611.09578712186</v>
      </c>
    </row>
    <row r="81" spans="1:6" x14ac:dyDescent="0.25">
      <c r="A81" t="s">
        <v>12</v>
      </c>
      <c r="B81" t="s">
        <v>85</v>
      </c>
      <c r="C81">
        <v>0</v>
      </c>
      <c r="D81">
        <v>0</v>
      </c>
      <c r="E81" s="4">
        <v>570743.80327629449</v>
      </c>
      <c r="F81" s="4">
        <v>565080.34148396226</v>
      </c>
    </row>
    <row r="82" spans="1:6" x14ac:dyDescent="0.25">
      <c r="A82" t="s">
        <v>13</v>
      </c>
      <c r="B82" t="s">
        <v>85</v>
      </c>
      <c r="C82">
        <v>3.61</v>
      </c>
      <c r="D82" s="1">
        <v>332498</v>
      </c>
      <c r="E82" s="4">
        <v>171223.14098288835</v>
      </c>
      <c r="F82" s="4">
        <v>652637.13317680045</v>
      </c>
    </row>
    <row r="83" spans="1:6" x14ac:dyDescent="0.25">
      <c r="A83" t="s">
        <v>14</v>
      </c>
      <c r="B83" t="s">
        <v>85</v>
      </c>
      <c r="C83">
        <v>10.96</v>
      </c>
      <c r="D83" s="1">
        <v>941528</v>
      </c>
      <c r="E83" s="4">
        <v>284115.54229486646</v>
      </c>
      <c r="F83" s="4">
        <v>533162.00433207245</v>
      </c>
    </row>
    <row r="84" spans="1:6" x14ac:dyDescent="0.25">
      <c r="A84" t="s">
        <v>15</v>
      </c>
      <c r="B84" t="s">
        <v>85</v>
      </c>
      <c r="C84">
        <v>13.99</v>
      </c>
      <c r="D84" s="1">
        <v>1116755</v>
      </c>
      <c r="E84" s="4">
        <v>744304.26268845994</v>
      </c>
      <c r="F84" s="4">
        <v>511191.16081142053</v>
      </c>
    </row>
    <row r="85" spans="1:6" x14ac:dyDescent="0.25">
      <c r="A85" t="s">
        <v>16</v>
      </c>
      <c r="B85" t="s">
        <v>85</v>
      </c>
      <c r="C85">
        <v>7.55</v>
      </c>
      <c r="D85" s="1">
        <v>673891</v>
      </c>
      <c r="E85" s="4">
        <v>1005019.778806538</v>
      </c>
      <c r="F85" s="4">
        <v>446064.37181973452</v>
      </c>
    </row>
    <row r="86" spans="1:6" x14ac:dyDescent="0.25">
      <c r="A86" t="s">
        <v>17</v>
      </c>
      <c r="B86" t="s">
        <v>85</v>
      </c>
      <c r="C86">
        <v>8.0500000000000007</v>
      </c>
      <c r="D86" s="1">
        <v>706516</v>
      </c>
      <c r="E86" s="4">
        <v>773229.63364196126</v>
      </c>
      <c r="F86" s="4">
        <v>476290.16345911205</v>
      </c>
    </row>
    <row r="87" spans="1:6" x14ac:dyDescent="0.25">
      <c r="A87" t="s">
        <v>18</v>
      </c>
      <c r="B87" t="s">
        <v>85</v>
      </c>
      <c r="C87">
        <v>7.02</v>
      </c>
      <c r="D87" s="1">
        <v>571355</v>
      </c>
      <c r="E87" s="4">
        <v>726530.09009258833</v>
      </c>
      <c r="F87" s="4">
        <v>290296.70384598628</v>
      </c>
    </row>
    <row r="88" spans="1:6" x14ac:dyDescent="0.25">
      <c r="A88" t="s">
        <v>19</v>
      </c>
      <c r="B88" t="s">
        <v>85</v>
      </c>
      <c r="C88">
        <v>11.71</v>
      </c>
      <c r="D88" s="1">
        <v>930122</v>
      </c>
      <c r="E88" s="4">
        <v>617907.52702777646</v>
      </c>
      <c r="F88" s="4">
        <v>214613.05152364017</v>
      </c>
    </row>
    <row r="89" spans="1:6" x14ac:dyDescent="0.25">
      <c r="A89" t="s">
        <v>20</v>
      </c>
      <c r="B89" t="s">
        <v>85</v>
      </c>
      <c r="C89">
        <v>3.57</v>
      </c>
      <c r="D89" s="1">
        <v>338573</v>
      </c>
      <c r="E89" s="4">
        <v>836457.65810833289</v>
      </c>
      <c r="F89" s="4">
        <v>204945.43552880935</v>
      </c>
    </row>
    <row r="90" spans="1:6" x14ac:dyDescent="0.25">
      <c r="A90" t="s">
        <v>21</v>
      </c>
      <c r="B90" t="s">
        <v>85</v>
      </c>
      <c r="C90">
        <v>8.33</v>
      </c>
      <c r="D90" s="1">
        <v>772666</v>
      </c>
      <c r="E90" s="4">
        <v>487938.3974324998</v>
      </c>
      <c r="F90" s="4">
        <v>350925.59443953249</v>
      </c>
    </row>
    <row r="91" spans="1:6" x14ac:dyDescent="0.25">
      <c r="A91" t="s">
        <v>22</v>
      </c>
      <c r="B91" t="s">
        <v>85</v>
      </c>
      <c r="C91">
        <v>6.12</v>
      </c>
      <c r="D91" s="1">
        <v>496327</v>
      </c>
      <c r="E91" s="4">
        <v>687247.71922974987</v>
      </c>
      <c r="F91" s="4">
        <v>377022.02304233779</v>
      </c>
    </row>
    <row r="92" spans="1:6" x14ac:dyDescent="0.25">
      <c r="A92" t="s">
        <v>23</v>
      </c>
      <c r="B92" t="s">
        <v>85</v>
      </c>
      <c r="C92">
        <v>7.49</v>
      </c>
      <c r="D92" s="1">
        <v>622229</v>
      </c>
      <c r="E92" s="4">
        <v>553603.21576892491</v>
      </c>
      <c r="F92" s="4">
        <v>349003.18120550743</v>
      </c>
    </row>
    <row r="93" spans="1:6" x14ac:dyDescent="0.25">
      <c r="A93" t="s">
        <v>24</v>
      </c>
      <c r="B93" t="s">
        <v>85</v>
      </c>
      <c r="C93">
        <v>2.04</v>
      </c>
      <c r="D93" s="1">
        <v>181201</v>
      </c>
      <c r="E93" s="4">
        <v>601641.26473067747</v>
      </c>
      <c r="F93" s="4">
        <v>201849.80138407485</v>
      </c>
    </row>
    <row r="94" spans="1:6" x14ac:dyDescent="0.25">
      <c r="A94" t="s">
        <v>25</v>
      </c>
      <c r="B94" t="s">
        <v>85</v>
      </c>
      <c r="C94">
        <v>13.59</v>
      </c>
      <c r="D94" s="1">
        <v>1291620</v>
      </c>
      <c r="E94" s="4">
        <v>307333.07941920322</v>
      </c>
      <c r="F94" s="4">
        <v>269524.4178791829</v>
      </c>
    </row>
    <row r="95" spans="1:6" x14ac:dyDescent="0.25">
      <c r="A95" t="s">
        <v>26</v>
      </c>
      <c r="B95" t="s">
        <v>85</v>
      </c>
      <c r="C95">
        <v>11.11</v>
      </c>
      <c r="D95" s="1">
        <v>947685</v>
      </c>
      <c r="E95" s="4">
        <v>996333.92382576095</v>
      </c>
      <c r="F95" s="4">
        <v>619220.00842311291</v>
      </c>
    </row>
    <row r="96" spans="1:6" x14ac:dyDescent="0.25">
      <c r="A96" t="s">
        <v>27</v>
      </c>
      <c r="B96" t="s">
        <v>85</v>
      </c>
      <c r="C96">
        <v>8.06</v>
      </c>
      <c r="D96" s="1">
        <v>693298</v>
      </c>
      <c r="E96" s="4">
        <v>962279.67714772827</v>
      </c>
      <c r="F96" s="4">
        <v>618589.11403899186</v>
      </c>
    </row>
    <row r="97" spans="1:6" x14ac:dyDescent="0.25">
      <c r="A97" t="s">
        <v>28</v>
      </c>
      <c r="B97" t="s">
        <v>85</v>
      </c>
      <c r="C97">
        <v>4.08</v>
      </c>
      <c r="D97" s="1">
        <v>367734</v>
      </c>
      <c r="E97" s="4">
        <v>773992.50314431847</v>
      </c>
      <c r="F97" s="4">
        <v>589784.87672965333</v>
      </c>
    </row>
    <row r="98" spans="1:6" x14ac:dyDescent="0.25">
      <c r="A98" t="s">
        <v>29</v>
      </c>
      <c r="B98" t="s">
        <v>85</v>
      </c>
      <c r="C98">
        <v>9</v>
      </c>
      <c r="D98" s="1">
        <v>895642</v>
      </c>
      <c r="E98" s="4">
        <v>489611.55094329553</v>
      </c>
      <c r="F98" s="4">
        <v>282703.51478045667</v>
      </c>
    </row>
    <row r="99" spans="1:6" x14ac:dyDescent="0.25">
      <c r="A99" t="s">
        <v>30</v>
      </c>
      <c r="B99" t="s">
        <v>85</v>
      </c>
      <c r="C99">
        <v>8.4</v>
      </c>
      <c r="D99" s="1">
        <v>738991</v>
      </c>
      <c r="E99" s="4">
        <v>773832.86528298852</v>
      </c>
      <c r="F99" s="4">
        <v>366177.47954575979</v>
      </c>
    </row>
    <row r="100" spans="1:6" x14ac:dyDescent="0.25">
      <c r="A100" t="s">
        <v>31</v>
      </c>
      <c r="B100" t="s">
        <v>85</v>
      </c>
      <c r="C100">
        <v>9.34</v>
      </c>
      <c r="D100" s="1">
        <v>819847</v>
      </c>
      <c r="E100" s="4">
        <v>749443.55958489655</v>
      </c>
      <c r="F100" s="4">
        <v>332225.15082127124</v>
      </c>
    </row>
    <row r="101" spans="1:6" x14ac:dyDescent="0.25">
      <c r="A101" t="s">
        <v>33</v>
      </c>
      <c r="B101" t="s">
        <v>85</v>
      </c>
      <c r="C101">
        <v>7.96</v>
      </c>
      <c r="D101" s="1">
        <v>749201</v>
      </c>
      <c r="E101" s="4">
        <v>798725.96787546889</v>
      </c>
      <c r="F101" s="4">
        <v>238768.59478015531</v>
      </c>
    </row>
    <row r="102" spans="1:6" x14ac:dyDescent="0.25">
      <c r="A102" t="s">
        <v>34</v>
      </c>
      <c r="B102" t="s">
        <v>85</v>
      </c>
      <c r="C102">
        <v>8.4600000000000009</v>
      </c>
      <c r="D102" s="1">
        <v>708557</v>
      </c>
      <c r="E102" s="4">
        <v>764058.49036264059</v>
      </c>
      <c r="F102" s="4">
        <v>53613.811783119127</v>
      </c>
    </row>
    <row r="103" spans="1:6" x14ac:dyDescent="0.25">
      <c r="A103" t="s">
        <v>35</v>
      </c>
      <c r="B103" t="s">
        <v>85</v>
      </c>
      <c r="C103">
        <v>5.45</v>
      </c>
      <c r="D103" s="1">
        <v>484866</v>
      </c>
      <c r="E103" s="4">
        <v>725207.44710879214</v>
      </c>
      <c r="F103" s="4">
        <v>59132.005709890407</v>
      </c>
    </row>
    <row r="104" spans="1:6" x14ac:dyDescent="0.25">
      <c r="A104" t="s">
        <v>36</v>
      </c>
      <c r="B104" t="s">
        <v>85</v>
      </c>
      <c r="C104">
        <v>1.67</v>
      </c>
      <c r="D104" s="1">
        <v>157385</v>
      </c>
      <c r="E104" s="4">
        <v>556968.43413263757</v>
      </c>
      <c r="F104" s="4">
        <v>145255.11932904905</v>
      </c>
    </row>
    <row r="105" spans="1:6" x14ac:dyDescent="0.25">
      <c r="A105" t="s">
        <v>37</v>
      </c>
      <c r="B105" t="s">
        <v>85</v>
      </c>
      <c r="C105">
        <v>6.58</v>
      </c>
      <c r="D105" s="1">
        <v>682385</v>
      </c>
      <c r="E105" s="4">
        <v>277260.03023979126</v>
      </c>
      <c r="F105" s="4">
        <v>271115.81010339136</v>
      </c>
    </row>
    <row r="106" spans="1:6" x14ac:dyDescent="0.25">
      <c r="A106" t="s">
        <v>38</v>
      </c>
      <c r="B106" t="s">
        <v>85</v>
      </c>
      <c r="C106">
        <v>7.09</v>
      </c>
      <c r="D106" s="1">
        <v>607947</v>
      </c>
      <c r="E106" s="4">
        <v>560847.5090719373</v>
      </c>
      <c r="F106" s="4">
        <v>356631.07602244942</v>
      </c>
    </row>
    <row r="107" spans="1:6" x14ac:dyDescent="0.25">
      <c r="A107" t="s">
        <v>39</v>
      </c>
      <c r="B107" t="s">
        <v>85</v>
      </c>
      <c r="C107">
        <v>7.31</v>
      </c>
      <c r="D107" s="1">
        <v>654960</v>
      </c>
      <c r="E107" s="4">
        <v>593817.15272158117</v>
      </c>
      <c r="F107" s="4">
        <v>329652.10146563331</v>
      </c>
    </row>
    <row r="108" spans="1:6" x14ac:dyDescent="0.25">
      <c r="A108" t="s">
        <v>40</v>
      </c>
      <c r="B108" t="s">
        <v>85</v>
      </c>
      <c r="C108">
        <v>1.75</v>
      </c>
      <c r="D108" s="1">
        <v>166069</v>
      </c>
      <c r="E108" s="4">
        <v>636617.14581647434</v>
      </c>
      <c r="F108" s="4">
        <v>238105.75447491446</v>
      </c>
    </row>
    <row r="109" spans="1:6" x14ac:dyDescent="0.25">
      <c r="A109" t="s">
        <v>41</v>
      </c>
      <c r="B109" t="s">
        <v>85</v>
      </c>
      <c r="C109">
        <v>11.84</v>
      </c>
      <c r="D109" s="1">
        <v>1163877</v>
      </c>
      <c r="E109" s="4">
        <v>307233.44374494231</v>
      </c>
      <c r="F109" s="4">
        <v>275301.26973330911</v>
      </c>
    </row>
    <row r="110" spans="1:6" x14ac:dyDescent="0.25">
      <c r="A110" t="s">
        <v>42</v>
      </c>
      <c r="B110" t="s">
        <v>85</v>
      </c>
      <c r="C110">
        <v>4.63</v>
      </c>
      <c r="D110" s="1">
        <v>392995</v>
      </c>
      <c r="E110" s="4">
        <v>906883.93312348262</v>
      </c>
      <c r="F110" s="4">
        <v>565388.4174553355</v>
      </c>
    </row>
    <row r="111" spans="1:6" x14ac:dyDescent="0.25">
      <c r="A111" t="s">
        <v>43</v>
      </c>
      <c r="B111" t="s">
        <v>85</v>
      </c>
      <c r="C111">
        <v>8.43</v>
      </c>
      <c r="D111" s="1">
        <v>788884</v>
      </c>
      <c r="E111" s="4">
        <v>547161.67993704486</v>
      </c>
      <c r="F111" s="4">
        <v>637530.54190666694</v>
      </c>
    </row>
    <row r="112" spans="1:6" x14ac:dyDescent="0.25">
      <c r="A112" t="s">
        <v>44</v>
      </c>
      <c r="B112" t="s">
        <v>85</v>
      </c>
      <c r="C112">
        <v>5.22</v>
      </c>
      <c r="D112" s="1">
        <v>497985</v>
      </c>
      <c r="E112" s="4">
        <v>716367.30398111336</v>
      </c>
      <c r="F112" s="4">
        <v>593394.10683421325</v>
      </c>
    </row>
    <row r="113" spans="1:6" x14ac:dyDescent="0.25">
      <c r="A113" t="s">
        <v>45</v>
      </c>
      <c r="B113" t="s">
        <v>85</v>
      </c>
      <c r="C113">
        <v>4.8099999999999996</v>
      </c>
      <c r="D113" s="1">
        <v>520943</v>
      </c>
      <c r="E113" s="4">
        <v>563499.69119433407</v>
      </c>
      <c r="F113" s="4">
        <v>351284.47460498847</v>
      </c>
    </row>
    <row r="114" spans="1:6" x14ac:dyDescent="0.25">
      <c r="A114" t="s">
        <v>46</v>
      </c>
      <c r="B114" t="s">
        <v>85</v>
      </c>
      <c r="C114">
        <v>4.3499999999999996</v>
      </c>
      <c r="D114" s="1">
        <v>378211</v>
      </c>
      <c r="E114" s="4">
        <v>533710.00735830015</v>
      </c>
      <c r="F114" s="4">
        <v>189676.55159431018</v>
      </c>
    </row>
    <row r="115" spans="1:6" x14ac:dyDescent="0.25">
      <c r="A115" t="s">
        <v>47</v>
      </c>
      <c r="B115" t="s">
        <v>85</v>
      </c>
      <c r="C115">
        <v>7.14</v>
      </c>
      <c r="D115" s="1">
        <v>668084</v>
      </c>
      <c r="E115" s="4">
        <v>424860.70220749005</v>
      </c>
      <c r="F115" s="4">
        <v>156718.26520535292</v>
      </c>
    </row>
    <row r="116" spans="1:6" x14ac:dyDescent="0.25">
      <c r="A116" t="s">
        <v>48</v>
      </c>
      <c r="B116" t="s">
        <v>85</v>
      </c>
      <c r="C116">
        <v>3.77</v>
      </c>
      <c r="D116" s="1">
        <v>366457</v>
      </c>
      <c r="E116" s="4">
        <v>595117.01066224696</v>
      </c>
      <c r="F116" s="4">
        <v>168472.13997561592</v>
      </c>
    </row>
    <row r="117" spans="1:6" x14ac:dyDescent="0.25">
      <c r="A117" t="s">
        <v>49</v>
      </c>
      <c r="B117" t="s">
        <v>85</v>
      </c>
      <c r="C117">
        <v>4.29</v>
      </c>
      <c r="D117" s="1">
        <v>504046</v>
      </c>
      <c r="E117" s="4">
        <v>435055.00319867407</v>
      </c>
      <c r="F117" s="4">
        <v>212620.87883879102</v>
      </c>
    </row>
    <row r="118" spans="1:6" x14ac:dyDescent="0.25">
      <c r="A118" t="s">
        <v>50</v>
      </c>
      <c r="B118" t="s">
        <v>85</v>
      </c>
      <c r="C118">
        <v>5.08</v>
      </c>
      <c r="D118" s="1">
        <v>453300</v>
      </c>
      <c r="E118" s="4">
        <v>483348.70095960214</v>
      </c>
      <c r="F118" s="4">
        <v>196810.17140446394</v>
      </c>
    </row>
    <row r="119" spans="1:6" x14ac:dyDescent="0.25">
      <c r="A119" t="s">
        <v>51</v>
      </c>
      <c r="B119" t="s">
        <v>85</v>
      </c>
      <c r="C119">
        <v>4.26</v>
      </c>
      <c r="D119" s="1">
        <v>422231</v>
      </c>
      <c r="E119" s="4">
        <v>462314.61028788064</v>
      </c>
      <c r="F119" s="4">
        <v>138982.11221239835</v>
      </c>
    </row>
    <row r="120" spans="1:6" x14ac:dyDescent="0.25">
      <c r="A120" t="s">
        <v>52</v>
      </c>
      <c r="B120" t="s">
        <v>85</v>
      </c>
      <c r="C120">
        <v>5.79</v>
      </c>
      <c r="D120" s="1">
        <v>538009</v>
      </c>
      <c r="E120" s="4">
        <v>434256.08308636415</v>
      </c>
      <c r="F120" s="4">
        <v>49225.25734725636</v>
      </c>
    </row>
    <row r="121" spans="1:6" x14ac:dyDescent="0.25">
      <c r="A121" t="s">
        <v>53</v>
      </c>
      <c r="B121" t="s">
        <v>85</v>
      </c>
      <c r="C121">
        <v>4.46</v>
      </c>
      <c r="D121" s="1">
        <v>511488</v>
      </c>
      <c r="E121" s="4">
        <v>506883.12492590921</v>
      </c>
      <c r="F121" s="4">
        <v>66518.889575714027</v>
      </c>
    </row>
    <row r="122" spans="1:6" x14ac:dyDescent="0.25">
      <c r="A122" t="s">
        <v>54</v>
      </c>
      <c r="B122" t="s">
        <v>85</v>
      </c>
      <c r="C122">
        <v>4.6500000000000004</v>
      </c>
      <c r="D122" s="1">
        <v>390410</v>
      </c>
      <c r="E122" s="4">
        <v>510106.53747777274</v>
      </c>
      <c r="F122" s="4">
        <v>64271.736806174507</v>
      </c>
    </row>
    <row r="123" spans="1:6" x14ac:dyDescent="0.25">
      <c r="A123" t="s">
        <v>55</v>
      </c>
      <c r="B123" t="s">
        <v>85</v>
      </c>
      <c r="C123">
        <v>4.66</v>
      </c>
      <c r="D123" s="1">
        <v>448542</v>
      </c>
      <c r="E123" s="4">
        <v>426318.96124333178</v>
      </c>
      <c r="F123" s="4">
        <v>91493.412744130866</v>
      </c>
    </row>
    <row r="124" spans="1:6" x14ac:dyDescent="0.25">
      <c r="A124" t="s">
        <v>57</v>
      </c>
      <c r="B124" t="s">
        <v>85</v>
      </c>
      <c r="C124">
        <v>4.29</v>
      </c>
      <c r="D124" s="1">
        <v>489961</v>
      </c>
      <c r="E124" s="4">
        <v>441875.08837299951</v>
      </c>
      <c r="F124" s="4">
        <v>70338.063214251728</v>
      </c>
    </row>
    <row r="125" spans="1:6" x14ac:dyDescent="0.25">
      <c r="A125" t="s">
        <v>58</v>
      </c>
      <c r="B125" t="s">
        <v>85</v>
      </c>
      <c r="C125">
        <v>3.26</v>
      </c>
      <c r="D125" s="1">
        <v>275888</v>
      </c>
      <c r="E125" s="4">
        <v>475535.22651189979</v>
      </c>
      <c r="F125" s="4">
        <v>75571.995326196353</v>
      </c>
    </row>
    <row r="126" spans="1:6" x14ac:dyDescent="0.25">
      <c r="A126" t="s">
        <v>59</v>
      </c>
      <c r="B126" t="s">
        <v>85</v>
      </c>
      <c r="C126">
        <v>3.77</v>
      </c>
      <c r="D126" s="1">
        <v>372429</v>
      </c>
      <c r="E126" s="4">
        <v>335782.16795356991</v>
      </c>
      <c r="F126" s="4">
        <v>119254.81597888601</v>
      </c>
    </row>
    <row r="127" spans="1:6" x14ac:dyDescent="0.25">
      <c r="A127" t="s">
        <v>61</v>
      </c>
      <c r="B127" t="s">
        <v>85</v>
      </c>
      <c r="C127">
        <v>9.3800000000000008</v>
      </c>
      <c r="D127" s="1">
        <v>931075</v>
      </c>
      <c r="E127" s="4">
        <v>361434.95038607094</v>
      </c>
      <c r="F127" s="4">
        <v>120435.68165890148</v>
      </c>
    </row>
    <row r="128" spans="1:6" x14ac:dyDescent="0.25">
      <c r="A128" t="s">
        <v>62</v>
      </c>
      <c r="B128" t="s">
        <v>85</v>
      </c>
      <c r="C128">
        <v>0</v>
      </c>
      <c r="D128">
        <v>0</v>
      </c>
      <c r="E128" s="4">
        <v>760182.98511582124</v>
      </c>
      <c r="F128" s="4">
        <v>349137.88655157085</v>
      </c>
    </row>
    <row r="129" spans="1:6" x14ac:dyDescent="0.25">
      <c r="A129" t="s">
        <v>63</v>
      </c>
      <c r="B129" t="s">
        <v>85</v>
      </c>
      <c r="C129">
        <v>3.37</v>
      </c>
      <c r="D129" s="1">
        <v>292390</v>
      </c>
      <c r="E129" s="4">
        <v>228054.89553474638</v>
      </c>
      <c r="F129" s="4">
        <v>548850.60119088867</v>
      </c>
    </row>
    <row r="130" spans="1:6" x14ac:dyDescent="0.25">
      <c r="A130" t="s">
        <v>64</v>
      </c>
      <c r="B130" t="s">
        <v>85</v>
      </c>
      <c r="C130">
        <v>5</v>
      </c>
      <c r="D130" s="1">
        <v>410508</v>
      </c>
      <c r="E130" s="4">
        <v>273089.46866042388</v>
      </c>
      <c r="F130" s="4">
        <v>549698.99722494057</v>
      </c>
    </row>
    <row r="131" spans="1:6" x14ac:dyDescent="0.25">
      <c r="A131" t="s">
        <v>65</v>
      </c>
      <c r="B131" t="s">
        <v>85</v>
      </c>
      <c r="C131">
        <v>0.9</v>
      </c>
      <c r="D131" s="1">
        <v>112681</v>
      </c>
      <c r="E131" s="4">
        <v>369282.44059812714</v>
      </c>
      <c r="F131" s="4">
        <v>447549.26331510593</v>
      </c>
    </row>
    <row r="132" spans="1:6" x14ac:dyDescent="0.25">
      <c r="A132" t="s">
        <v>66</v>
      </c>
      <c r="B132" t="s">
        <v>85</v>
      </c>
      <c r="C132">
        <v>2.94</v>
      </c>
      <c r="D132" s="1">
        <v>302341</v>
      </c>
      <c r="E132" s="4">
        <v>189661.43217943812</v>
      </c>
      <c r="F132" s="4">
        <v>172111.55078331739</v>
      </c>
    </row>
    <row r="133" spans="1:6" x14ac:dyDescent="0.25">
      <c r="A133" t="s">
        <v>67</v>
      </c>
      <c r="B133" t="s">
        <v>85</v>
      </c>
      <c r="C133">
        <v>4.22</v>
      </c>
      <c r="D133" s="1">
        <v>386820</v>
      </c>
      <c r="E133" s="4">
        <v>268537.12965383142</v>
      </c>
      <c r="F133" s="4">
        <v>180208.06222881083</v>
      </c>
    </row>
    <row r="134" spans="1:6" x14ac:dyDescent="0.25">
      <c r="A134" t="s">
        <v>69</v>
      </c>
      <c r="B134" t="s">
        <v>85</v>
      </c>
      <c r="C134">
        <v>1.61</v>
      </c>
      <c r="D134" s="1">
        <v>186044</v>
      </c>
      <c r="E134" s="4">
        <v>351335.13889614941</v>
      </c>
      <c r="F134" s="4">
        <v>175624.43047460803</v>
      </c>
    </row>
    <row r="135" spans="1:6" x14ac:dyDescent="0.25">
      <c r="A135" t="s">
        <v>70</v>
      </c>
      <c r="B135" t="s">
        <v>85</v>
      </c>
      <c r="C135">
        <v>1.52</v>
      </c>
      <c r="D135" s="1">
        <v>145905</v>
      </c>
      <c r="E135" s="4">
        <v>235631.34166884481</v>
      </c>
      <c r="F135" s="4">
        <v>134174.86478366365</v>
      </c>
    </row>
    <row r="136" spans="1:6" x14ac:dyDescent="0.25">
      <c r="A136" t="s">
        <v>71</v>
      </c>
      <c r="B136" t="s">
        <v>85</v>
      </c>
      <c r="C136">
        <v>1.1299999999999999</v>
      </c>
      <c r="D136" s="1">
        <v>107248</v>
      </c>
      <c r="E136" s="4">
        <v>172822.90250065344</v>
      </c>
      <c r="F136" s="4">
        <v>128274.20421917645</v>
      </c>
    </row>
    <row r="137" spans="1:6" x14ac:dyDescent="0.25">
      <c r="A137" t="s">
        <v>75</v>
      </c>
      <c r="B137" t="s">
        <v>85</v>
      </c>
      <c r="C137">
        <v>1.18</v>
      </c>
      <c r="D137" s="1">
        <v>112750</v>
      </c>
      <c r="E137" s="4">
        <v>126920.47075019602</v>
      </c>
      <c r="F137" s="4">
        <v>114995.71705768094</v>
      </c>
    </row>
    <row r="138" spans="1:6" x14ac:dyDescent="0.25">
      <c r="A138" t="s">
        <v>77</v>
      </c>
      <c r="B138" t="s">
        <v>85</v>
      </c>
      <c r="C138">
        <v>3.16</v>
      </c>
      <c r="D138" s="1">
        <v>459714</v>
      </c>
      <c r="E138" s="4">
        <v>117001.1412250588</v>
      </c>
      <c r="F138" s="4">
        <v>64683.038653953794</v>
      </c>
    </row>
    <row r="139" spans="1:6" x14ac:dyDescent="0.25">
      <c r="A139" t="s">
        <v>78</v>
      </c>
      <c r="B139" t="s">
        <v>85</v>
      </c>
      <c r="C139">
        <v>3.17</v>
      </c>
      <c r="D139" s="1">
        <v>302168</v>
      </c>
      <c r="E139" s="4">
        <v>356900.14236751763</v>
      </c>
      <c r="F139" s="4">
        <v>201620.90967038873</v>
      </c>
    </row>
    <row r="140" spans="1:6" x14ac:dyDescent="0.25">
      <c r="A140" t="s">
        <v>79</v>
      </c>
      <c r="B140" t="s">
        <v>85</v>
      </c>
      <c r="C140">
        <v>4.3499999999999996</v>
      </c>
      <c r="D140" s="1">
        <v>381165</v>
      </c>
      <c r="E140" s="4">
        <v>318587.64271025528</v>
      </c>
      <c r="F140" s="4">
        <v>200539.69949373545</v>
      </c>
    </row>
    <row r="141" spans="1:6" x14ac:dyDescent="0.25">
      <c r="A141" t="s">
        <v>81</v>
      </c>
      <c r="B141" t="s">
        <v>85</v>
      </c>
      <c r="C141">
        <v>8.26</v>
      </c>
      <c r="D141" s="1">
        <v>1075904</v>
      </c>
      <c r="E141" s="4">
        <v>362391.79281307658</v>
      </c>
      <c r="F141" s="4">
        <v>203603.89372766536</v>
      </c>
    </row>
    <row r="142" spans="1:6" x14ac:dyDescent="0.25">
      <c r="A142" t="s">
        <v>82</v>
      </c>
      <c r="B142" t="s">
        <v>85</v>
      </c>
      <c r="C142">
        <v>10.45</v>
      </c>
      <c r="D142" s="1">
        <v>900523</v>
      </c>
      <c r="E142" s="4">
        <v>861850.3378439229</v>
      </c>
      <c r="F142" s="4">
        <v>414733.32912377227</v>
      </c>
    </row>
    <row r="143" spans="1:6" x14ac:dyDescent="0.25">
      <c r="A143" t="s">
        <v>83</v>
      </c>
      <c r="B143" t="s">
        <v>85</v>
      </c>
      <c r="C143">
        <v>8.44</v>
      </c>
      <c r="D143" s="1">
        <v>705467</v>
      </c>
      <c r="E143" s="4">
        <v>888921.20135317685</v>
      </c>
      <c r="F143" s="4">
        <v>414130.08030825353</v>
      </c>
    </row>
    <row r="144" spans="1:6" x14ac:dyDescent="0.25">
      <c r="A144" t="s">
        <v>7</v>
      </c>
      <c r="B144" t="s">
        <v>86</v>
      </c>
      <c r="C144">
        <v>3.7</v>
      </c>
      <c r="D144" s="1">
        <v>915372</v>
      </c>
      <c r="E144" s="4">
        <v>760503.26040595304</v>
      </c>
      <c r="F144" s="4">
        <v>425930.62369245267</v>
      </c>
    </row>
    <row r="145" spans="1:6" x14ac:dyDescent="0.25">
      <c r="A145" t="s">
        <v>10</v>
      </c>
      <c r="B145" t="s">
        <v>86</v>
      </c>
      <c r="C145">
        <v>4.5199999999999996</v>
      </c>
      <c r="D145" s="1">
        <v>1217026</v>
      </c>
      <c r="E145" s="4">
        <v>868911.37812178582</v>
      </c>
      <c r="F145" s="4">
        <v>140398.65300376966</v>
      </c>
    </row>
    <row r="146" spans="1:6" x14ac:dyDescent="0.25">
      <c r="A146" t="s">
        <v>11</v>
      </c>
      <c r="B146" t="s">
        <v>86</v>
      </c>
      <c r="C146">
        <v>2.29</v>
      </c>
      <c r="D146" s="1">
        <v>545899</v>
      </c>
      <c r="E146" s="4">
        <v>1112591.6134365357</v>
      </c>
      <c r="F146" s="4">
        <v>244147.19635429818</v>
      </c>
    </row>
    <row r="147" spans="1:6" x14ac:dyDescent="0.25">
      <c r="A147" t="s">
        <v>12</v>
      </c>
      <c r="B147" t="s">
        <v>86</v>
      </c>
      <c r="C147">
        <v>5.5</v>
      </c>
      <c r="D147" s="1">
        <v>1454898</v>
      </c>
      <c r="E147" s="4">
        <v>715906.78403096064</v>
      </c>
      <c r="F147" s="4">
        <v>394253.99367767631</v>
      </c>
    </row>
    <row r="148" spans="1:6" x14ac:dyDescent="0.25">
      <c r="A148" t="s">
        <v>13</v>
      </c>
      <c r="B148" t="s">
        <v>86</v>
      </c>
      <c r="C148">
        <v>12.92</v>
      </c>
      <c r="D148" s="1">
        <v>3251962</v>
      </c>
      <c r="E148" s="4">
        <v>1233200.6352092882</v>
      </c>
      <c r="F148" s="4">
        <v>574001.2559127789</v>
      </c>
    </row>
    <row r="149" spans="1:6" x14ac:dyDescent="0.25">
      <c r="A149" t="s">
        <v>14</v>
      </c>
      <c r="B149" t="s">
        <v>86</v>
      </c>
      <c r="C149">
        <v>7.67</v>
      </c>
      <c r="D149" s="1">
        <v>2068916</v>
      </c>
      <c r="E149" s="4">
        <v>2646333.5905627864</v>
      </c>
      <c r="F149" s="4">
        <v>1283568.7208423484</v>
      </c>
    </row>
    <row r="150" spans="1:6" x14ac:dyDescent="0.25">
      <c r="A150" t="s">
        <v>15</v>
      </c>
      <c r="B150" t="s">
        <v>86</v>
      </c>
      <c r="C150">
        <v>3.9</v>
      </c>
      <c r="D150" s="1">
        <v>947912</v>
      </c>
      <c r="E150" s="4">
        <v>2242141.277168836</v>
      </c>
      <c r="F150" s="4">
        <v>1285161.0196317025</v>
      </c>
    </row>
    <row r="151" spans="1:6" x14ac:dyDescent="0.25">
      <c r="A151" t="s">
        <v>16</v>
      </c>
      <c r="B151" t="s">
        <v>86</v>
      </c>
      <c r="C151">
        <v>12.43</v>
      </c>
      <c r="D151" s="1">
        <v>3255736</v>
      </c>
      <c r="E151" s="4">
        <v>1336180.7831506506</v>
      </c>
      <c r="F151" s="4">
        <v>1424059.6831762306</v>
      </c>
    </row>
    <row r="152" spans="1:6" x14ac:dyDescent="0.25">
      <c r="A152" t="s">
        <v>17</v>
      </c>
      <c r="B152" t="s">
        <v>86</v>
      </c>
      <c r="C152">
        <v>14.39</v>
      </c>
      <c r="D152" s="1">
        <v>3549012</v>
      </c>
      <c r="E152" s="4">
        <v>2679869.434945195</v>
      </c>
      <c r="F152" s="4">
        <v>1377574.2843014377</v>
      </c>
    </row>
    <row r="153" spans="1:6" x14ac:dyDescent="0.25">
      <c r="A153" t="s">
        <v>18</v>
      </c>
      <c r="B153" t="s">
        <v>86</v>
      </c>
      <c r="C153">
        <v>6.47</v>
      </c>
      <c r="D153" s="1">
        <v>1661923</v>
      </c>
      <c r="E153" s="4">
        <v>3288269.2304835585</v>
      </c>
      <c r="F153" s="4">
        <v>1427717.3449022938</v>
      </c>
    </row>
    <row r="154" spans="1:6" x14ac:dyDescent="0.25">
      <c r="A154" t="s">
        <v>19</v>
      </c>
      <c r="B154" t="s">
        <v>86</v>
      </c>
      <c r="C154">
        <v>6.28</v>
      </c>
      <c r="D154" s="1">
        <v>1561051</v>
      </c>
      <c r="E154" s="4">
        <v>2149826.8691450674</v>
      </c>
      <c r="F154" s="4">
        <v>1536782.6879915583</v>
      </c>
    </row>
    <row r="155" spans="1:6" x14ac:dyDescent="0.25">
      <c r="A155" t="s">
        <v>20</v>
      </c>
      <c r="B155" t="s">
        <v>86</v>
      </c>
      <c r="C155">
        <v>4.43</v>
      </c>
      <c r="D155" s="1">
        <v>1148462</v>
      </c>
      <c r="E155" s="4">
        <v>1737683.7607435202</v>
      </c>
      <c r="F155" s="4">
        <v>1117596.809212466</v>
      </c>
    </row>
    <row r="156" spans="1:6" x14ac:dyDescent="0.25">
      <c r="A156" t="s">
        <v>21</v>
      </c>
      <c r="B156" t="s">
        <v>86</v>
      </c>
      <c r="C156">
        <v>4.72</v>
      </c>
      <c r="D156" s="1">
        <v>1155431</v>
      </c>
      <c r="E156" s="4">
        <v>1325228.5282230559</v>
      </c>
      <c r="F156" s="4">
        <v>1054963.0907965933</v>
      </c>
    </row>
    <row r="157" spans="1:6" x14ac:dyDescent="0.25">
      <c r="A157" t="s">
        <v>22</v>
      </c>
      <c r="B157" t="s">
        <v>86</v>
      </c>
      <c r="C157">
        <v>3.41</v>
      </c>
      <c r="D157" s="1">
        <v>878477</v>
      </c>
      <c r="E157" s="4">
        <v>1206370.2584669166</v>
      </c>
      <c r="F157" s="4">
        <v>490805.63295187883</v>
      </c>
    </row>
    <row r="158" spans="1:6" x14ac:dyDescent="0.25">
      <c r="A158" t="s">
        <v>23</v>
      </c>
      <c r="B158" t="s">
        <v>86</v>
      </c>
      <c r="C158">
        <v>2.48</v>
      </c>
      <c r="D158" s="1">
        <v>605089</v>
      </c>
      <c r="E158" s="4">
        <v>976844.97754007485</v>
      </c>
      <c r="F158" s="4">
        <v>401467.08992245176</v>
      </c>
    </row>
    <row r="159" spans="1:6" x14ac:dyDescent="0.25">
      <c r="A159" t="s">
        <v>24</v>
      </c>
      <c r="B159" t="s">
        <v>86</v>
      </c>
      <c r="C159">
        <v>1.34</v>
      </c>
      <c r="D159" s="1">
        <v>335815</v>
      </c>
      <c r="E159" s="4">
        <v>716615.79326202243</v>
      </c>
      <c r="F159" s="4">
        <v>302515.94799585262</v>
      </c>
    </row>
    <row r="160" spans="1:6" x14ac:dyDescent="0.25">
      <c r="A160" t="s">
        <v>25</v>
      </c>
      <c r="B160" t="s">
        <v>86</v>
      </c>
      <c r="C160">
        <v>2.12</v>
      </c>
      <c r="D160" s="1">
        <v>553028</v>
      </c>
      <c r="E160" s="4">
        <v>450055.23797860672</v>
      </c>
      <c r="F160" s="4">
        <v>360890.44502628694</v>
      </c>
    </row>
    <row r="161" spans="1:6" x14ac:dyDescent="0.25">
      <c r="A161" t="s">
        <v>26</v>
      </c>
      <c r="B161" t="s">
        <v>86</v>
      </c>
      <c r="C161">
        <v>1.69</v>
      </c>
      <c r="D161" s="1">
        <v>442140</v>
      </c>
      <c r="E161" s="4">
        <v>522136.17139358202</v>
      </c>
      <c r="F161" s="4">
        <v>312951.0828143789</v>
      </c>
    </row>
    <row r="162" spans="1:6" x14ac:dyDescent="0.25">
      <c r="A162" t="s">
        <v>27</v>
      </c>
      <c r="B162" t="s">
        <v>86</v>
      </c>
      <c r="C162">
        <v>1.75</v>
      </c>
      <c r="D162" s="1">
        <v>427854</v>
      </c>
      <c r="E162" s="4">
        <v>466138.85141807457</v>
      </c>
      <c r="F162" s="4">
        <v>232387.62252246524</v>
      </c>
    </row>
    <row r="163" spans="1:6" x14ac:dyDescent="0.25">
      <c r="A163" t="s">
        <v>28</v>
      </c>
      <c r="B163" t="s">
        <v>86</v>
      </c>
      <c r="C163">
        <v>3.33</v>
      </c>
      <c r="D163" s="1">
        <v>815866</v>
      </c>
      <c r="E163" s="4">
        <v>439339.45542542235</v>
      </c>
      <c r="F163" s="4">
        <v>78461.257964360761</v>
      </c>
    </row>
    <row r="164" spans="1:6" x14ac:dyDescent="0.25">
      <c r="A164" t="s">
        <v>29</v>
      </c>
      <c r="B164" t="s">
        <v>86</v>
      </c>
      <c r="C164">
        <v>4.8099999999999996</v>
      </c>
      <c r="D164" s="1">
        <v>1197777</v>
      </c>
      <c r="E164" s="4">
        <v>702908.03662762663</v>
      </c>
      <c r="F164" s="4">
        <v>223336.33534425666</v>
      </c>
    </row>
    <row r="165" spans="1:6" x14ac:dyDescent="0.25">
      <c r="A165" t="s">
        <v>30</v>
      </c>
      <c r="B165" t="s">
        <v>86</v>
      </c>
      <c r="C165">
        <v>4.8600000000000003</v>
      </c>
      <c r="D165" s="1">
        <v>1225192</v>
      </c>
      <c r="E165" s="4">
        <v>1049316.3109882879</v>
      </c>
      <c r="F165" s="4">
        <v>359691.1914066578</v>
      </c>
    </row>
    <row r="166" spans="1:6" x14ac:dyDescent="0.25">
      <c r="A166" t="s">
        <v>31</v>
      </c>
      <c r="B166" t="s">
        <v>86</v>
      </c>
      <c r="C166">
        <v>5</v>
      </c>
      <c r="D166" s="1">
        <v>1241779</v>
      </c>
      <c r="E166" s="4">
        <v>1172429.2932964861</v>
      </c>
      <c r="F166" s="4">
        <v>373095.06727010978</v>
      </c>
    </row>
    <row r="167" spans="1:6" x14ac:dyDescent="0.25">
      <c r="A167" t="s">
        <v>32</v>
      </c>
      <c r="B167" t="s">
        <v>86</v>
      </c>
      <c r="C167">
        <v>5.05</v>
      </c>
      <c r="D167" s="1">
        <v>1254137</v>
      </c>
      <c r="E167" s="4">
        <v>1220974.0879889457</v>
      </c>
      <c r="F167" s="4">
        <v>305852.32314220711</v>
      </c>
    </row>
    <row r="168" spans="1:6" x14ac:dyDescent="0.25">
      <c r="A168" t="s">
        <v>33</v>
      </c>
      <c r="B168" t="s">
        <v>86</v>
      </c>
      <c r="C168">
        <v>3.19</v>
      </c>
      <c r="D168" s="1">
        <v>839628</v>
      </c>
      <c r="E168" s="4">
        <v>1244188.1263966835</v>
      </c>
      <c r="F168" s="4">
        <v>110817.29488706595</v>
      </c>
    </row>
    <row r="169" spans="1:6" x14ac:dyDescent="0.25">
      <c r="A169" t="s">
        <v>34</v>
      </c>
      <c r="B169" t="s">
        <v>86</v>
      </c>
      <c r="C169">
        <v>6.64</v>
      </c>
      <c r="D169" s="1">
        <v>1678135</v>
      </c>
      <c r="E169" s="4">
        <v>960996.03791900503</v>
      </c>
      <c r="F169" s="4">
        <v>237752.01115379084</v>
      </c>
    </row>
    <row r="170" spans="1:6" x14ac:dyDescent="0.25">
      <c r="A170" t="s">
        <v>35</v>
      </c>
      <c r="B170" t="s">
        <v>86</v>
      </c>
      <c r="C170">
        <v>9.89</v>
      </c>
      <c r="D170" s="1">
        <v>2419174</v>
      </c>
      <c r="E170" s="4">
        <v>1462993.3113757016</v>
      </c>
      <c r="F170" s="4">
        <v>475764.98593940272</v>
      </c>
    </row>
    <row r="171" spans="1:6" x14ac:dyDescent="0.25">
      <c r="A171" t="s">
        <v>36</v>
      </c>
      <c r="B171" t="s">
        <v>86</v>
      </c>
      <c r="C171">
        <v>7.49</v>
      </c>
      <c r="D171" s="1">
        <v>1823083</v>
      </c>
      <c r="E171" s="4">
        <v>2132319.7934127101</v>
      </c>
      <c r="F171" s="4">
        <v>728523.32291715161</v>
      </c>
    </row>
    <row r="172" spans="1:6" x14ac:dyDescent="0.25">
      <c r="A172" t="s">
        <v>37</v>
      </c>
      <c r="B172" t="s">
        <v>86</v>
      </c>
      <c r="C172">
        <v>4</v>
      </c>
      <c r="D172" s="1">
        <v>1034310</v>
      </c>
      <c r="E172" s="4">
        <v>1915854.0380238127</v>
      </c>
      <c r="F172" s="4">
        <v>712787.29754694225</v>
      </c>
    </row>
    <row r="173" spans="1:6" x14ac:dyDescent="0.25">
      <c r="A173" t="s">
        <v>38</v>
      </c>
      <c r="B173" t="s">
        <v>86</v>
      </c>
      <c r="C173">
        <v>7.03</v>
      </c>
      <c r="D173" s="1">
        <v>1734212</v>
      </c>
      <c r="E173" s="4">
        <v>1298773.2114071436</v>
      </c>
      <c r="F173" s="4">
        <v>771800.66396134999</v>
      </c>
    </row>
    <row r="174" spans="1:6" x14ac:dyDescent="0.25">
      <c r="A174" t="s">
        <v>39</v>
      </c>
      <c r="B174" t="s">
        <v>86</v>
      </c>
      <c r="C174">
        <v>8.92</v>
      </c>
      <c r="D174" s="1">
        <v>2094737</v>
      </c>
      <c r="E174" s="4">
        <v>1603580.363422143</v>
      </c>
      <c r="F174" s="4">
        <v>595078.2088618601</v>
      </c>
    </row>
    <row r="175" spans="1:6" x14ac:dyDescent="0.25">
      <c r="A175" t="s">
        <v>40</v>
      </c>
      <c r="B175" t="s">
        <v>86</v>
      </c>
      <c r="C175">
        <v>8.73</v>
      </c>
      <c r="D175" s="1">
        <v>2034417</v>
      </c>
      <c r="E175" s="4">
        <v>1947390.0090266429</v>
      </c>
      <c r="F175" s="4">
        <v>634550.14806843456</v>
      </c>
    </row>
    <row r="176" spans="1:6" x14ac:dyDescent="0.25">
      <c r="A176" t="s">
        <v>41</v>
      </c>
      <c r="B176" t="s">
        <v>86</v>
      </c>
      <c r="C176">
        <v>4.59</v>
      </c>
      <c r="D176" s="1">
        <v>1148556</v>
      </c>
      <c r="E176" s="4">
        <v>2008308.9027079926</v>
      </c>
      <c r="F176" s="4">
        <v>382280.64622018387</v>
      </c>
    </row>
    <row r="177" spans="1:6" x14ac:dyDescent="0.25">
      <c r="A177" t="s">
        <v>42</v>
      </c>
      <c r="B177" t="s">
        <v>86</v>
      </c>
      <c r="C177">
        <v>9.25</v>
      </c>
      <c r="D177" s="1">
        <v>2167204</v>
      </c>
      <c r="E177" s="4">
        <v>1406481.8708123977</v>
      </c>
      <c r="F177" s="4">
        <v>573870.94731805602</v>
      </c>
    </row>
    <row r="178" spans="1:6" x14ac:dyDescent="0.25">
      <c r="A178" t="s">
        <v>43</v>
      </c>
      <c r="B178" t="s">
        <v>86</v>
      </c>
      <c r="C178">
        <v>10.75</v>
      </c>
      <c r="D178" s="1">
        <v>2461094</v>
      </c>
      <c r="E178" s="4">
        <v>1938987.3612437192</v>
      </c>
      <c r="F178" s="4">
        <v>664692.13643320499</v>
      </c>
    </row>
    <row r="179" spans="1:6" x14ac:dyDescent="0.25">
      <c r="A179" t="s">
        <v>44</v>
      </c>
      <c r="B179" t="s">
        <v>86</v>
      </c>
      <c r="C179">
        <v>7.51</v>
      </c>
      <c r="D179" s="1">
        <v>1703460</v>
      </c>
      <c r="E179" s="4">
        <v>2304462.0083731157</v>
      </c>
      <c r="F179" s="4">
        <v>728118.24904656783</v>
      </c>
    </row>
    <row r="180" spans="1:6" x14ac:dyDescent="0.25">
      <c r="A180" t="s">
        <v>45</v>
      </c>
      <c r="B180" t="s">
        <v>86</v>
      </c>
      <c r="C180">
        <v>7.52</v>
      </c>
      <c r="D180" s="1">
        <v>1825694</v>
      </c>
      <c r="E180" s="4">
        <v>1883760.6025119347</v>
      </c>
      <c r="F180" s="4">
        <v>635740.22843129339</v>
      </c>
    </row>
    <row r="181" spans="1:6" x14ac:dyDescent="0.25">
      <c r="A181" t="s">
        <v>46</v>
      </c>
      <c r="B181" t="s">
        <v>86</v>
      </c>
      <c r="C181">
        <v>10.89</v>
      </c>
      <c r="D181" s="1">
        <v>2567642</v>
      </c>
      <c r="E181" s="4">
        <v>1843113.9807535801</v>
      </c>
      <c r="F181" s="4">
        <v>460858.07165517501</v>
      </c>
    </row>
    <row r="182" spans="1:6" x14ac:dyDescent="0.25">
      <c r="A182" t="s">
        <v>47</v>
      </c>
      <c r="B182" t="s">
        <v>86</v>
      </c>
      <c r="C182">
        <v>10.99</v>
      </c>
      <c r="D182" s="1">
        <v>2556673</v>
      </c>
      <c r="E182" s="4">
        <v>2350283.5942260739</v>
      </c>
      <c r="F182" s="4">
        <v>544523.03136749507</v>
      </c>
    </row>
    <row r="183" spans="1:6" x14ac:dyDescent="0.25">
      <c r="A183" t="s">
        <v>48</v>
      </c>
      <c r="B183" t="s">
        <v>86</v>
      </c>
      <c r="C183">
        <v>11.22</v>
      </c>
      <c r="D183" s="1">
        <v>2479468</v>
      </c>
      <c r="E183" s="4">
        <v>2494756.1782678221</v>
      </c>
      <c r="F183" s="4">
        <v>436237.38484764384</v>
      </c>
    </row>
    <row r="184" spans="1:6" x14ac:dyDescent="0.25">
      <c r="A184" t="s">
        <v>49</v>
      </c>
      <c r="B184" t="s">
        <v>86</v>
      </c>
      <c r="C184">
        <v>9.27</v>
      </c>
      <c r="D184" s="1">
        <v>2254679</v>
      </c>
      <c r="E184" s="4">
        <v>2484054.4534803466</v>
      </c>
      <c r="F184" s="4">
        <v>435036.84360584279</v>
      </c>
    </row>
    <row r="185" spans="1:6" x14ac:dyDescent="0.25">
      <c r="A185" t="s">
        <v>50</v>
      </c>
      <c r="B185" t="s">
        <v>86</v>
      </c>
      <c r="C185">
        <v>10.199999999999999</v>
      </c>
      <c r="D185" s="1">
        <v>2457966</v>
      </c>
      <c r="E185" s="4">
        <v>2323491.6360441037</v>
      </c>
      <c r="F185" s="4">
        <v>178366.11586824973</v>
      </c>
    </row>
    <row r="186" spans="1:6" x14ac:dyDescent="0.25">
      <c r="A186" t="s">
        <v>51</v>
      </c>
      <c r="B186" t="s">
        <v>86</v>
      </c>
      <c r="C186">
        <v>13.44</v>
      </c>
      <c r="D186" s="1">
        <v>3124649</v>
      </c>
      <c r="E186" s="4">
        <v>2417623.6908132313</v>
      </c>
      <c r="F186" s="4">
        <v>153764.08511678557</v>
      </c>
    </row>
    <row r="187" spans="1:6" x14ac:dyDescent="0.25">
      <c r="A187" t="s">
        <v>52</v>
      </c>
      <c r="B187" t="s">
        <v>86</v>
      </c>
      <c r="C187">
        <v>11</v>
      </c>
      <c r="D187" s="1">
        <v>2448623</v>
      </c>
      <c r="E187" s="4">
        <v>2912541.4072439689</v>
      </c>
      <c r="F187" s="4">
        <v>436112.08079701383</v>
      </c>
    </row>
    <row r="188" spans="1:6" x14ac:dyDescent="0.25">
      <c r="A188" t="s">
        <v>53</v>
      </c>
      <c r="B188" t="s">
        <v>86</v>
      </c>
      <c r="C188">
        <v>8.6199999999999992</v>
      </c>
      <c r="D188" s="1">
        <v>2068032</v>
      </c>
      <c r="E188" s="4">
        <v>2587798.5221731905</v>
      </c>
      <c r="F188" s="4">
        <v>494364.38348373823</v>
      </c>
    </row>
    <row r="189" spans="1:6" x14ac:dyDescent="0.25">
      <c r="A189" t="s">
        <v>54</v>
      </c>
      <c r="B189" t="s">
        <v>86</v>
      </c>
      <c r="C189">
        <v>12.47</v>
      </c>
      <c r="D189" s="1">
        <v>2999427</v>
      </c>
      <c r="E189" s="4">
        <v>2223961.9566519568</v>
      </c>
      <c r="F189" s="4">
        <v>573080.0740973989</v>
      </c>
    </row>
    <row r="190" spans="1:6" x14ac:dyDescent="0.25">
      <c r="A190" t="s">
        <v>55</v>
      </c>
      <c r="B190" t="s">
        <v>86</v>
      </c>
      <c r="C190">
        <v>12.4</v>
      </c>
      <c r="D190" s="1">
        <v>2783304</v>
      </c>
      <c r="E190" s="4">
        <v>2766787.4869955871</v>
      </c>
      <c r="F190" s="4">
        <v>601864.75767860492</v>
      </c>
    </row>
    <row r="191" spans="1:6" x14ac:dyDescent="0.25">
      <c r="A191" t="s">
        <v>56</v>
      </c>
      <c r="B191" t="s">
        <v>86</v>
      </c>
      <c r="C191">
        <v>10.16</v>
      </c>
      <c r="D191" s="1">
        <v>2328117</v>
      </c>
      <c r="E191" s="4">
        <v>2778349.046098676</v>
      </c>
      <c r="F191" s="4">
        <v>539065.87916154286</v>
      </c>
    </row>
    <row r="192" spans="1:6" x14ac:dyDescent="0.25">
      <c r="A192" t="s">
        <v>57</v>
      </c>
      <c r="B192" t="s">
        <v>86</v>
      </c>
      <c r="C192">
        <v>9.1300000000000008</v>
      </c>
      <c r="D192" s="1">
        <v>2137242</v>
      </c>
      <c r="E192" s="4">
        <v>2463186.6138296025</v>
      </c>
      <c r="F192" s="4">
        <v>517792.66249172483</v>
      </c>
    </row>
    <row r="193" spans="1:6" x14ac:dyDescent="0.25">
      <c r="A193" t="s">
        <v>58</v>
      </c>
      <c r="B193" t="s">
        <v>86</v>
      </c>
      <c r="C193">
        <v>9.61</v>
      </c>
      <c r="D193" s="1">
        <v>2226463</v>
      </c>
      <c r="E193" s="4">
        <v>2235025.3841488808</v>
      </c>
      <c r="F193" s="4">
        <v>321051.18066571769</v>
      </c>
    </row>
    <row r="194" spans="1:6" x14ac:dyDescent="0.25">
      <c r="A194" t="s">
        <v>59</v>
      </c>
      <c r="B194" t="s">
        <v>86</v>
      </c>
      <c r="C194">
        <v>15.39</v>
      </c>
      <c r="D194" s="1">
        <v>3488587</v>
      </c>
      <c r="E194" s="4">
        <v>2229031.7152446639</v>
      </c>
      <c r="F194" s="4">
        <v>320947.60789524612</v>
      </c>
    </row>
    <row r="195" spans="1:6" x14ac:dyDescent="0.25">
      <c r="A195" t="s">
        <v>60</v>
      </c>
      <c r="B195" t="s">
        <v>86</v>
      </c>
      <c r="C195">
        <v>45.09</v>
      </c>
      <c r="D195" s="1">
        <v>6603554</v>
      </c>
      <c r="E195" s="4">
        <v>3110720.4145733989</v>
      </c>
      <c r="F195" s="4">
        <v>751175.2394441521</v>
      </c>
    </row>
    <row r="196" spans="1:6" x14ac:dyDescent="0.25">
      <c r="A196" t="s">
        <v>61</v>
      </c>
      <c r="B196" t="s">
        <v>86</v>
      </c>
      <c r="C196">
        <v>47.26</v>
      </c>
      <c r="D196" s="1">
        <v>6640181</v>
      </c>
      <c r="E196" s="4">
        <v>5555703.9243720192</v>
      </c>
      <c r="F196" s="4">
        <v>2143707.0139722493</v>
      </c>
    </row>
    <row r="197" spans="1:6" x14ac:dyDescent="0.25">
      <c r="A197" t="s">
        <v>62</v>
      </c>
      <c r="B197" t="s">
        <v>86</v>
      </c>
      <c r="C197">
        <v>18.54</v>
      </c>
      <c r="D197" s="1">
        <v>3866618</v>
      </c>
      <c r="E197" s="4">
        <v>6314837.877311605</v>
      </c>
      <c r="F197" s="4">
        <v>2233267.8969320389</v>
      </c>
    </row>
    <row r="198" spans="1:6" x14ac:dyDescent="0.25">
      <c r="A198" t="s">
        <v>63</v>
      </c>
      <c r="B198" t="s">
        <v>86</v>
      </c>
      <c r="C198">
        <v>12.03</v>
      </c>
      <c r="D198" s="1">
        <v>2642101</v>
      </c>
      <c r="E198" s="4">
        <v>4601083.9631934809</v>
      </c>
      <c r="F198" s="4">
        <v>2540981.2770338883</v>
      </c>
    </row>
    <row r="199" spans="1:6" x14ac:dyDescent="0.25">
      <c r="A199" t="s">
        <v>64</v>
      </c>
      <c r="B199" t="s">
        <v>86</v>
      </c>
      <c r="C199">
        <v>12.25</v>
      </c>
      <c r="D199" s="1">
        <v>2576098</v>
      </c>
      <c r="E199" s="4">
        <v>3229795.8889580444</v>
      </c>
      <c r="F199" s="4">
        <v>1915505.6203962248</v>
      </c>
    </row>
    <row r="200" spans="1:6" x14ac:dyDescent="0.25">
      <c r="A200" t="s">
        <v>65</v>
      </c>
      <c r="B200" t="s">
        <v>86</v>
      </c>
      <c r="C200">
        <v>11.1</v>
      </c>
      <c r="D200" s="1">
        <v>2651306</v>
      </c>
      <c r="E200" s="4">
        <v>2772207.3666874133</v>
      </c>
      <c r="F200" s="4">
        <v>1849208.4565902031</v>
      </c>
    </row>
    <row r="201" spans="1:6" x14ac:dyDescent="0.25">
      <c r="A201" t="s">
        <v>66</v>
      </c>
      <c r="B201" t="s">
        <v>86</v>
      </c>
      <c r="C201">
        <v>9.66</v>
      </c>
      <c r="D201" s="1">
        <v>2185000</v>
      </c>
      <c r="E201" s="4">
        <v>2687576.4100062242</v>
      </c>
      <c r="F201" s="4">
        <v>1194369.0552724756</v>
      </c>
    </row>
    <row r="202" spans="1:6" x14ac:dyDescent="0.25">
      <c r="A202" t="s">
        <v>67</v>
      </c>
      <c r="B202" t="s">
        <v>86</v>
      </c>
      <c r="C202">
        <v>9.23</v>
      </c>
      <c r="D202" s="1">
        <v>2114650</v>
      </c>
      <c r="E202" s="4">
        <v>2335772.9230018673</v>
      </c>
      <c r="F202" s="4">
        <v>481151.78422539128</v>
      </c>
    </row>
    <row r="203" spans="1:6" x14ac:dyDescent="0.25">
      <c r="A203" t="s">
        <v>68</v>
      </c>
      <c r="B203" t="s">
        <v>86</v>
      </c>
      <c r="C203">
        <v>11.85</v>
      </c>
      <c r="D203" s="1">
        <v>2541080</v>
      </c>
      <c r="E203" s="4">
        <v>2180986.8769005602</v>
      </c>
      <c r="F203" s="4">
        <v>324600.02846504212</v>
      </c>
    </row>
    <row r="204" spans="1:6" x14ac:dyDescent="0.25">
      <c r="A204" t="s">
        <v>69</v>
      </c>
      <c r="B204" t="s">
        <v>86</v>
      </c>
      <c r="C204">
        <v>9.67</v>
      </c>
      <c r="D204" s="1">
        <v>2419383</v>
      </c>
      <c r="E204" s="4">
        <v>2433052.0630701678</v>
      </c>
      <c r="F204" s="4">
        <v>379097.81159798428</v>
      </c>
    </row>
    <row r="205" spans="1:6" x14ac:dyDescent="0.25">
      <c r="A205" t="s">
        <v>70</v>
      </c>
      <c r="B205" t="s">
        <v>86</v>
      </c>
      <c r="C205">
        <v>11.2</v>
      </c>
      <c r="D205" s="1">
        <v>2532307</v>
      </c>
      <c r="E205" s="4">
        <v>2423483.7189210504</v>
      </c>
      <c r="F205" s="4">
        <v>244096.46157862418</v>
      </c>
    </row>
    <row r="206" spans="1:6" x14ac:dyDescent="0.25">
      <c r="A206" t="s">
        <v>71</v>
      </c>
      <c r="B206" t="s">
        <v>86</v>
      </c>
      <c r="C206">
        <v>14.1</v>
      </c>
      <c r="D206" s="1">
        <v>3201623</v>
      </c>
      <c r="E206" s="4">
        <v>2499660.0156763149</v>
      </c>
      <c r="F206" s="4">
        <v>217329.55550922549</v>
      </c>
    </row>
    <row r="207" spans="1:6" x14ac:dyDescent="0.25">
      <c r="A207" t="s">
        <v>72</v>
      </c>
      <c r="B207" t="s">
        <v>86</v>
      </c>
      <c r="C207">
        <v>10.02</v>
      </c>
      <c r="D207" s="1">
        <v>2183875</v>
      </c>
      <c r="E207" s="4">
        <v>2991034.1047028941</v>
      </c>
      <c r="F207" s="4">
        <v>410195.63671928481</v>
      </c>
    </row>
    <row r="208" spans="1:6" x14ac:dyDescent="0.25">
      <c r="A208" t="s">
        <v>73</v>
      </c>
      <c r="B208" t="s">
        <v>86</v>
      </c>
      <c r="C208">
        <v>13.41</v>
      </c>
      <c r="D208" s="1">
        <v>3250645</v>
      </c>
      <c r="E208" s="4">
        <v>2426022.7314108685</v>
      </c>
      <c r="F208" s="4">
        <v>620779.17656500568</v>
      </c>
    </row>
    <row r="209" spans="1:6" x14ac:dyDescent="0.25">
      <c r="A209" t="s">
        <v>74</v>
      </c>
      <c r="B209" t="s">
        <v>86</v>
      </c>
      <c r="C209">
        <v>10.14</v>
      </c>
      <c r="D209" s="1">
        <v>2269434</v>
      </c>
      <c r="E209" s="4">
        <v>3003258.3194232606</v>
      </c>
      <c r="F209" s="4">
        <v>779799.0633315905</v>
      </c>
    </row>
    <row r="210" spans="1:6" x14ac:dyDescent="0.25">
      <c r="A210" t="s">
        <v>75</v>
      </c>
      <c r="B210" t="s">
        <v>86</v>
      </c>
      <c r="C210">
        <v>12.38</v>
      </c>
      <c r="D210" s="1">
        <v>2771499</v>
      </c>
      <c r="E210" s="4">
        <v>2489581.2958269781</v>
      </c>
      <c r="F210" s="4">
        <v>789515.85120985692</v>
      </c>
    </row>
    <row r="211" spans="1:6" x14ac:dyDescent="0.25">
      <c r="A211" t="s">
        <v>76</v>
      </c>
      <c r="B211" t="s">
        <v>86</v>
      </c>
      <c r="C211">
        <v>12.76</v>
      </c>
      <c r="D211" s="1">
        <v>2698808</v>
      </c>
      <c r="E211" s="4">
        <v>2686923.6887480933</v>
      </c>
      <c r="F211" s="4">
        <v>657768.35070215131</v>
      </c>
    </row>
    <row r="212" spans="1:6" x14ac:dyDescent="0.25">
      <c r="A212" t="s">
        <v>77</v>
      </c>
      <c r="B212" t="s">
        <v>86</v>
      </c>
      <c r="C212">
        <v>9.01</v>
      </c>
      <c r="D212" s="1">
        <v>2139311</v>
      </c>
      <c r="E212" s="4">
        <v>2695242.7066244278</v>
      </c>
      <c r="F212" s="4">
        <v>453915.17583396257</v>
      </c>
    </row>
    <row r="213" spans="1:6" x14ac:dyDescent="0.25">
      <c r="A213" t="s">
        <v>78</v>
      </c>
      <c r="B213" t="s">
        <v>86</v>
      </c>
      <c r="C213">
        <v>13.72</v>
      </c>
      <c r="D213" s="1">
        <v>3007829</v>
      </c>
      <c r="E213" s="4">
        <v>2306090.5119873285</v>
      </c>
      <c r="F213" s="4">
        <v>359943.92674900003</v>
      </c>
    </row>
    <row r="214" spans="1:6" x14ac:dyDescent="0.25">
      <c r="A214" t="s">
        <v>79</v>
      </c>
      <c r="B214" t="s">
        <v>86</v>
      </c>
      <c r="C214">
        <v>13.95</v>
      </c>
      <c r="D214" s="1">
        <v>3017499</v>
      </c>
      <c r="E214" s="4">
        <v>2797307.4535961985</v>
      </c>
      <c r="F214" s="4">
        <v>516926.23743386293</v>
      </c>
    </row>
    <row r="215" spans="1:6" x14ac:dyDescent="0.25">
      <c r="A215" t="s">
        <v>80</v>
      </c>
      <c r="B215" t="s">
        <v>86</v>
      </c>
      <c r="C215">
        <v>14.91</v>
      </c>
      <c r="D215" s="1">
        <v>3135463</v>
      </c>
      <c r="E215" s="4">
        <v>2951441.5360788591</v>
      </c>
      <c r="F215" s="4">
        <v>532284.78752648842</v>
      </c>
    </row>
    <row r="216" spans="1:6" x14ac:dyDescent="0.25">
      <c r="A216" t="s">
        <v>81</v>
      </c>
      <c r="B216" t="s">
        <v>86</v>
      </c>
      <c r="C216">
        <v>12.82</v>
      </c>
      <c r="D216" s="1">
        <v>2901728</v>
      </c>
      <c r="E216" s="4">
        <v>3080256.5608236575</v>
      </c>
      <c r="F216" s="4">
        <v>437715.70752779994</v>
      </c>
    </row>
    <row r="217" spans="1:6" x14ac:dyDescent="0.25">
      <c r="A217" t="s">
        <v>82</v>
      </c>
      <c r="B217" t="s">
        <v>86</v>
      </c>
      <c r="C217">
        <v>13.45</v>
      </c>
      <c r="D217" s="1">
        <v>2922943</v>
      </c>
      <c r="E217" s="4">
        <v>2955286.5682470971</v>
      </c>
      <c r="F217" s="4">
        <v>195124.45884711944</v>
      </c>
    </row>
    <row r="218" spans="1:6" x14ac:dyDescent="0.25">
      <c r="A218" t="s">
        <v>83</v>
      </c>
      <c r="B218" t="s">
        <v>86</v>
      </c>
      <c r="C218">
        <v>13.95</v>
      </c>
      <c r="D218" s="1">
        <v>2944804</v>
      </c>
      <c r="E218" s="4">
        <v>2932646.0704741292</v>
      </c>
      <c r="F218" s="4">
        <v>149200.59497245174</v>
      </c>
    </row>
    <row r="219" spans="1:6" x14ac:dyDescent="0.25">
      <c r="A219" t="s">
        <v>84</v>
      </c>
      <c r="B219" t="s">
        <v>86</v>
      </c>
      <c r="C219">
        <v>20.55</v>
      </c>
      <c r="D219" s="1">
        <v>4325060</v>
      </c>
      <c r="E219" s="4">
        <v>2941156.6211422384</v>
      </c>
      <c r="F219" s="4">
        <v>104986.29860935356</v>
      </c>
    </row>
    <row r="220" spans="1:6" x14ac:dyDescent="0.25">
      <c r="A220" t="s">
        <v>7</v>
      </c>
      <c r="B220" t="s">
        <v>87</v>
      </c>
      <c r="C220">
        <v>0.91</v>
      </c>
      <c r="D220" s="1">
        <v>54988</v>
      </c>
      <c r="E220" s="4">
        <v>3909888.9863426713</v>
      </c>
      <c r="F220" s="4">
        <v>799245.99543804198</v>
      </c>
    </row>
    <row r="221" spans="1:6" x14ac:dyDescent="0.25">
      <c r="A221" t="s">
        <v>10</v>
      </c>
      <c r="B221" t="s">
        <v>87</v>
      </c>
      <c r="C221">
        <v>5.26</v>
      </c>
      <c r="D221" s="1">
        <v>327865</v>
      </c>
      <c r="E221" s="4">
        <v>1211458.2959028014</v>
      </c>
      <c r="F221" s="4">
        <v>2364712.6669548377</v>
      </c>
    </row>
    <row r="222" spans="1:6" x14ac:dyDescent="0.25">
      <c r="A222" t="s">
        <v>11</v>
      </c>
      <c r="B222" t="s">
        <v>87</v>
      </c>
      <c r="C222">
        <v>0.97</v>
      </c>
      <c r="D222" s="1">
        <v>64642</v>
      </c>
      <c r="E222" s="4">
        <v>592942.98877084034</v>
      </c>
      <c r="F222" s="4">
        <v>2419103.6417844254</v>
      </c>
    </row>
    <row r="223" spans="1:6" x14ac:dyDescent="0.25">
      <c r="A223" t="s">
        <v>12</v>
      </c>
      <c r="B223" t="s">
        <v>87</v>
      </c>
      <c r="C223">
        <v>2.89</v>
      </c>
      <c r="D223" s="1">
        <v>179068</v>
      </c>
      <c r="E223" s="4">
        <v>223132.2966312521</v>
      </c>
      <c r="F223" s="4">
        <v>2303627.6219480676</v>
      </c>
    </row>
    <row r="224" spans="1:6" x14ac:dyDescent="0.25">
      <c r="A224" t="s">
        <v>13</v>
      </c>
      <c r="B224" t="s">
        <v>87</v>
      </c>
      <c r="C224">
        <v>4.29</v>
      </c>
      <c r="D224" s="1">
        <v>271906</v>
      </c>
      <c r="E224" s="4">
        <v>192287.28898937564</v>
      </c>
      <c r="F224" s="4">
        <v>594917.55998575978</v>
      </c>
    </row>
    <row r="225" spans="1:6" x14ac:dyDescent="0.25">
      <c r="A225" t="s">
        <v>14</v>
      </c>
      <c r="B225" t="s">
        <v>87</v>
      </c>
      <c r="C225">
        <v>1.18</v>
      </c>
      <c r="D225" s="1">
        <v>76206</v>
      </c>
      <c r="E225" s="4">
        <v>248020.38669681267</v>
      </c>
      <c r="F225" s="4">
        <v>309506.45449211984</v>
      </c>
    </row>
    <row r="226" spans="1:6" x14ac:dyDescent="0.25">
      <c r="A226" t="s">
        <v>15</v>
      </c>
      <c r="B226" t="s">
        <v>87</v>
      </c>
      <c r="C226">
        <v>3.59</v>
      </c>
      <c r="D226" s="1">
        <v>248352</v>
      </c>
      <c r="E226" s="4">
        <v>127750.31600904379</v>
      </c>
      <c r="F226" s="4">
        <v>112251.18389368577</v>
      </c>
    </row>
    <row r="227" spans="1:6" x14ac:dyDescent="0.25">
      <c r="A227" t="s">
        <v>16</v>
      </c>
      <c r="B227" t="s">
        <v>87</v>
      </c>
      <c r="C227">
        <v>1.71</v>
      </c>
      <c r="D227" s="1">
        <v>107127</v>
      </c>
      <c r="E227" s="4">
        <v>212171.49480271313</v>
      </c>
      <c r="F227" s="4">
        <v>129620.07149158351</v>
      </c>
    </row>
    <row r="228" spans="1:6" x14ac:dyDescent="0.25">
      <c r="A228" t="s">
        <v>17</v>
      </c>
      <c r="B228" t="s">
        <v>87</v>
      </c>
      <c r="C228">
        <v>8.51</v>
      </c>
      <c r="D228" s="1">
        <v>605389</v>
      </c>
      <c r="E228" s="4">
        <v>138640.34844081395</v>
      </c>
      <c r="F228" s="4">
        <v>135522.80932966422</v>
      </c>
    </row>
    <row r="229" spans="1:6" x14ac:dyDescent="0.25">
      <c r="A229" t="s">
        <v>18</v>
      </c>
      <c r="B229" t="s">
        <v>87</v>
      </c>
      <c r="C229">
        <v>3.33</v>
      </c>
      <c r="D229" s="1">
        <v>276350</v>
      </c>
      <c r="E229" s="4">
        <v>465364.4045322442</v>
      </c>
      <c r="F229" s="4">
        <v>284858.68765765842</v>
      </c>
    </row>
    <row r="230" spans="1:6" x14ac:dyDescent="0.25">
      <c r="A230" t="s">
        <v>19</v>
      </c>
      <c r="B230" t="s">
        <v>87</v>
      </c>
      <c r="C230">
        <v>3.09</v>
      </c>
      <c r="D230" s="1">
        <v>234452</v>
      </c>
      <c r="E230" s="4">
        <v>333054.32135967328</v>
      </c>
      <c r="F230" s="4">
        <v>296993.31908386678</v>
      </c>
    </row>
    <row r="231" spans="1:6" x14ac:dyDescent="0.25">
      <c r="A231" t="s">
        <v>20</v>
      </c>
      <c r="B231" t="s">
        <v>87</v>
      </c>
      <c r="C231">
        <v>3.71</v>
      </c>
      <c r="D231" s="1">
        <v>231531</v>
      </c>
      <c r="E231" s="4">
        <v>264032.696407902</v>
      </c>
      <c r="F231" s="4">
        <v>296256.1766616372</v>
      </c>
    </row>
    <row r="232" spans="1:6" x14ac:dyDescent="0.25">
      <c r="A232" t="s">
        <v>21</v>
      </c>
      <c r="B232" t="s">
        <v>87</v>
      </c>
      <c r="C232">
        <v>3.29</v>
      </c>
      <c r="D232" s="1">
        <v>209905</v>
      </c>
      <c r="E232" s="4">
        <v>241281.50892237056</v>
      </c>
      <c r="F232" s="4">
        <v>124505.98803215125</v>
      </c>
    </row>
    <row r="233" spans="1:6" x14ac:dyDescent="0.25">
      <c r="A233" t="s">
        <v>22</v>
      </c>
      <c r="B233" t="s">
        <v>87</v>
      </c>
      <c r="C233">
        <v>1.75</v>
      </c>
      <c r="D233" s="1">
        <v>131942</v>
      </c>
      <c r="E233" s="4">
        <v>219317.95267671117</v>
      </c>
      <c r="F233" s="4">
        <v>62618.589782543306</v>
      </c>
    </row>
    <row r="234" spans="1:6" x14ac:dyDescent="0.25">
      <c r="A234" t="s">
        <v>23</v>
      </c>
      <c r="B234" t="s">
        <v>87</v>
      </c>
      <c r="C234">
        <v>2.83</v>
      </c>
      <c r="D234" s="1">
        <v>208593</v>
      </c>
      <c r="E234" s="4">
        <v>158154.78580301334</v>
      </c>
      <c r="F234" s="4">
        <v>56790.26526823618</v>
      </c>
    </row>
    <row r="235" spans="1:6" x14ac:dyDescent="0.25">
      <c r="A235" t="s">
        <v>24</v>
      </c>
      <c r="B235" t="s">
        <v>87</v>
      </c>
      <c r="C235">
        <v>4.17</v>
      </c>
      <c r="D235" s="1">
        <v>271655</v>
      </c>
      <c r="E235" s="4">
        <v>193461.53574090399</v>
      </c>
      <c r="F235" s="4">
        <v>61000.152649261392</v>
      </c>
    </row>
    <row r="236" spans="1:6" x14ac:dyDescent="0.25">
      <c r="A236" t="s">
        <v>25</v>
      </c>
      <c r="B236" t="s">
        <v>87</v>
      </c>
      <c r="C236">
        <v>3.86</v>
      </c>
      <c r="D236" s="1">
        <v>251945</v>
      </c>
      <c r="E236" s="4">
        <v>248196.96072227118</v>
      </c>
      <c r="F236" s="4">
        <v>73694.840186593123</v>
      </c>
    </row>
    <row r="237" spans="1:6" x14ac:dyDescent="0.25">
      <c r="A237" t="s">
        <v>26</v>
      </c>
      <c r="B237" t="s">
        <v>87</v>
      </c>
      <c r="C237">
        <v>1.03</v>
      </c>
      <c r="D237" s="1">
        <v>68971</v>
      </c>
      <c r="E237" s="4">
        <v>250820.58821668135</v>
      </c>
      <c r="F237" s="4">
        <v>53765.785597183865</v>
      </c>
    </row>
    <row r="238" spans="1:6" x14ac:dyDescent="0.25">
      <c r="A238" t="s">
        <v>27</v>
      </c>
      <c r="B238" t="s">
        <v>87</v>
      </c>
      <c r="C238">
        <v>0.64</v>
      </c>
      <c r="D238" s="1">
        <v>47141</v>
      </c>
      <c r="E238" s="4">
        <v>123525.8764650044</v>
      </c>
      <c r="F238" s="4">
        <v>114305.93216720717</v>
      </c>
    </row>
    <row r="239" spans="1:6" x14ac:dyDescent="0.25">
      <c r="A239" t="s">
        <v>28</v>
      </c>
      <c r="B239" t="s">
        <v>87</v>
      </c>
      <c r="C239">
        <v>3.25</v>
      </c>
      <c r="D239" s="1">
        <v>212205</v>
      </c>
      <c r="E239" s="4">
        <v>70056.462939501318</v>
      </c>
      <c r="F239" s="4">
        <v>113897.57077535054</v>
      </c>
    </row>
    <row r="240" spans="1:6" x14ac:dyDescent="0.25">
      <c r="A240" t="s">
        <v>29</v>
      </c>
      <c r="B240" t="s">
        <v>87</v>
      </c>
      <c r="C240">
        <v>4.45</v>
      </c>
      <c r="D240" s="1">
        <v>289622</v>
      </c>
      <c r="E240" s="4">
        <v>169560.43888185039</v>
      </c>
      <c r="F240" s="4">
        <v>140368.71526517882</v>
      </c>
    </row>
    <row r="241" spans="1:6" x14ac:dyDescent="0.25">
      <c r="A241" t="s">
        <v>30</v>
      </c>
      <c r="B241" t="s">
        <v>87</v>
      </c>
      <c r="C241">
        <v>2.21</v>
      </c>
      <c r="D241" s="1">
        <v>153430</v>
      </c>
      <c r="E241" s="4">
        <v>253603.53166455511</v>
      </c>
      <c r="F241" s="4">
        <v>116125.84323216074</v>
      </c>
    </row>
    <row r="242" spans="1:6" x14ac:dyDescent="0.25">
      <c r="A242" t="s">
        <v>31</v>
      </c>
      <c r="B242" t="s">
        <v>87</v>
      </c>
      <c r="C242">
        <v>3.01</v>
      </c>
      <c r="D242" s="1">
        <v>215271</v>
      </c>
      <c r="E242" s="4">
        <v>183482.05949936653</v>
      </c>
      <c r="F242" s="4">
        <v>122005.08390051726</v>
      </c>
    </row>
    <row r="243" spans="1:6" x14ac:dyDescent="0.25">
      <c r="A243" t="s">
        <v>32</v>
      </c>
      <c r="B243" t="s">
        <v>87</v>
      </c>
      <c r="C243">
        <v>1.5</v>
      </c>
      <c r="D243" s="1">
        <v>99577</v>
      </c>
      <c r="E243" s="4">
        <v>205734.31784980994</v>
      </c>
      <c r="F243" s="4">
        <v>92123.199471196567</v>
      </c>
    </row>
    <row r="244" spans="1:6" x14ac:dyDescent="0.25">
      <c r="A244" t="s">
        <v>33</v>
      </c>
      <c r="B244" t="s">
        <v>87</v>
      </c>
      <c r="C244">
        <v>5.64</v>
      </c>
      <c r="D244" s="1">
        <v>360877</v>
      </c>
      <c r="E244" s="4">
        <v>131424.19535494299</v>
      </c>
      <c r="F244" s="4">
        <v>86245.095159798351</v>
      </c>
    </row>
    <row r="245" spans="1:6" x14ac:dyDescent="0.25">
      <c r="A245" t="s">
        <v>34</v>
      </c>
      <c r="B245" t="s">
        <v>87</v>
      </c>
      <c r="C245">
        <v>1.63</v>
      </c>
      <c r="D245" s="1">
        <v>101397</v>
      </c>
      <c r="E245" s="4">
        <v>292041.1586064829</v>
      </c>
      <c r="F245" s="4">
        <v>147115.03710894758</v>
      </c>
    </row>
    <row r="246" spans="1:6" x14ac:dyDescent="0.25">
      <c r="A246" t="s">
        <v>35</v>
      </c>
      <c r="B246" t="s">
        <v>87</v>
      </c>
      <c r="C246">
        <v>2.86</v>
      </c>
      <c r="D246" s="1">
        <v>192163</v>
      </c>
      <c r="E246" s="4">
        <v>158590.24758194486</v>
      </c>
      <c r="F246" s="4">
        <v>182814.25993187921</v>
      </c>
    </row>
    <row r="247" spans="1:6" x14ac:dyDescent="0.25">
      <c r="A247" t="s">
        <v>36</v>
      </c>
      <c r="B247" t="s">
        <v>87</v>
      </c>
      <c r="C247">
        <v>2.09</v>
      </c>
      <c r="D247" s="1">
        <v>128798</v>
      </c>
      <c r="E247" s="4">
        <v>182091.17427458346</v>
      </c>
      <c r="F247" s="4">
        <v>173321.3917122182</v>
      </c>
    </row>
    <row r="248" spans="1:6" x14ac:dyDescent="0.25">
      <c r="A248" t="s">
        <v>37</v>
      </c>
      <c r="B248" t="s">
        <v>87</v>
      </c>
      <c r="C248">
        <v>4.45</v>
      </c>
      <c r="D248" s="1">
        <v>261210</v>
      </c>
      <c r="E248" s="4">
        <v>144785.95228237502</v>
      </c>
      <c r="F248" s="4">
        <v>115920.21299146375</v>
      </c>
    </row>
    <row r="249" spans="1:6" x14ac:dyDescent="0.25">
      <c r="A249" t="s">
        <v>38</v>
      </c>
      <c r="B249" t="s">
        <v>87</v>
      </c>
      <c r="C249">
        <v>1.69</v>
      </c>
      <c r="D249" s="1">
        <v>102548</v>
      </c>
      <c r="E249" s="4">
        <v>226282.78568471249</v>
      </c>
      <c r="F249" s="4">
        <v>76423.929533754839</v>
      </c>
    </row>
    <row r="250" spans="1:6" x14ac:dyDescent="0.25">
      <c r="A250" t="s">
        <v>39</v>
      </c>
      <c r="B250" t="s">
        <v>87</v>
      </c>
      <c r="C250">
        <v>3.05</v>
      </c>
      <c r="D250" s="1">
        <v>195914</v>
      </c>
      <c r="E250" s="4">
        <v>139668.43570541375</v>
      </c>
      <c r="F250" s="4">
        <v>102802.42944544756</v>
      </c>
    </row>
    <row r="251" spans="1:6" x14ac:dyDescent="0.25">
      <c r="A251" t="s">
        <v>40</v>
      </c>
      <c r="B251" t="s">
        <v>87</v>
      </c>
      <c r="C251">
        <v>2.78</v>
      </c>
      <c r="D251" s="1">
        <v>169941</v>
      </c>
      <c r="E251" s="4">
        <v>179040.33071162412</v>
      </c>
      <c r="F251" s="4">
        <v>103325.40761789746</v>
      </c>
    </row>
    <row r="252" spans="1:6" x14ac:dyDescent="0.25">
      <c r="A252" t="s">
        <v>41</v>
      </c>
      <c r="B252" t="s">
        <v>87</v>
      </c>
      <c r="C252">
        <v>23.18</v>
      </c>
      <c r="D252" s="1">
        <v>1413609</v>
      </c>
      <c r="E252" s="4">
        <v>172670.79921348725</v>
      </c>
      <c r="F252" s="4">
        <v>78648.285657640954</v>
      </c>
    </row>
    <row r="253" spans="1:6" x14ac:dyDescent="0.25">
      <c r="A253" t="s">
        <v>42</v>
      </c>
      <c r="B253" t="s">
        <v>87</v>
      </c>
      <c r="C253">
        <v>12.52</v>
      </c>
      <c r="D253" s="1">
        <v>800280</v>
      </c>
      <c r="E253" s="4">
        <v>1041327.5397640461</v>
      </c>
      <c r="F253" s="4">
        <v>717210.79641750222</v>
      </c>
    </row>
    <row r="254" spans="1:6" x14ac:dyDescent="0.25">
      <c r="A254" t="s">
        <v>43</v>
      </c>
      <c r="B254" t="s">
        <v>87</v>
      </c>
      <c r="C254">
        <v>5.38</v>
      </c>
      <c r="D254" s="1">
        <v>342656</v>
      </c>
      <c r="E254" s="4">
        <v>872594.26192921377</v>
      </c>
      <c r="F254" s="4">
        <v>729866.2736915045</v>
      </c>
    </row>
    <row r="255" spans="1:6" x14ac:dyDescent="0.25">
      <c r="A255" t="s">
        <v>44</v>
      </c>
      <c r="B255" t="s">
        <v>87</v>
      </c>
      <c r="C255">
        <v>4.9000000000000004</v>
      </c>
      <c r="D255" s="1">
        <v>293172</v>
      </c>
      <c r="E255" s="4">
        <v>501637.47857876413</v>
      </c>
      <c r="F255" s="4">
        <v>791384.03994818323</v>
      </c>
    </row>
    <row r="256" spans="1:6" x14ac:dyDescent="0.25">
      <c r="A256" t="s">
        <v>45</v>
      </c>
      <c r="B256" t="s">
        <v>87</v>
      </c>
      <c r="C256">
        <v>6.81</v>
      </c>
      <c r="D256" s="1">
        <v>418261</v>
      </c>
      <c r="E256" s="4">
        <v>355711.6435736292</v>
      </c>
      <c r="F256" s="4">
        <v>357023.03083598055</v>
      </c>
    </row>
    <row r="257" spans="1:6" x14ac:dyDescent="0.25">
      <c r="A257" t="s">
        <v>46</v>
      </c>
      <c r="B257" t="s">
        <v>87</v>
      </c>
      <c r="C257">
        <v>6.94</v>
      </c>
      <c r="D257" s="1">
        <v>454473</v>
      </c>
      <c r="E257" s="4">
        <v>399496.1930720887</v>
      </c>
      <c r="F257" s="4">
        <v>330759.14661325305</v>
      </c>
    </row>
    <row r="258" spans="1:6" x14ac:dyDescent="0.25">
      <c r="A258" t="s">
        <v>47</v>
      </c>
      <c r="B258" t="s">
        <v>87</v>
      </c>
      <c r="C258">
        <v>3.17</v>
      </c>
      <c r="D258" s="1">
        <v>215832</v>
      </c>
      <c r="E258" s="4">
        <v>437979.95792162657</v>
      </c>
      <c r="F258" s="4">
        <v>129605.46162413472</v>
      </c>
    </row>
    <row r="259" spans="1:6" x14ac:dyDescent="0.25">
      <c r="A259" t="s">
        <v>48</v>
      </c>
      <c r="B259" t="s">
        <v>87</v>
      </c>
      <c r="C259">
        <v>2.99</v>
      </c>
      <c r="D259" s="1">
        <v>186866</v>
      </c>
      <c r="E259" s="4">
        <v>282476.38737648795</v>
      </c>
      <c r="F259" s="4">
        <v>136972.73025203566</v>
      </c>
    </row>
    <row r="260" spans="1:6" x14ac:dyDescent="0.25">
      <c r="A260" t="s">
        <v>49</v>
      </c>
      <c r="B260" t="s">
        <v>87</v>
      </c>
      <c r="C260">
        <v>9.82</v>
      </c>
      <c r="D260" s="1">
        <v>614636</v>
      </c>
      <c r="E260" s="4">
        <v>215549.11621294636</v>
      </c>
      <c r="F260" s="4">
        <v>143193.93688633107</v>
      </c>
    </row>
    <row r="261" spans="1:6" x14ac:dyDescent="0.25">
      <c r="A261" t="s">
        <v>50</v>
      </c>
      <c r="B261" t="s">
        <v>87</v>
      </c>
      <c r="C261">
        <v>6.76</v>
      </c>
      <c r="D261" s="1">
        <v>446743</v>
      </c>
      <c r="E261" s="4">
        <v>494909.93486388389</v>
      </c>
      <c r="F261" s="4">
        <v>269419.99566593178</v>
      </c>
    </row>
    <row r="262" spans="1:6" x14ac:dyDescent="0.25">
      <c r="A262" t="s">
        <v>51</v>
      </c>
      <c r="B262" t="s">
        <v>87</v>
      </c>
      <c r="C262">
        <v>4.54</v>
      </c>
      <c r="D262" s="1">
        <v>306615</v>
      </c>
      <c r="E262" s="4">
        <v>461193.08045916515</v>
      </c>
      <c r="F262" s="4">
        <v>238559.38505909801</v>
      </c>
    </row>
    <row r="263" spans="1:6" x14ac:dyDescent="0.25">
      <c r="A263" t="s">
        <v>52</v>
      </c>
      <c r="B263" t="s">
        <v>87</v>
      </c>
      <c r="C263">
        <v>4.6399999999999997</v>
      </c>
      <c r="D263" s="1">
        <v>306597</v>
      </c>
      <c r="E263" s="4">
        <v>352988.42413774953</v>
      </c>
      <c r="F263" s="4">
        <v>248652.88883869353</v>
      </c>
    </row>
    <row r="264" spans="1:6" x14ac:dyDescent="0.25">
      <c r="A264" t="s">
        <v>53</v>
      </c>
      <c r="B264" t="s">
        <v>87</v>
      </c>
      <c r="C264">
        <v>8.33</v>
      </c>
      <c r="D264" s="1">
        <v>540682</v>
      </c>
      <c r="E264" s="4">
        <v>320514.42724132485</v>
      </c>
      <c r="F264" s="4">
        <v>97239.56808856214</v>
      </c>
    </row>
    <row r="265" spans="1:6" x14ac:dyDescent="0.25">
      <c r="A265" t="s">
        <v>54</v>
      </c>
      <c r="B265" t="s">
        <v>87</v>
      </c>
      <c r="C265">
        <v>6.96</v>
      </c>
      <c r="D265" s="1">
        <v>490251</v>
      </c>
      <c r="E265" s="4">
        <v>474631.72817239742</v>
      </c>
      <c r="F265" s="4">
        <v>157607.43138825995</v>
      </c>
    </row>
    <row r="266" spans="1:6" x14ac:dyDescent="0.25">
      <c r="A266" t="s">
        <v>55</v>
      </c>
      <c r="B266" t="s">
        <v>87</v>
      </c>
      <c r="C266">
        <v>2.77</v>
      </c>
      <c r="D266" s="1">
        <v>192319</v>
      </c>
      <c r="E266" s="4">
        <v>485565.21845171915</v>
      </c>
      <c r="F266" s="4">
        <v>130217.62039038038</v>
      </c>
    </row>
    <row r="267" spans="1:6" x14ac:dyDescent="0.25">
      <c r="A267" t="s">
        <v>56</v>
      </c>
      <c r="B267" t="s">
        <v>87</v>
      </c>
      <c r="C267">
        <v>6.11</v>
      </c>
      <c r="D267" s="1">
        <v>401390</v>
      </c>
      <c r="E267" s="4">
        <v>280292.86553551571</v>
      </c>
      <c r="F267" s="4">
        <v>211904.90507387539</v>
      </c>
    </row>
    <row r="268" spans="1:6" x14ac:dyDescent="0.25">
      <c r="A268" t="s">
        <v>57</v>
      </c>
      <c r="B268" t="s">
        <v>87</v>
      </c>
      <c r="C268">
        <v>9.89</v>
      </c>
      <c r="D268" s="1">
        <v>616760</v>
      </c>
      <c r="E268" s="4">
        <v>365060.85966065468</v>
      </c>
      <c r="F268" s="4">
        <v>183395.58542866411</v>
      </c>
    </row>
    <row r="269" spans="1:6" x14ac:dyDescent="0.25">
      <c r="A269" t="s">
        <v>58</v>
      </c>
      <c r="B269" t="s">
        <v>87</v>
      </c>
      <c r="C269">
        <v>7.89</v>
      </c>
      <c r="D269" s="1">
        <v>540242</v>
      </c>
      <c r="E269" s="4">
        <v>541250.25789819635</v>
      </c>
      <c r="F269" s="4">
        <v>233816.39367910614</v>
      </c>
    </row>
    <row r="270" spans="1:6" x14ac:dyDescent="0.25">
      <c r="A270" t="s">
        <v>59</v>
      </c>
      <c r="B270" t="s">
        <v>87</v>
      </c>
      <c r="C270">
        <v>7.31</v>
      </c>
      <c r="D270" s="1">
        <v>504010</v>
      </c>
      <c r="E270" s="4">
        <v>540544.47736945888</v>
      </c>
      <c r="F270" s="4">
        <v>161263.74856846998</v>
      </c>
    </row>
    <row r="271" spans="1:6" x14ac:dyDescent="0.25">
      <c r="A271" t="s">
        <v>60</v>
      </c>
      <c r="B271" t="s">
        <v>87</v>
      </c>
      <c r="C271">
        <v>0</v>
      </c>
      <c r="D271">
        <v>0</v>
      </c>
      <c r="E271" s="4">
        <v>514970.34321083769</v>
      </c>
      <c r="F271" s="4">
        <v>146842.59358035304</v>
      </c>
    </row>
    <row r="272" spans="1:6" x14ac:dyDescent="0.25">
      <c r="A272" t="s">
        <v>61</v>
      </c>
      <c r="B272" t="s">
        <v>87</v>
      </c>
      <c r="C272">
        <v>7.64</v>
      </c>
      <c r="D272" s="1">
        <v>416693</v>
      </c>
      <c r="E272" s="4">
        <v>154491.10296325129</v>
      </c>
      <c r="F272" s="4">
        <v>298066.12186299462</v>
      </c>
    </row>
    <row r="273" spans="1:6" x14ac:dyDescent="0.25">
      <c r="A273" t="s">
        <v>62</v>
      </c>
      <c r="B273" t="s">
        <v>87</v>
      </c>
      <c r="C273">
        <v>10.27</v>
      </c>
      <c r="D273" s="1">
        <v>586186</v>
      </c>
      <c r="E273" s="4">
        <v>338032.43088897539</v>
      </c>
      <c r="F273" s="4">
        <v>334304.77972104895</v>
      </c>
    </row>
    <row r="274" spans="1:6" x14ac:dyDescent="0.25">
      <c r="A274" t="s">
        <v>63</v>
      </c>
      <c r="B274" t="s">
        <v>87</v>
      </c>
      <c r="C274">
        <v>12.37</v>
      </c>
      <c r="D274" s="1">
        <v>797232</v>
      </c>
      <c r="E274" s="4">
        <v>511739.92926669255</v>
      </c>
      <c r="F274" s="4">
        <v>363099.84075040015</v>
      </c>
    </row>
    <row r="275" spans="1:6" x14ac:dyDescent="0.25">
      <c r="A275" t="s">
        <v>64</v>
      </c>
      <c r="B275" t="s">
        <v>87</v>
      </c>
      <c r="C275">
        <v>6.07</v>
      </c>
      <c r="D275" s="1">
        <v>418434</v>
      </c>
      <c r="E275" s="4">
        <v>711584.3787800076</v>
      </c>
      <c r="F275" s="4">
        <v>265729.02935371443</v>
      </c>
    </row>
    <row r="276" spans="1:6" x14ac:dyDescent="0.25">
      <c r="A276" t="s">
        <v>65</v>
      </c>
      <c r="B276" t="s">
        <v>87</v>
      </c>
      <c r="C276">
        <v>0.86</v>
      </c>
      <c r="D276" s="1">
        <v>59177</v>
      </c>
      <c r="E276" s="4">
        <v>506379.11363400228</v>
      </c>
      <c r="F276" s="4">
        <v>276298.78808576887</v>
      </c>
    </row>
    <row r="277" spans="1:6" x14ac:dyDescent="0.25">
      <c r="A277" t="s">
        <v>66</v>
      </c>
      <c r="B277" t="s">
        <v>87</v>
      </c>
      <c r="C277">
        <v>6.11</v>
      </c>
      <c r="D277" s="1">
        <v>387012</v>
      </c>
      <c r="E277" s="4">
        <v>193337.63409020068</v>
      </c>
      <c r="F277" s="4">
        <v>349967.90208492591</v>
      </c>
    </row>
    <row r="278" spans="1:6" x14ac:dyDescent="0.25">
      <c r="A278" t="s">
        <v>67</v>
      </c>
      <c r="B278" t="s">
        <v>87</v>
      </c>
      <c r="C278">
        <v>3.09</v>
      </c>
      <c r="D278" s="1">
        <v>201965</v>
      </c>
      <c r="E278" s="4">
        <v>328909.69022706017</v>
      </c>
      <c r="F278" s="4">
        <v>328347.69936158822</v>
      </c>
    </row>
    <row r="279" spans="1:6" x14ac:dyDescent="0.25">
      <c r="A279" t="s">
        <v>68</v>
      </c>
      <c r="B279" t="s">
        <v>87</v>
      </c>
      <c r="C279">
        <v>7.84</v>
      </c>
      <c r="D279" s="1">
        <v>493313</v>
      </c>
      <c r="E279" s="4">
        <v>240048.40706811805</v>
      </c>
      <c r="F279" s="4">
        <v>290754.44669923006</v>
      </c>
    </row>
    <row r="280" spans="1:6" x14ac:dyDescent="0.25">
      <c r="A280" t="s">
        <v>69</v>
      </c>
      <c r="B280" t="s">
        <v>87</v>
      </c>
      <c r="C280">
        <v>6.76</v>
      </c>
      <c r="D280" s="1">
        <v>441130</v>
      </c>
      <c r="E280" s="4">
        <v>417333.62212043541</v>
      </c>
      <c r="F280" s="4">
        <v>198130.99069416928</v>
      </c>
    </row>
    <row r="281" spans="1:6" x14ac:dyDescent="0.25">
      <c r="A281" t="s">
        <v>70</v>
      </c>
      <c r="B281" t="s">
        <v>87</v>
      </c>
      <c r="C281">
        <v>5.82</v>
      </c>
      <c r="D281" s="1">
        <v>383308</v>
      </c>
      <c r="E281" s="4">
        <v>433991.08663613058</v>
      </c>
      <c r="F281" s="4">
        <v>164138.33191344343</v>
      </c>
    </row>
    <row r="282" spans="1:6" x14ac:dyDescent="0.25">
      <c r="A282" t="s">
        <v>71</v>
      </c>
      <c r="B282" t="s">
        <v>87</v>
      </c>
      <c r="C282">
        <v>2.46</v>
      </c>
      <c r="D282" s="1">
        <v>155515</v>
      </c>
      <c r="E282" s="4">
        <v>398512.92599083914</v>
      </c>
      <c r="F282" s="4">
        <v>149753.12673875899</v>
      </c>
    </row>
    <row r="283" spans="1:6" x14ac:dyDescent="0.25">
      <c r="A283" t="s">
        <v>72</v>
      </c>
      <c r="B283" t="s">
        <v>87</v>
      </c>
      <c r="C283">
        <v>3.42</v>
      </c>
      <c r="D283" s="1">
        <v>241378</v>
      </c>
      <c r="E283" s="4">
        <v>228414.37779725174</v>
      </c>
      <c r="F283" s="4">
        <v>143971.10231686762</v>
      </c>
    </row>
    <row r="284" spans="1:6" x14ac:dyDescent="0.25">
      <c r="A284" t="s">
        <v>73</v>
      </c>
      <c r="B284" t="s">
        <v>87</v>
      </c>
      <c r="C284">
        <v>9.35</v>
      </c>
      <c r="D284" s="1">
        <v>656322</v>
      </c>
      <c r="E284" s="4">
        <v>237488.91333917552</v>
      </c>
      <c r="F284" s="4">
        <v>143509.37577667233</v>
      </c>
    </row>
    <row r="285" spans="1:6" x14ac:dyDescent="0.25">
      <c r="A285" t="s">
        <v>74</v>
      </c>
      <c r="B285" t="s">
        <v>87</v>
      </c>
      <c r="C285">
        <v>2.3199999999999998</v>
      </c>
      <c r="D285" s="1">
        <v>164679</v>
      </c>
      <c r="E285" s="4">
        <v>530672.07400175266</v>
      </c>
      <c r="F285" s="4">
        <v>279664.80056089687</v>
      </c>
    </row>
    <row r="286" spans="1:6" x14ac:dyDescent="0.25">
      <c r="A286" t="s">
        <v>75</v>
      </c>
      <c r="B286" t="s">
        <v>87</v>
      </c>
      <c r="C286">
        <v>3.75</v>
      </c>
      <c r="D286" s="1">
        <v>243692</v>
      </c>
      <c r="E286" s="4">
        <v>274476.92220052576</v>
      </c>
      <c r="F286" s="4">
        <v>321216.51067968766</v>
      </c>
    </row>
    <row r="287" spans="1:6" x14ac:dyDescent="0.25">
      <c r="A287" t="s">
        <v>76</v>
      </c>
      <c r="B287" t="s">
        <v>87</v>
      </c>
      <c r="C287">
        <v>3.91</v>
      </c>
      <c r="D287" s="1">
        <v>255655</v>
      </c>
      <c r="E287" s="4">
        <v>252927.47666015773</v>
      </c>
      <c r="F287" s="4">
        <v>321620.78919848992</v>
      </c>
    </row>
    <row r="288" spans="1:6" x14ac:dyDescent="0.25">
      <c r="A288" t="s">
        <v>77</v>
      </c>
      <c r="B288" t="s">
        <v>87</v>
      </c>
      <c r="C288">
        <v>4.38</v>
      </c>
      <c r="D288" s="1">
        <v>276369</v>
      </c>
      <c r="E288" s="4">
        <v>254836.74299804732</v>
      </c>
      <c r="F288" s="4">
        <v>212058.23181044258</v>
      </c>
    </row>
    <row r="289" spans="1:6" x14ac:dyDescent="0.25">
      <c r="A289" t="s">
        <v>78</v>
      </c>
      <c r="B289" t="s">
        <v>87</v>
      </c>
      <c r="C289">
        <v>3.1</v>
      </c>
      <c r="D289" s="1">
        <v>212248</v>
      </c>
      <c r="E289" s="4">
        <v>269909.32289941417</v>
      </c>
      <c r="F289" s="4">
        <v>21746.945456469268</v>
      </c>
    </row>
    <row r="290" spans="1:6" x14ac:dyDescent="0.25">
      <c r="A290" t="s">
        <v>79</v>
      </c>
      <c r="B290" t="s">
        <v>87</v>
      </c>
      <c r="C290">
        <v>1.84</v>
      </c>
      <c r="D290" s="1">
        <v>135114</v>
      </c>
      <c r="E290" s="4">
        <v>229546.39686982421</v>
      </c>
      <c r="F290" s="4">
        <v>35571.082045570052</v>
      </c>
    </row>
    <row r="291" spans="1:6" x14ac:dyDescent="0.25">
      <c r="A291" t="s">
        <v>80</v>
      </c>
      <c r="B291" t="s">
        <v>87</v>
      </c>
      <c r="C291">
        <v>2.58</v>
      </c>
      <c r="D291" s="1">
        <v>176029</v>
      </c>
      <c r="E291" s="4">
        <v>163443.71906094725</v>
      </c>
      <c r="F291" s="4">
        <v>65079.294783847159</v>
      </c>
    </row>
    <row r="292" spans="1:6" x14ac:dyDescent="0.25">
      <c r="A292" t="s">
        <v>81</v>
      </c>
      <c r="B292" t="s">
        <v>87</v>
      </c>
      <c r="C292">
        <v>2.84</v>
      </c>
      <c r="D292" s="1">
        <v>173405</v>
      </c>
      <c r="E292" s="4">
        <v>172253.41571828414</v>
      </c>
      <c r="F292" s="4">
        <v>64292.806838207995</v>
      </c>
    </row>
    <row r="293" spans="1:6" x14ac:dyDescent="0.25">
      <c r="A293" t="s">
        <v>82</v>
      </c>
      <c r="B293" t="s">
        <v>87</v>
      </c>
      <c r="C293">
        <v>1.73</v>
      </c>
      <c r="D293" s="1">
        <v>114793</v>
      </c>
      <c r="E293" s="4">
        <v>173059.52471548523</v>
      </c>
      <c r="F293" s="4">
        <v>55006.64511751516</v>
      </c>
    </row>
    <row r="294" spans="1:6" x14ac:dyDescent="0.25">
      <c r="A294" t="s">
        <v>83</v>
      </c>
      <c r="B294" t="s">
        <v>87</v>
      </c>
      <c r="C294">
        <v>0.33</v>
      </c>
      <c r="D294" s="1">
        <v>22740</v>
      </c>
      <c r="E294" s="4">
        <v>132272.95741464556</v>
      </c>
      <c r="F294" s="4">
        <v>34422.39263954512</v>
      </c>
    </row>
    <row r="295" spans="1:6" x14ac:dyDescent="0.25">
      <c r="A295" t="s">
        <v>84</v>
      </c>
      <c r="B295" t="s">
        <v>87</v>
      </c>
      <c r="C295">
        <v>0.73</v>
      </c>
      <c r="D295" s="1">
        <v>50022</v>
      </c>
      <c r="E295" s="4">
        <v>55599.887224393664</v>
      </c>
      <c r="F295" s="4">
        <v>71632.820245044801</v>
      </c>
    </row>
    <row r="296" spans="1:6" x14ac:dyDescent="0.25">
      <c r="A296" t="s">
        <v>7</v>
      </c>
      <c r="B296" t="s">
        <v>88</v>
      </c>
      <c r="C296">
        <v>11.18</v>
      </c>
      <c r="D296" s="1">
        <v>16136</v>
      </c>
      <c r="E296" s="4">
        <v>51695.36616731809</v>
      </c>
      <c r="F296" s="4">
        <v>71702.090830293222</v>
      </c>
    </row>
    <row r="297" spans="1:6" x14ac:dyDescent="0.25">
      <c r="A297" t="s">
        <v>10</v>
      </c>
      <c r="B297" t="s">
        <v>88</v>
      </c>
      <c r="C297">
        <v>11.11</v>
      </c>
      <c r="D297" s="1">
        <v>15515</v>
      </c>
      <c r="E297" s="4">
        <v>26803.809850195423</v>
      </c>
      <c r="F297" s="4">
        <v>66565.88242262452</v>
      </c>
    </row>
    <row r="298" spans="1:6" x14ac:dyDescent="0.25">
      <c r="A298" t="s">
        <v>11</v>
      </c>
      <c r="B298" t="s">
        <v>88</v>
      </c>
      <c r="C298">
        <v>27.27</v>
      </c>
      <c r="D298" s="1">
        <v>39319</v>
      </c>
      <c r="E298" s="4">
        <v>18901.642955058625</v>
      </c>
      <c r="F298" s="4">
        <v>21779.337118343232</v>
      </c>
    </row>
    <row r="299" spans="1:6" x14ac:dyDescent="0.25">
      <c r="A299" t="s">
        <v>12</v>
      </c>
      <c r="B299" t="s">
        <v>88</v>
      </c>
      <c r="C299">
        <v>23.76</v>
      </c>
      <c r="D299" s="1">
        <v>36231</v>
      </c>
      <c r="E299" s="4">
        <v>33193.792886517585</v>
      </c>
      <c r="F299" s="4">
        <v>24554.525847291323</v>
      </c>
    </row>
    <row r="300" spans="1:6" x14ac:dyDescent="0.25">
      <c r="A300" t="s">
        <v>13</v>
      </c>
      <c r="B300" t="s">
        <v>88</v>
      </c>
      <c r="C300">
        <v>11.72</v>
      </c>
      <c r="D300" s="1">
        <v>16655</v>
      </c>
      <c r="E300" s="4">
        <v>35319.837865955269</v>
      </c>
      <c r="F300" s="4">
        <v>13583.449777635953</v>
      </c>
    </row>
    <row r="301" spans="1:6" x14ac:dyDescent="0.25">
      <c r="A301" t="s">
        <v>14</v>
      </c>
      <c r="B301" t="s">
        <v>88</v>
      </c>
      <c r="C301">
        <v>7.23</v>
      </c>
      <c r="D301" s="1">
        <v>10368</v>
      </c>
      <c r="E301" s="4">
        <v>22254.451359786581</v>
      </c>
      <c r="F301" s="4">
        <v>16067.246894569951</v>
      </c>
    </row>
    <row r="302" spans="1:6" x14ac:dyDescent="0.25">
      <c r="A302" t="s">
        <v>15</v>
      </c>
      <c r="B302" t="s">
        <v>88</v>
      </c>
      <c r="C302">
        <v>19.41</v>
      </c>
      <c r="D302" s="1">
        <v>28709</v>
      </c>
      <c r="E302" s="4">
        <v>13933.935407935973</v>
      </c>
      <c r="F302" s="4">
        <v>12895.587430605325</v>
      </c>
    </row>
    <row r="303" spans="1:6" x14ac:dyDescent="0.25">
      <c r="A303" t="s">
        <v>16</v>
      </c>
      <c r="B303" t="s">
        <v>88</v>
      </c>
      <c r="C303">
        <v>21.11</v>
      </c>
      <c r="D303" s="1">
        <v>28797</v>
      </c>
      <c r="E303" s="4">
        <v>24276.48062238079</v>
      </c>
      <c r="F303" s="4">
        <v>15361.927311708363</v>
      </c>
    </row>
    <row r="304" spans="1:6" x14ac:dyDescent="0.25">
      <c r="A304" t="s">
        <v>17</v>
      </c>
      <c r="B304" t="s">
        <v>88</v>
      </c>
      <c r="C304">
        <v>14.17</v>
      </c>
      <c r="D304" s="1">
        <v>18583</v>
      </c>
      <c r="E304" s="4">
        <v>27440.844186714236</v>
      </c>
      <c r="F304" s="4">
        <v>11255.004147365846</v>
      </c>
    </row>
    <row r="305" spans="1:6" x14ac:dyDescent="0.25">
      <c r="A305" t="s">
        <v>18</v>
      </c>
      <c r="B305" t="s">
        <v>88</v>
      </c>
      <c r="C305">
        <v>10.199999999999999</v>
      </c>
      <c r="D305" s="1">
        <v>14589</v>
      </c>
      <c r="E305" s="4">
        <v>21240.35325601427</v>
      </c>
      <c r="F305" s="4">
        <v>10282.65583039716</v>
      </c>
    </row>
    <row r="306" spans="1:6" x14ac:dyDescent="0.25">
      <c r="A306" t="s">
        <v>19</v>
      </c>
      <c r="B306" t="s">
        <v>88</v>
      </c>
      <c r="C306">
        <v>17.989999999999998</v>
      </c>
      <c r="D306" s="1">
        <v>27490</v>
      </c>
      <c r="E306" s="4">
        <v>16584.405976804279</v>
      </c>
      <c r="F306" s="4">
        <v>6907.4114595804404</v>
      </c>
    </row>
    <row r="307" spans="1:6" x14ac:dyDescent="0.25">
      <c r="A307" t="s">
        <v>20</v>
      </c>
      <c r="B307" t="s">
        <v>88</v>
      </c>
      <c r="C307">
        <v>17.53</v>
      </c>
      <c r="D307" s="1">
        <v>24216</v>
      </c>
      <c r="E307" s="4">
        <v>24218.321793041283</v>
      </c>
      <c r="F307" s="4">
        <v>8974.6659133949761</v>
      </c>
    </row>
    <row r="308" spans="1:6" x14ac:dyDescent="0.25">
      <c r="A308" t="s">
        <v>21</v>
      </c>
      <c r="B308" t="s">
        <v>88</v>
      </c>
      <c r="C308">
        <v>6.15</v>
      </c>
      <c r="D308" s="1">
        <v>8721</v>
      </c>
      <c r="E308" s="4">
        <v>24216.696537912387</v>
      </c>
      <c r="F308" s="4">
        <v>7375.0138197786182</v>
      </c>
    </row>
    <row r="309" spans="1:6" x14ac:dyDescent="0.25">
      <c r="A309" t="s">
        <v>22</v>
      </c>
      <c r="B309" t="s">
        <v>88</v>
      </c>
      <c r="C309">
        <v>10.67</v>
      </c>
      <c r="D309" s="1">
        <v>13367</v>
      </c>
      <c r="E309" s="4">
        <v>13369.708961373715</v>
      </c>
      <c r="F309" s="4">
        <v>10939.966447001489</v>
      </c>
    </row>
    <row r="310" spans="1:6" x14ac:dyDescent="0.25">
      <c r="A310" t="s">
        <v>23</v>
      </c>
      <c r="B310" t="s">
        <v>88</v>
      </c>
      <c r="C310">
        <v>2.54</v>
      </c>
      <c r="D310" s="1">
        <v>3777</v>
      </c>
      <c r="E310" s="4">
        <v>13367.812688412114</v>
      </c>
      <c r="F310" s="4">
        <v>8946.4448045814006</v>
      </c>
    </row>
    <row r="311" spans="1:6" x14ac:dyDescent="0.25">
      <c r="A311" t="s">
        <v>24</v>
      </c>
      <c r="B311" t="s">
        <v>88</v>
      </c>
      <c r="C311">
        <v>13.13</v>
      </c>
      <c r="D311" s="1">
        <v>16861</v>
      </c>
      <c r="E311" s="4">
        <v>6654.2438065236338</v>
      </c>
      <c r="F311" s="4">
        <v>10521.411606144688</v>
      </c>
    </row>
    <row r="312" spans="1:6" x14ac:dyDescent="0.25">
      <c r="A312" t="s">
        <v>25</v>
      </c>
      <c r="B312" t="s">
        <v>88</v>
      </c>
      <c r="C312">
        <v>4.51</v>
      </c>
      <c r="D312" s="1">
        <v>6481</v>
      </c>
      <c r="E312" s="4">
        <v>13798.973141957089</v>
      </c>
      <c r="F312" s="4">
        <v>8086.2345451132087</v>
      </c>
    </row>
    <row r="313" spans="1:6" x14ac:dyDescent="0.25">
      <c r="A313" t="s">
        <v>26</v>
      </c>
      <c r="B313" t="s">
        <v>88</v>
      </c>
      <c r="C313">
        <v>5.3</v>
      </c>
      <c r="D313" s="1">
        <v>7099</v>
      </c>
      <c r="E313" s="4">
        <v>8676.3919425871263</v>
      </c>
      <c r="F313" s="4">
        <v>9123.4914903539029</v>
      </c>
    </row>
    <row r="314" spans="1:6" x14ac:dyDescent="0.25">
      <c r="A314" t="s">
        <v>27</v>
      </c>
      <c r="B314" t="s">
        <v>88</v>
      </c>
      <c r="C314">
        <v>4.12</v>
      </c>
      <c r="D314" s="1">
        <v>6046</v>
      </c>
      <c r="E314" s="4">
        <v>7572.2175827761366</v>
      </c>
      <c r="F314" s="4">
        <v>7307.9584071068775</v>
      </c>
    </row>
    <row r="315" spans="1:6" x14ac:dyDescent="0.25">
      <c r="A315" t="s">
        <v>28</v>
      </c>
      <c r="B315" t="s">
        <v>88</v>
      </c>
      <c r="C315">
        <v>15.94</v>
      </c>
      <c r="D315" s="1">
        <v>22006</v>
      </c>
      <c r="E315" s="4">
        <v>6503.8652748328404</v>
      </c>
      <c r="F315" s="4">
        <v>4410.9801011007039</v>
      </c>
    </row>
    <row r="316" spans="1:6" x14ac:dyDescent="0.25">
      <c r="A316" t="s">
        <v>29</v>
      </c>
      <c r="B316" t="s">
        <v>88</v>
      </c>
      <c r="C316">
        <v>3.23</v>
      </c>
      <c r="D316" s="1">
        <v>4931</v>
      </c>
      <c r="E316" s="4">
        <v>17355.359582449852</v>
      </c>
      <c r="F316" s="4">
        <v>9039.4263550984851</v>
      </c>
    </row>
    <row r="317" spans="1:6" x14ac:dyDescent="0.25">
      <c r="A317" t="s">
        <v>30</v>
      </c>
      <c r="B317" t="s">
        <v>88</v>
      </c>
      <c r="C317">
        <v>4.4000000000000004</v>
      </c>
      <c r="D317" s="1">
        <v>6004</v>
      </c>
      <c r="E317" s="4">
        <v>8658.3078747349555</v>
      </c>
      <c r="F317" s="4">
        <v>11503.770862652269</v>
      </c>
    </row>
    <row r="318" spans="1:6" x14ac:dyDescent="0.25">
      <c r="A318" t="s">
        <v>31</v>
      </c>
      <c r="B318" t="s">
        <v>88</v>
      </c>
      <c r="C318">
        <v>3.49</v>
      </c>
      <c r="D318" s="1">
        <v>5640</v>
      </c>
      <c r="E318" s="4">
        <v>6800.2923624204868</v>
      </c>
      <c r="F318" s="4">
        <v>11571.894721913188</v>
      </c>
    </row>
    <row r="319" spans="1:6" x14ac:dyDescent="0.25">
      <c r="A319" t="s">
        <v>32</v>
      </c>
      <c r="B319" t="s">
        <v>88</v>
      </c>
      <c r="C319">
        <v>3.82</v>
      </c>
      <c r="D319" s="1">
        <v>5461</v>
      </c>
      <c r="E319" s="4">
        <v>5988.0877087261451</v>
      </c>
      <c r="F319" s="4">
        <v>7365.6033854257257</v>
      </c>
    </row>
    <row r="320" spans="1:6" x14ac:dyDescent="0.25">
      <c r="A320" t="s">
        <v>33</v>
      </c>
      <c r="B320" t="s">
        <v>88</v>
      </c>
      <c r="C320">
        <v>3.87</v>
      </c>
      <c r="D320" s="1">
        <v>5922</v>
      </c>
      <c r="E320" s="4">
        <v>5619.1263126178437</v>
      </c>
      <c r="F320" s="4">
        <v>1699.9460886413906</v>
      </c>
    </row>
    <row r="321" spans="1:6" x14ac:dyDescent="0.25">
      <c r="A321" t="s">
        <v>34</v>
      </c>
      <c r="B321" t="s">
        <v>88</v>
      </c>
      <c r="C321">
        <v>4.4400000000000004</v>
      </c>
      <c r="D321" s="1">
        <v>6419</v>
      </c>
      <c r="E321" s="4">
        <v>5831.1378937853524</v>
      </c>
      <c r="F321" s="4">
        <v>756.26985692717653</v>
      </c>
    </row>
    <row r="322" spans="1:6" x14ac:dyDescent="0.25">
      <c r="A322" t="s">
        <v>35</v>
      </c>
      <c r="B322" t="s">
        <v>88</v>
      </c>
      <c r="C322">
        <v>4.8899999999999997</v>
      </c>
      <c r="D322" s="1">
        <v>7688</v>
      </c>
      <c r="E322" s="4">
        <v>6242.6413681356053</v>
      </c>
      <c r="F322" s="4">
        <v>488.24030255662814</v>
      </c>
    </row>
    <row r="323" spans="1:6" x14ac:dyDescent="0.25">
      <c r="A323" t="s">
        <v>36</v>
      </c>
      <c r="B323" t="s">
        <v>88</v>
      </c>
      <c r="C323">
        <v>8.23</v>
      </c>
      <c r="D323" s="1">
        <v>11205</v>
      </c>
      <c r="E323" s="4">
        <v>7254.3924104406815</v>
      </c>
      <c r="F323" s="4">
        <v>917.67385294495205</v>
      </c>
    </row>
    <row r="324" spans="1:6" x14ac:dyDescent="0.25">
      <c r="A324" t="s">
        <v>37</v>
      </c>
      <c r="B324" t="s">
        <v>88</v>
      </c>
      <c r="C324">
        <v>4.22</v>
      </c>
      <c r="D324" s="1">
        <v>6574</v>
      </c>
      <c r="E324" s="4">
        <v>10019.817723132204</v>
      </c>
      <c r="F324" s="4">
        <v>2452.3419933682253</v>
      </c>
    </row>
    <row r="325" spans="1:6" x14ac:dyDescent="0.25">
      <c r="A325" t="s">
        <v>38</v>
      </c>
      <c r="B325" t="s">
        <v>88</v>
      </c>
      <c r="C325">
        <v>6.38</v>
      </c>
      <c r="D325" s="1">
        <v>9522</v>
      </c>
      <c r="E325" s="4">
        <v>7607.7453169396604</v>
      </c>
      <c r="F325" s="4">
        <v>3139.5340250022568</v>
      </c>
    </row>
    <row r="326" spans="1:6" x14ac:dyDescent="0.25">
      <c r="A326" t="s">
        <v>39</v>
      </c>
      <c r="B326" t="s">
        <v>88</v>
      </c>
      <c r="C326">
        <v>14.58</v>
      </c>
      <c r="D326" s="1">
        <v>22294</v>
      </c>
      <c r="E326" s="4">
        <v>8947.7235950818977</v>
      </c>
      <c r="F326" s="4">
        <v>3222.0765095071915</v>
      </c>
    </row>
    <row r="327" spans="1:6" x14ac:dyDescent="0.25">
      <c r="A327" t="s">
        <v>40</v>
      </c>
      <c r="B327" t="s">
        <v>88</v>
      </c>
      <c r="C327">
        <v>6.94</v>
      </c>
      <c r="D327" s="1">
        <v>9587</v>
      </c>
      <c r="E327" s="4">
        <v>18290.11707852457</v>
      </c>
      <c r="F327" s="4">
        <v>8034.5322338255246</v>
      </c>
    </row>
    <row r="328" spans="1:6" x14ac:dyDescent="0.25">
      <c r="A328" t="s">
        <v>41</v>
      </c>
      <c r="B328" t="s">
        <v>88</v>
      </c>
      <c r="C328">
        <v>5.52</v>
      </c>
      <c r="D328" s="1">
        <v>9014</v>
      </c>
      <c r="E328" s="4">
        <v>12197.93512355737</v>
      </c>
      <c r="F328" s="4">
        <v>9265.1985362897685</v>
      </c>
    </row>
    <row r="329" spans="1:6" x14ac:dyDescent="0.25">
      <c r="A329" t="s">
        <v>42</v>
      </c>
      <c r="B329" t="s">
        <v>88</v>
      </c>
      <c r="C329">
        <v>12.57</v>
      </c>
      <c r="D329" s="1">
        <v>17795</v>
      </c>
      <c r="E329" s="4">
        <v>9969.18053706721</v>
      </c>
      <c r="F329" s="4">
        <v>9380.9165087071324</v>
      </c>
    </row>
    <row r="330" spans="1:6" x14ac:dyDescent="0.25">
      <c r="A330" t="s">
        <v>43</v>
      </c>
      <c r="B330" t="s">
        <v>88</v>
      </c>
      <c r="C330">
        <v>11.44</v>
      </c>
      <c r="D330" s="1">
        <v>17985</v>
      </c>
      <c r="E330" s="4">
        <v>15447.254161120163</v>
      </c>
      <c r="F330" s="4">
        <v>7002.9788904424095</v>
      </c>
    </row>
    <row r="331" spans="1:6" x14ac:dyDescent="0.25">
      <c r="A331" t="s">
        <v>44</v>
      </c>
      <c r="B331" t="s">
        <v>88</v>
      </c>
      <c r="C331">
        <v>9.15</v>
      </c>
      <c r="D331" s="1">
        <v>12618</v>
      </c>
      <c r="E331" s="4">
        <v>17223.676248336051</v>
      </c>
      <c r="F331" s="4">
        <v>5093.1668956289495</v>
      </c>
    </row>
    <row r="332" spans="1:6" x14ac:dyDescent="0.25">
      <c r="A332" t="s">
        <v>45</v>
      </c>
      <c r="B332" t="s">
        <v>88</v>
      </c>
      <c r="C332">
        <v>9.44</v>
      </c>
      <c r="D332" s="1">
        <v>15441</v>
      </c>
      <c r="E332" s="4">
        <v>13999.702874500814</v>
      </c>
      <c r="F332" s="4">
        <v>5443.5239172695356</v>
      </c>
    </row>
    <row r="333" spans="1:6" x14ac:dyDescent="0.25">
      <c r="A333" t="s">
        <v>46</v>
      </c>
      <c r="B333" t="s">
        <v>88</v>
      </c>
      <c r="C333">
        <v>8.33</v>
      </c>
      <c r="D333" s="1">
        <v>12810</v>
      </c>
      <c r="E333" s="4">
        <v>15008.610862350244</v>
      </c>
      <c r="F333" s="4">
        <v>3148.0017498518528</v>
      </c>
    </row>
    <row r="334" spans="1:6" x14ac:dyDescent="0.25">
      <c r="A334" t="s">
        <v>47</v>
      </c>
      <c r="B334" t="s">
        <v>88</v>
      </c>
      <c r="C334">
        <v>10.130000000000001</v>
      </c>
      <c r="D334" s="1">
        <v>16622</v>
      </c>
      <c r="E334" s="4">
        <v>13469.583258705072</v>
      </c>
      <c r="F334" s="4">
        <v>3061.7794843578322</v>
      </c>
    </row>
    <row r="335" spans="1:6" x14ac:dyDescent="0.25">
      <c r="A335" t="s">
        <v>48</v>
      </c>
      <c r="B335" t="s">
        <v>88</v>
      </c>
      <c r="C335">
        <v>9.74</v>
      </c>
      <c r="D335" s="1">
        <v>13803</v>
      </c>
      <c r="E335" s="4">
        <v>15676.274977611522</v>
      </c>
      <c r="F335" s="4">
        <v>2369.8775241780768</v>
      </c>
    </row>
    <row r="336" spans="1:6" x14ac:dyDescent="0.25">
      <c r="A336" t="s">
        <v>49</v>
      </c>
      <c r="B336" t="s">
        <v>88</v>
      </c>
      <c r="C336">
        <v>12.56</v>
      </c>
      <c r="D336" s="1">
        <v>21288</v>
      </c>
      <c r="E336" s="4">
        <v>14364.982493283454</v>
      </c>
      <c r="F336" s="4">
        <v>2468.5204864848679</v>
      </c>
    </row>
    <row r="337" spans="1:6" x14ac:dyDescent="0.25">
      <c r="A337" t="s">
        <v>50</v>
      </c>
      <c r="B337" t="s">
        <v>88</v>
      </c>
      <c r="C337">
        <v>9.33</v>
      </c>
      <c r="D337" s="1">
        <v>13909</v>
      </c>
      <c r="E337" s="4">
        <v>19211.094747985037</v>
      </c>
      <c r="F337" s="4">
        <v>4523.0911941151398</v>
      </c>
    </row>
    <row r="338" spans="1:6" x14ac:dyDescent="0.25">
      <c r="A338" t="s">
        <v>51</v>
      </c>
      <c r="B338" t="s">
        <v>88</v>
      </c>
      <c r="C338">
        <v>11.07</v>
      </c>
      <c r="D338" s="1">
        <v>18443</v>
      </c>
      <c r="E338" s="4">
        <v>15499.628424395509</v>
      </c>
      <c r="F338" s="4">
        <v>5149.4187133649602</v>
      </c>
    </row>
    <row r="339" spans="1:6" x14ac:dyDescent="0.25">
      <c r="A339" t="s">
        <v>52</v>
      </c>
      <c r="B339" t="s">
        <v>88</v>
      </c>
      <c r="C339">
        <v>17.18</v>
      </c>
      <c r="D339" s="1">
        <v>23263</v>
      </c>
      <c r="E339" s="4">
        <v>17559.988527318652</v>
      </c>
      <c r="F339" s="4">
        <v>5313.6245114796093</v>
      </c>
    </row>
    <row r="340" spans="1:6" x14ac:dyDescent="0.25">
      <c r="A340" t="s">
        <v>53</v>
      </c>
      <c r="B340" t="s">
        <v>88</v>
      </c>
      <c r="C340">
        <v>12.5</v>
      </c>
      <c r="D340" s="1">
        <v>20757</v>
      </c>
      <c r="E340" s="4">
        <v>21552.096558195593</v>
      </c>
      <c r="F340" s="4">
        <v>4806.2454094029936</v>
      </c>
    </row>
    <row r="341" spans="1:6" x14ac:dyDescent="0.25">
      <c r="A341" t="s">
        <v>54</v>
      </c>
      <c r="B341" t="s">
        <v>88</v>
      </c>
      <c r="C341">
        <v>15.84</v>
      </c>
      <c r="D341" s="1">
        <v>23683</v>
      </c>
      <c r="E341" s="4">
        <v>20995.528967458678</v>
      </c>
      <c r="F341" s="4">
        <v>3733.6289150756097</v>
      </c>
    </row>
    <row r="342" spans="1:6" x14ac:dyDescent="0.25">
      <c r="A342" t="s">
        <v>55</v>
      </c>
      <c r="B342" t="s">
        <v>88</v>
      </c>
      <c r="C342">
        <v>11.11</v>
      </c>
      <c r="D342" s="1">
        <v>19861</v>
      </c>
      <c r="E342" s="4">
        <v>22876.758690237602</v>
      </c>
      <c r="F342" s="4">
        <v>3668.7426976707916</v>
      </c>
    </row>
    <row r="343" spans="1:6" x14ac:dyDescent="0.25">
      <c r="A343" t="s">
        <v>56</v>
      </c>
      <c r="B343" t="s">
        <v>88</v>
      </c>
      <c r="C343">
        <v>16.97</v>
      </c>
      <c r="D343" s="1">
        <v>24720</v>
      </c>
      <c r="E343" s="4">
        <v>20765.72760707128</v>
      </c>
      <c r="F343" s="4">
        <v>2376.9363731034687</v>
      </c>
    </row>
    <row r="344" spans="1:6" x14ac:dyDescent="0.25">
      <c r="A344" t="s">
        <v>57</v>
      </c>
      <c r="B344" t="s">
        <v>88</v>
      </c>
      <c r="C344">
        <v>13.48</v>
      </c>
      <c r="D344" s="1">
        <v>21270</v>
      </c>
      <c r="E344" s="4">
        <v>23533.718282121383</v>
      </c>
      <c r="F344" s="4">
        <v>3263.6161531839989</v>
      </c>
    </row>
    <row r="345" spans="1:6" x14ac:dyDescent="0.25">
      <c r="A345" t="s">
        <v>58</v>
      </c>
      <c r="B345" t="s">
        <v>88</v>
      </c>
      <c r="C345">
        <v>13.81</v>
      </c>
      <c r="D345" s="1">
        <v>20370</v>
      </c>
      <c r="E345" s="4">
        <v>21949.115484636412</v>
      </c>
      <c r="F345" s="4">
        <v>3154.652178187659</v>
      </c>
    </row>
    <row r="346" spans="1:6" x14ac:dyDescent="0.25">
      <c r="A346" t="s">
        <v>59</v>
      </c>
      <c r="B346" t="s">
        <v>88</v>
      </c>
      <c r="C346">
        <v>15.18</v>
      </c>
      <c r="D346" s="1">
        <v>23136</v>
      </c>
      <c r="E346" s="4">
        <v>20843.734645390923</v>
      </c>
      <c r="F346" s="4">
        <v>2784.1393842087782</v>
      </c>
    </row>
    <row r="347" spans="1:6" x14ac:dyDescent="0.25">
      <c r="A347" t="s">
        <v>60</v>
      </c>
      <c r="B347" t="s">
        <v>88</v>
      </c>
      <c r="C347">
        <v>20.69</v>
      </c>
      <c r="D347" s="1">
        <v>23894</v>
      </c>
      <c r="E347" s="4">
        <v>22448.320393617276</v>
      </c>
      <c r="F347" s="4">
        <v>2071.43321000784</v>
      </c>
    </row>
    <row r="348" spans="1:6" x14ac:dyDescent="0.25">
      <c r="A348" t="s">
        <v>61</v>
      </c>
      <c r="B348" t="s">
        <v>88</v>
      </c>
      <c r="C348">
        <v>22.76</v>
      </c>
      <c r="D348" s="1">
        <v>29499</v>
      </c>
      <c r="E348" s="4">
        <v>23460.296118085182</v>
      </c>
      <c r="F348" s="4">
        <v>1810.8999322685277</v>
      </c>
    </row>
    <row r="349" spans="1:6" x14ac:dyDescent="0.25">
      <c r="A349" t="s">
        <v>62</v>
      </c>
      <c r="B349" t="s">
        <v>88</v>
      </c>
      <c r="C349">
        <v>21.14</v>
      </c>
      <c r="D349" s="1">
        <v>23700</v>
      </c>
      <c r="E349" s="4">
        <v>27687.388835425554</v>
      </c>
      <c r="F349" s="4">
        <v>3821.4488767876633</v>
      </c>
    </row>
    <row r="350" spans="1:6" x14ac:dyDescent="0.25">
      <c r="A350" t="s">
        <v>63</v>
      </c>
      <c r="B350" t="s">
        <v>88</v>
      </c>
      <c r="C350">
        <v>16.2</v>
      </c>
      <c r="D350" s="1">
        <v>23157</v>
      </c>
      <c r="E350" s="4">
        <v>24896.216650627666</v>
      </c>
      <c r="F350" s="4">
        <v>4260.485254938314</v>
      </c>
    </row>
    <row r="351" spans="1:6" x14ac:dyDescent="0.25">
      <c r="A351" t="s">
        <v>64</v>
      </c>
      <c r="B351" t="s">
        <v>88</v>
      </c>
      <c r="C351">
        <v>20</v>
      </c>
      <c r="D351" s="1">
        <v>24351</v>
      </c>
      <c r="E351" s="4">
        <v>23678.7649951883</v>
      </c>
      <c r="F351" s="4">
        <v>4296.9015525201403</v>
      </c>
    </row>
    <row r="352" spans="1:6" x14ac:dyDescent="0.25">
      <c r="A352" t="s">
        <v>65</v>
      </c>
      <c r="B352" t="s">
        <v>88</v>
      </c>
      <c r="C352">
        <v>8.6999999999999993</v>
      </c>
      <c r="D352" s="1">
        <v>12572</v>
      </c>
      <c r="E352" s="4">
        <v>24149.32949855649</v>
      </c>
      <c r="F352" s="4">
        <v>2541.3935930502817</v>
      </c>
    </row>
    <row r="353" spans="1:6" x14ac:dyDescent="0.25">
      <c r="A353" t="s">
        <v>66</v>
      </c>
      <c r="B353" t="s">
        <v>88</v>
      </c>
      <c r="C353">
        <v>9.14</v>
      </c>
      <c r="D353" s="1">
        <v>12111</v>
      </c>
      <c r="E353" s="4">
        <v>16045.198849566947</v>
      </c>
      <c r="F353" s="4">
        <v>6770.3109918147029</v>
      </c>
    </row>
    <row r="354" spans="1:6" x14ac:dyDescent="0.25">
      <c r="A354" t="s">
        <v>67</v>
      </c>
      <c r="B354" t="s">
        <v>88</v>
      </c>
      <c r="C354">
        <v>7.07</v>
      </c>
      <c r="D354" s="1">
        <v>10946</v>
      </c>
      <c r="E354" s="4">
        <v>13291.259654870082</v>
      </c>
      <c r="F354" s="4">
        <v>7070.2281624611032</v>
      </c>
    </row>
    <row r="355" spans="1:6" x14ac:dyDescent="0.25">
      <c r="A355" t="s">
        <v>68</v>
      </c>
      <c r="B355" t="s">
        <v>88</v>
      </c>
      <c r="C355">
        <v>9.93</v>
      </c>
      <c r="D355" s="1">
        <v>13795</v>
      </c>
      <c r="E355" s="4">
        <v>11649.577896461025</v>
      </c>
      <c r="F355" s="4">
        <v>7188.2478568573188</v>
      </c>
    </row>
    <row r="356" spans="1:6" x14ac:dyDescent="0.25">
      <c r="A356" t="s">
        <v>69</v>
      </c>
      <c r="B356" t="s">
        <v>88</v>
      </c>
      <c r="C356">
        <v>10.32</v>
      </c>
      <c r="D356" s="1">
        <v>14783</v>
      </c>
      <c r="E356" s="4">
        <v>13151.373368938308</v>
      </c>
      <c r="F356" s="4">
        <v>2920.1027059020157</v>
      </c>
    </row>
    <row r="357" spans="1:6" x14ac:dyDescent="0.25">
      <c r="A357" t="s">
        <v>70</v>
      </c>
      <c r="B357" t="s">
        <v>88</v>
      </c>
      <c r="C357">
        <v>7.18</v>
      </c>
      <c r="D357" s="1">
        <v>10104</v>
      </c>
      <c r="E357" s="4">
        <v>14293.51201068149</v>
      </c>
      <c r="F357" s="4">
        <v>2062.7881062859769</v>
      </c>
    </row>
    <row r="358" spans="1:6" x14ac:dyDescent="0.25">
      <c r="A358" t="s">
        <v>71</v>
      </c>
      <c r="B358" t="s">
        <v>88</v>
      </c>
      <c r="C358">
        <v>10.95</v>
      </c>
      <c r="D358" s="1">
        <v>16843</v>
      </c>
      <c r="E358" s="4">
        <v>11360.853603204447</v>
      </c>
      <c r="F358" s="4">
        <v>2876.1694637826768</v>
      </c>
    </row>
    <row r="359" spans="1:6" x14ac:dyDescent="0.25">
      <c r="A359" t="s">
        <v>72</v>
      </c>
      <c r="B359" t="s">
        <v>88</v>
      </c>
      <c r="C359">
        <v>14.18</v>
      </c>
      <c r="D359" s="1">
        <v>18726</v>
      </c>
      <c r="E359" s="4">
        <v>15198.356080961332</v>
      </c>
      <c r="F359" s="4">
        <v>4093.4152597691436</v>
      </c>
    </row>
    <row r="360" spans="1:6" x14ac:dyDescent="0.25">
      <c r="A360" t="s">
        <v>73</v>
      </c>
      <c r="B360" t="s">
        <v>88</v>
      </c>
      <c r="C360">
        <v>22.22</v>
      </c>
      <c r="D360" s="1">
        <v>26425</v>
      </c>
      <c r="E360" s="4">
        <v>17667.706824288398</v>
      </c>
      <c r="F360" s="4">
        <v>4474.0068403715186</v>
      </c>
    </row>
    <row r="361" spans="1:6" x14ac:dyDescent="0.25">
      <c r="A361" t="s">
        <v>74</v>
      </c>
      <c r="B361" t="s">
        <v>88</v>
      </c>
      <c r="C361">
        <v>21.31</v>
      </c>
      <c r="D361" s="1">
        <v>24093</v>
      </c>
      <c r="E361" s="4">
        <v>23797.812047286519</v>
      </c>
      <c r="F361" s="4">
        <v>6303.131087028466</v>
      </c>
    </row>
    <row r="362" spans="1:6" x14ac:dyDescent="0.25">
      <c r="A362" t="s">
        <v>75</v>
      </c>
      <c r="B362" t="s">
        <v>88</v>
      </c>
      <c r="C362">
        <v>9.91</v>
      </c>
      <c r="D362" s="1">
        <v>16126</v>
      </c>
      <c r="E362" s="4">
        <v>24004.443614185955</v>
      </c>
      <c r="F362" s="4">
        <v>5453.4879148523733</v>
      </c>
    </row>
    <row r="363" spans="1:6" x14ac:dyDescent="0.25">
      <c r="A363" t="s">
        <v>76</v>
      </c>
      <c r="B363" t="s">
        <v>88</v>
      </c>
      <c r="C363">
        <v>11.18</v>
      </c>
      <c r="D363" s="1">
        <v>15258</v>
      </c>
      <c r="E363" s="4">
        <v>18489.533084255785</v>
      </c>
      <c r="F363" s="4">
        <v>6803.1167728402161</v>
      </c>
    </row>
    <row r="364" spans="1:6" x14ac:dyDescent="0.25">
      <c r="A364" t="s">
        <v>77</v>
      </c>
      <c r="B364" t="s">
        <v>88</v>
      </c>
      <c r="C364">
        <v>10</v>
      </c>
      <c r="D364" s="1">
        <v>16135</v>
      </c>
      <c r="E364" s="4">
        <v>16227.459925276733</v>
      </c>
      <c r="F364" s="4">
        <v>4919.3433092901851</v>
      </c>
    </row>
    <row r="365" spans="1:6" x14ac:dyDescent="0.25">
      <c r="A365" t="s">
        <v>78</v>
      </c>
      <c r="B365" t="s">
        <v>88</v>
      </c>
      <c r="C365">
        <v>6.18</v>
      </c>
      <c r="D365" s="1">
        <v>9807</v>
      </c>
      <c r="E365" s="4">
        <v>16162.73797758302</v>
      </c>
      <c r="F365" s="4">
        <v>4916.6800687160621</v>
      </c>
    </row>
    <row r="366" spans="1:6" x14ac:dyDescent="0.25">
      <c r="A366" t="s">
        <v>79</v>
      </c>
      <c r="B366" t="s">
        <v>88</v>
      </c>
      <c r="C366">
        <v>11.63</v>
      </c>
      <c r="D366" s="1">
        <v>18720</v>
      </c>
      <c r="E366" s="4">
        <v>11713.721393274905</v>
      </c>
      <c r="F366" s="4">
        <v>4116.9066118512246</v>
      </c>
    </row>
    <row r="367" spans="1:6" x14ac:dyDescent="0.25">
      <c r="A367" t="s">
        <v>80</v>
      </c>
      <c r="B367" t="s">
        <v>88</v>
      </c>
      <c r="C367">
        <v>9.6999999999999993</v>
      </c>
      <c r="D367" s="1">
        <v>13422</v>
      </c>
      <c r="E367" s="4">
        <v>16618.11641798247</v>
      </c>
      <c r="F367" s="4">
        <v>5461.7425178089761</v>
      </c>
    </row>
    <row r="368" spans="1:6" x14ac:dyDescent="0.25">
      <c r="A368" t="s">
        <v>81</v>
      </c>
      <c r="B368" t="s">
        <v>88</v>
      </c>
      <c r="C368">
        <v>9.77</v>
      </c>
      <c r="D368" s="1">
        <v>15573</v>
      </c>
      <c r="E368" s="4">
        <v>14380.834925394742</v>
      </c>
      <c r="F368" s="4">
        <v>5764.7927199522082</v>
      </c>
    </row>
    <row r="369" spans="1:6" x14ac:dyDescent="0.25">
      <c r="A369" t="s">
        <v>82</v>
      </c>
      <c r="B369" t="s">
        <v>88</v>
      </c>
      <c r="C369">
        <v>5.7</v>
      </c>
      <c r="D369" s="1">
        <v>9132</v>
      </c>
      <c r="E369" s="4">
        <v>15215.35047761842</v>
      </c>
      <c r="F369" s="4">
        <v>4499.0501826296404</v>
      </c>
    </row>
    <row r="370" spans="1:6" x14ac:dyDescent="0.25">
      <c r="A370" t="s">
        <v>83</v>
      </c>
      <c r="B370" t="s">
        <v>88</v>
      </c>
      <c r="C370">
        <v>10.1</v>
      </c>
      <c r="D370" s="1">
        <v>16555</v>
      </c>
      <c r="E370" s="4">
        <v>10957.005143285525</v>
      </c>
      <c r="F370" s="4">
        <v>4026.7261621961957</v>
      </c>
    </row>
    <row r="371" spans="1:6" x14ac:dyDescent="0.25">
      <c r="A371" t="s">
        <v>84</v>
      </c>
      <c r="B371" t="s">
        <v>88</v>
      </c>
      <c r="C371">
        <v>9.4</v>
      </c>
      <c r="D371" s="1">
        <v>13500</v>
      </c>
      <c r="E371" s="4">
        <v>14875.601542985658</v>
      </c>
      <c r="F371" s="4">
        <v>4822.3769040605739</v>
      </c>
    </row>
    <row r="372" spans="1:6" x14ac:dyDescent="0.25">
      <c r="A372" t="s">
        <v>7</v>
      </c>
      <c r="B372" t="s">
        <v>89</v>
      </c>
      <c r="C372">
        <v>12.29</v>
      </c>
      <c r="D372" s="1">
        <v>24209</v>
      </c>
      <c r="E372" s="4">
        <v>13912.680462895696</v>
      </c>
      <c r="F372" s="4">
        <v>4838.6285610148698</v>
      </c>
    </row>
    <row r="373" spans="1:6" x14ac:dyDescent="0.25">
      <c r="A373" t="s">
        <v>10</v>
      </c>
      <c r="B373" t="s">
        <v>89</v>
      </c>
      <c r="C373">
        <v>5.4</v>
      </c>
      <c r="D373" s="1">
        <v>11408</v>
      </c>
      <c r="E373" s="4">
        <v>21120.104138868708</v>
      </c>
      <c r="F373" s="4">
        <v>6812.8315706716739</v>
      </c>
    </row>
    <row r="374" spans="1:6" x14ac:dyDescent="0.25">
      <c r="A374" t="s">
        <v>11</v>
      </c>
      <c r="B374" t="s">
        <v>89</v>
      </c>
      <c r="C374">
        <v>7.26</v>
      </c>
      <c r="D374" s="1">
        <v>16715</v>
      </c>
      <c r="E374" s="4">
        <v>14321.631241660612</v>
      </c>
      <c r="F374" s="4">
        <v>8210.38859046779</v>
      </c>
    </row>
    <row r="375" spans="1:6" x14ac:dyDescent="0.25">
      <c r="A375" t="s">
        <v>13</v>
      </c>
      <c r="B375" t="s">
        <v>89</v>
      </c>
      <c r="C375">
        <v>14.58</v>
      </c>
      <c r="D375" s="1">
        <v>29298</v>
      </c>
      <c r="E375" s="4">
        <v>15996.989372498185</v>
      </c>
      <c r="F375" s="4">
        <v>8287.890299060462</v>
      </c>
    </row>
    <row r="376" spans="1:6" x14ac:dyDescent="0.25">
      <c r="A376" t="s">
        <v>14</v>
      </c>
      <c r="B376" t="s">
        <v>89</v>
      </c>
      <c r="C376">
        <v>7.8</v>
      </c>
      <c r="D376" s="1">
        <v>16692</v>
      </c>
      <c r="E376" s="4">
        <v>25307.696811749454</v>
      </c>
      <c r="F376" s="4">
        <v>9608.504297939091</v>
      </c>
    </row>
    <row r="377" spans="1:6" x14ac:dyDescent="0.25">
      <c r="A377" t="s">
        <v>15</v>
      </c>
      <c r="B377" t="s">
        <v>89</v>
      </c>
      <c r="C377">
        <v>4.2699999999999996</v>
      </c>
      <c r="D377" s="1">
        <v>9473</v>
      </c>
      <c r="E377" s="4">
        <v>19276.709043524836</v>
      </c>
      <c r="F377" s="4">
        <v>9253.3836924356292</v>
      </c>
    </row>
    <row r="378" spans="1:6" x14ac:dyDescent="0.25">
      <c r="A378" t="s">
        <v>16</v>
      </c>
      <c r="B378" t="s">
        <v>89</v>
      </c>
      <c r="C378">
        <v>12.5</v>
      </c>
      <c r="D378" s="1">
        <v>28415</v>
      </c>
      <c r="E378" s="4">
        <v>12414.11271305745</v>
      </c>
      <c r="F378" s="4">
        <v>10758.869616507065</v>
      </c>
    </row>
    <row r="379" spans="1:6" x14ac:dyDescent="0.25">
      <c r="A379" t="s">
        <v>17</v>
      </c>
      <c r="B379" t="s">
        <v>89</v>
      </c>
      <c r="C379">
        <v>11.36</v>
      </c>
      <c r="D379" s="1">
        <v>25967</v>
      </c>
      <c r="E379" s="4">
        <v>23614.733813917235</v>
      </c>
      <c r="F379" s="4">
        <v>11921.567801419411</v>
      </c>
    </row>
    <row r="380" spans="1:6" x14ac:dyDescent="0.25">
      <c r="A380" t="s">
        <v>18</v>
      </c>
      <c r="B380" t="s">
        <v>89</v>
      </c>
      <c r="C380">
        <v>8.7799999999999994</v>
      </c>
      <c r="D380" s="1">
        <v>18702</v>
      </c>
      <c r="E380" s="4">
        <v>25261.320144175166</v>
      </c>
      <c r="F380" s="4">
        <v>10919.00882543403</v>
      </c>
    </row>
    <row r="381" spans="1:6" x14ac:dyDescent="0.25">
      <c r="A381" t="s">
        <v>19</v>
      </c>
      <c r="B381" t="s">
        <v>89</v>
      </c>
      <c r="C381">
        <v>18.18</v>
      </c>
      <c r="D381" s="1">
        <v>38800</v>
      </c>
      <c r="E381" s="4">
        <v>20669.796043252551</v>
      </c>
      <c r="F381" s="4">
        <v>10076.147261948392</v>
      </c>
    </row>
    <row r="382" spans="1:6" x14ac:dyDescent="0.25">
      <c r="A382" t="s">
        <v>20</v>
      </c>
      <c r="B382" t="s">
        <v>89</v>
      </c>
      <c r="C382">
        <v>7.81</v>
      </c>
      <c r="D382" s="1">
        <v>18267</v>
      </c>
      <c r="E382" s="4">
        <v>33360.938812975764</v>
      </c>
      <c r="F382" s="4">
        <v>11214.011064693896</v>
      </c>
    </row>
    <row r="383" spans="1:6" x14ac:dyDescent="0.25">
      <c r="A383" t="s">
        <v>21</v>
      </c>
      <c r="B383" t="s">
        <v>89</v>
      </c>
      <c r="C383">
        <v>8.02</v>
      </c>
      <c r="D383" s="1">
        <v>18092</v>
      </c>
      <c r="E383" s="4">
        <v>22795.181643892727</v>
      </c>
      <c r="F383" s="4">
        <v>14136.901654380747</v>
      </c>
    </row>
    <row r="384" spans="1:6" x14ac:dyDescent="0.25">
      <c r="A384" t="s">
        <v>22</v>
      </c>
      <c r="B384" t="s">
        <v>89</v>
      </c>
      <c r="C384">
        <v>8.7899999999999991</v>
      </c>
      <c r="D384" s="1">
        <v>18775</v>
      </c>
      <c r="E384" s="4">
        <v>19502.954493167817</v>
      </c>
      <c r="F384" s="4">
        <v>13888.258853897256</v>
      </c>
    </row>
    <row r="385" spans="1:6" x14ac:dyDescent="0.25">
      <c r="A385" t="s">
        <v>23</v>
      </c>
      <c r="B385" t="s">
        <v>89</v>
      </c>
      <c r="C385">
        <v>16.11</v>
      </c>
      <c r="D385" s="1">
        <v>33397</v>
      </c>
      <c r="E385" s="4">
        <v>18993.386347950345</v>
      </c>
      <c r="F385" s="4">
        <v>9137.4107238580618</v>
      </c>
    </row>
    <row r="386" spans="1:6" x14ac:dyDescent="0.25">
      <c r="A386" t="s">
        <v>24</v>
      </c>
      <c r="B386" t="s">
        <v>89</v>
      </c>
      <c r="C386">
        <v>5.76</v>
      </c>
      <c r="D386" s="1">
        <v>13364</v>
      </c>
      <c r="E386" s="4">
        <v>29075.915904385103</v>
      </c>
      <c r="F386" s="4">
        <v>8758.1185490393982</v>
      </c>
    </row>
    <row r="387" spans="1:6" x14ac:dyDescent="0.25">
      <c r="A387" t="s">
        <v>25</v>
      </c>
      <c r="B387" t="s">
        <v>89</v>
      </c>
      <c r="C387">
        <v>8.4</v>
      </c>
      <c r="D387" s="1">
        <v>19561</v>
      </c>
      <c r="E387" s="4">
        <v>18077.574771315529</v>
      </c>
      <c r="F387" s="4">
        <v>12313.384389464227</v>
      </c>
    </row>
    <row r="388" spans="1:6" x14ac:dyDescent="0.25">
      <c r="A388" t="s">
        <v>26</v>
      </c>
      <c r="B388" t="s">
        <v>89</v>
      </c>
      <c r="C388">
        <v>7.49</v>
      </c>
      <c r="D388" s="1">
        <v>16102</v>
      </c>
      <c r="E388" s="4">
        <v>19115.972431394657</v>
      </c>
      <c r="F388" s="4">
        <v>12335.976356887717</v>
      </c>
    </row>
    <row r="389" spans="1:6" x14ac:dyDescent="0.25">
      <c r="A389" t="s">
        <v>27</v>
      </c>
      <c r="B389" t="s">
        <v>89</v>
      </c>
      <c r="C389">
        <v>4.42</v>
      </c>
      <c r="D389" s="1">
        <v>9398</v>
      </c>
      <c r="E389" s="4">
        <v>17006.191729418395</v>
      </c>
      <c r="F389" s="4">
        <v>9276.2938291247574</v>
      </c>
    </row>
    <row r="390" spans="1:6" x14ac:dyDescent="0.25">
      <c r="A390" t="s">
        <v>28</v>
      </c>
      <c r="B390" t="s">
        <v>89</v>
      </c>
      <c r="C390">
        <v>9.16</v>
      </c>
      <c r="D390" s="1">
        <v>21120</v>
      </c>
      <c r="E390" s="4">
        <v>11680.457518825518</v>
      </c>
      <c r="F390" s="4">
        <v>4801.7066972030916</v>
      </c>
    </row>
    <row r="391" spans="1:6" x14ac:dyDescent="0.25">
      <c r="A391" t="s">
        <v>29</v>
      </c>
      <c r="B391" t="s">
        <v>89</v>
      </c>
      <c r="C391">
        <v>2.44</v>
      </c>
      <c r="D391" s="1">
        <v>5322</v>
      </c>
      <c r="E391" s="4">
        <v>18288.137255647653</v>
      </c>
      <c r="F391" s="4">
        <v>7212.8028177377109</v>
      </c>
    </row>
    <row r="392" spans="1:6" x14ac:dyDescent="0.25">
      <c r="A392" t="s">
        <v>30</v>
      </c>
      <c r="B392" t="s">
        <v>89</v>
      </c>
      <c r="C392">
        <v>8.77</v>
      </c>
      <c r="D392" s="1">
        <v>17778</v>
      </c>
      <c r="E392" s="4">
        <v>9211.8411766942954</v>
      </c>
      <c r="F392" s="4">
        <v>10248.743971462751</v>
      </c>
    </row>
    <row r="393" spans="1:6" x14ac:dyDescent="0.25">
      <c r="A393" t="s">
        <v>31</v>
      </c>
      <c r="B393" t="s">
        <v>89</v>
      </c>
      <c r="C393">
        <v>2.63</v>
      </c>
      <c r="D393" s="1">
        <v>5671</v>
      </c>
      <c r="E393" s="4">
        <v>15208.152353008287</v>
      </c>
      <c r="F393" s="4">
        <v>10497.694263857658</v>
      </c>
    </row>
    <row r="394" spans="1:6" x14ac:dyDescent="0.25">
      <c r="A394" t="s">
        <v>32</v>
      </c>
      <c r="B394" t="s">
        <v>89</v>
      </c>
      <c r="C394">
        <v>5.71</v>
      </c>
      <c r="D394" s="1">
        <v>12992</v>
      </c>
      <c r="E394" s="4">
        <v>8532.145705902487</v>
      </c>
      <c r="F394" s="4">
        <v>10527.061434273159</v>
      </c>
    </row>
    <row r="395" spans="1:6" x14ac:dyDescent="0.25">
      <c r="A395" t="s">
        <v>33</v>
      </c>
      <c r="B395" t="s">
        <v>89</v>
      </c>
      <c r="C395">
        <v>10</v>
      </c>
      <c r="D395" s="1">
        <v>19576</v>
      </c>
      <c r="E395" s="4">
        <v>11654.043711770746</v>
      </c>
      <c r="F395" s="4">
        <v>7836.3820800836756</v>
      </c>
    </row>
    <row r="396" spans="1:6" x14ac:dyDescent="0.25">
      <c r="A396" t="s">
        <v>34</v>
      </c>
      <c r="B396" t="s">
        <v>89</v>
      </c>
      <c r="C396">
        <v>5.75</v>
      </c>
      <c r="D396" s="1">
        <v>11491</v>
      </c>
      <c r="E396" s="4">
        <v>17199.413113531224</v>
      </c>
      <c r="F396" s="4">
        <v>7607.1231259849819</v>
      </c>
    </row>
    <row r="397" spans="1:6" x14ac:dyDescent="0.25">
      <c r="A397" t="s">
        <v>35</v>
      </c>
      <c r="B397" t="s">
        <v>89</v>
      </c>
      <c r="C397">
        <v>4</v>
      </c>
      <c r="D397" s="1">
        <v>8360</v>
      </c>
      <c r="E397" s="4">
        <v>13203.523934059367</v>
      </c>
      <c r="F397" s="4">
        <v>6197.6789212287713</v>
      </c>
    </row>
    <row r="398" spans="1:6" x14ac:dyDescent="0.25">
      <c r="A398" t="s">
        <v>36</v>
      </c>
      <c r="B398" t="s">
        <v>89</v>
      </c>
      <c r="C398">
        <v>6.88</v>
      </c>
      <c r="D398" s="1">
        <v>15224</v>
      </c>
      <c r="E398" s="4">
        <v>9813.0571802178092</v>
      </c>
      <c r="F398" s="4">
        <v>6292.935081161947</v>
      </c>
    </row>
    <row r="399" spans="1:6" x14ac:dyDescent="0.25">
      <c r="A399" t="s">
        <v>37</v>
      </c>
      <c r="B399" t="s">
        <v>89</v>
      </c>
      <c r="C399">
        <v>5.47</v>
      </c>
      <c r="D399" s="1">
        <v>10994</v>
      </c>
      <c r="E399" s="4">
        <v>13600.717154065342</v>
      </c>
      <c r="F399" s="4">
        <v>5333.0418641238766</v>
      </c>
    </row>
    <row r="400" spans="1:6" x14ac:dyDescent="0.25">
      <c r="A400" t="s">
        <v>38</v>
      </c>
      <c r="B400" t="s">
        <v>89</v>
      </c>
      <c r="C400">
        <v>7.58</v>
      </c>
      <c r="D400" s="1">
        <v>15373</v>
      </c>
      <c r="E400" s="4">
        <v>11776.015146219601</v>
      </c>
      <c r="F400" s="4">
        <v>4454.6979179310201</v>
      </c>
    </row>
    <row r="401" spans="1:6" x14ac:dyDescent="0.25">
      <c r="A401" t="s">
        <v>39</v>
      </c>
      <c r="B401" t="s">
        <v>89</v>
      </c>
      <c r="C401">
        <v>5.17</v>
      </c>
      <c r="D401" s="1">
        <v>10552</v>
      </c>
      <c r="E401" s="4">
        <v>14293.90454386588</v>
      </c>
      <c r="F401" s="4">
        <v>4041.9292653622956</v>
      </c>
    </row>
    <row r="402" spans="1:6" x14ac:dyDescent="0.25">
      <c r="A402" t="s">
        <v>40</v>
      </c>
      <c r="B402" t="s">
        <v>89</v>
      </c>
      <c r="C402">
        <v>6.25</v>
      </c>
      <c r="D402" s="1">
        <v>13150</v>
      </c>
      <c r="E402" s="4">
        <v>11674.571363159765</v>
      </c>
      <c r="F402" s="4">
        <v>3353.3626891538902</v>
      </c>
    </row>
    <row r="403" spans="1:6" x14ac:dyDescent="0.25">
      <c r="A403" t="s">
        <v>41</v>
      </c>
      <c r="B403" t="s">
        <v>89</v>
      </c>
      <c r="C403">
        <v>5.79</v>
      </c>
      <c r="D403" s="1">
        <v>11755</v>
      </c>
      <c r="E403" s="4">
        <v>12707.371408947929</v>
      </c>
      <c r="F403" s="4">
        <v>3115.3939994880234</v>
      </c>
    </row>
    <row r="404" spans="1:6" x14ac:dyDescent="0.25">
      <c r="A404" t="s">
        <v>42</v>
      </c>
      <c r="B404" t="s">
        <v>89</v>
      </c>
      <c r="C404">
        <v>1.05</v>
      </c>
      <c r="D404" s="1">
        <v>2084</v>
      </c>
      <c r="E404" s="4">
        <v>12040.711422684379</v>
      </c>
      <c r="F404" s="4">
        <v>2386.4723322925697</v>
      </c>
    </row>
    <row r="405" spans="1:6" x14ac:dyDescent="0.25">
      <c r="A405" t="s">
        <v>43</v>
      </c>
      <c r="B405" t="s">
        <v>89</v>
      </c>
      <c r="C405">
        <v>1.77</v>
      </c>
      <c r="D405" s="1">
        <v>3644</v>
      </c>
      <c r="E405" s="4">
        <v>5071.0134268053134</v>
      </c>
      <c r="F405" s="4">
        <v>5837.2368839375613</v>
      </c>
    </row>
    <row r="406" spans="1:6" x14ac:dyDescent="0.25">
      <c r="A406" t="s">
        <v>44</v>
      </c>
      <c r="B406" t="s">
        <v>89</v>
      </c>
      <c r="C406">
        <v>7.22</v>
      </c>
      <c r="D406" s="1">
        <v>15345</v>
      </c>
      <c r="E406" s="4">
        <v>4072.1040280415937</v>
      </c>
      <c r="F406" s="4">
        <v>5833.2232649275966</v>
      </c>
    </row>
    <row r="407" spans="1:6" x14ac:dyDescent="0.25">
      <c r="A407" t="s">
        <v>45</v>
      </c>
      <c r="B407" t="s">
        <v>89</v>
      </c>
      <c r="C407">
        <v>4.46</v>
      </c>
      <c r="D407" s="1">
        <v>8098</v>
      </c>
      <c r="E407" s="4">
        <v>11963.131208412478</v>
      </c>
      <c r="F407" s="4">
        <v>8722.5885544275643</v>
      </c>
    </row>
    <row r="408" spans="1:6" x14ac:dyDescent="0.25">
      <c r="A408" t="s">
        <v>46</v>
      </c>
      <c r="B408" t="s">
        <v>89</v>
      </c>
      <c r="C408">
        <v>6.25</v>
      </c>
      <c r="D408" s="1">
        <v>12083</v>
      </c>
      <c r="E408" s="4">
        <v>9257.539362523743</v>
      </c>
      <c r="F408" s="4">
        <v>6929.4970999133548</v>
      </c>
    </row>
    <row r="409" spans="1:6" x14ac:dyDescent="0.25">
      <c r="A409" t="s">
        <v>47</v>
      </c>
      <c r="B409" t="s">
        <v>89</v>
      </c>
      <c r="C409">
        <v>8.74</v>
      </c>
      <c r="D409" s="1">
        <v>15661</v>
      </c>
      <c r="E409" s="4">
        <v>11235.361808757123</v>
      </c>
      <c r="F409" s="4">
        <v>7071.0831482116391</v>
      </c>
    </row>
    <row r="410" spans="1:6" x14ac:dyDescent="0.25">
      <c r="A410" t="s">
        <v>48</v>
      </c>
      <c r="B410" t="s">
        <v>89</v>
      </c>
      <c r="C410">
        <v>7.25</v>
      </c>
      <c r="D410" s="1">
        <v>14626</v>
      </c>
      <c r="E410" s="4">
        <v>14333.308542627135</v>
      </c>
      <c r="F410" s="4">
        <v>3764.2502782519377</v>
      </c>
    </row>
    <row r="411" spans="1:6" x14ac:dyDescent="0.25">
      <c r="A411" t="s">
        <v>49</v>
      </c>
      <c r="B411" t="s">
        <v>89</v>
      </c>
      <c r="C411">
        <v>2.91</v>
      </c>
      <c r="D411" s="1">
        <v>5219</v>
      </c>
      <c r="E411" s="4">
        <v>14538.192562788139</v>
      </c>
      <c r="F411" s="4">
        <v>3036.1801386464931</v>
      </c>
    </row>
    <row r="412" spans="1:6" x14ac:dyDescent="0.25">
      <c r="A412" t="s">
        <v>50</v>
      </c>
      <c r="B412" t="s">
        <v>89</v>
      </c>
      <c r="C412">
        <v>5.45</v>
      </c>
      <c r="D412" s="1">
        <v>9291</v>
      </c>
      <c r="E412" s="4">
        <v>8014.7577688364418</v>
      </c>
      <c r="F412" s="4">
        <v>5958.7272609546508</v>
      </c>
    </row>
    <row r="413" spans="1:6" x14ac:dyDescent="0.25">
      <c r="A413" t="s">
        <v>51</v>
      </c>
      <c r="B413" t="s">
        <v>89</v>
      </c>
      <c r="C413">
        <v>10.98</v>
      </c>
      <c r="D413" s="1">
        <v>18385</v>
      </c>
      <c r="E413" s="4">
        <v>8908.127330650932</v>
      </c>
      <c r="F413" s="4">
        <v>5433.2866831581223</v>
      </c>
    </row>
    <row r="414" spans="1:6" x14ac:dyDescent="0.25">
      <c r="A414" t="s">
        <v>52</v>
      </c>
      <c r="B414" t="s">
        <v>89</v>
      </c>
      <c r="C414">
        <v>1.98</v>
      </c>
      <c r="D414" s="1">
        <v>3635</v>
      </c>
      <c r="E414" s="4">
        <v>15541.93819919528</v>
      </c>
      <c r="F414" s="4">
        <v>7709.0263078633225</v>
      </c>
    </row>
    <row r="415" spans="1:6" x14ac:dyDescent="0.25">
      <c r="A415" t="s">
        <v>53</v>
      </c>
      <c r="B415" t="s">
        <v>89</v>
      </c>
      <c r="C415">
        <v>3.41</v>
      </c>
      <c r="D415" s="1">
        <v>5554</v>
      </c>
      <c r="E415" s="4">
        <v>7207.0814597585841</v>
      </c>
      <c r="F415" s="4">
        <v>8816.9361099933958</v>
      </c>
    </row>
    <row r="416" spans="1:6" x14ac:dyDescent="0.25">
      <c r="A416" t="s">
        <v>54</v>
      </c>
      <c r="B416" t="s">
        <v>89</v>
      </c>
      <c r="C416">
        <v>7.21</v>
      </c>
      <c r="D416" s="1">
        <v>12793</v>
      </c>
      <c r="E416" s="4">
        <v>6049.9244379275751</v>
      </c>
      <c r="F416" s="4">
        <v>8837.7782121810942</v>
      </c>
    </row>
    <row r="417" spans="1:6" x14ac:dyDescent="0.25">
      <c r="A417" t="s">
        <v>55</v>
      </c>
      <c r="B417" t="s">
        <v>89</v>
      </c>
      <c r="C417">
        <v>23.71</v>
      </c>
      <c r="D417" s="1">
        <v>37815</v>
      </c>
      <c r="E417" s="4">
        <v>10770.07733137827</v>
      </c>
      <c r="F417" s="4">
        <v>7957.7409614343778</v>
      </c>
    </row>
    <row r="418" spans="1:6" x14ac:dyDescent="0.25">
      <c r="A418" t="s">
        <v>56</v>
      </c>
      <c r="B418" t="s">
        <v>89</v>
      </c>
      <c r="C418">
        <v>3.54</v>
      </c>
      <c r="D418" s="1">
        <v>6271</v>
      </c>
      <c r="E418" s="4">
        <v>29701.523199413481</v>
      </c>
      <c r="F418" s="4">
        <v>16120.68638427187</v>
      </c>
    </row>
    <row r="419" spans="1:6" x14ac:dyDescent="0.25">
      <c r="A419" t="s">
        <v>57</v>
      </c>
      <c r="B419" t="s">
        <v>89</v>
      </c>
      <c r="C419">
        <v>5.38</v>
      </c>
      <c r="D419" s="1">
        <v>8551</v>
      </c>
      <c r="E419" s="4">
        <v>13300.156959824042</v>
      </c>
      <c r="F419" s="4">
        <v>21022.894881420754</v>
      </c>
    </row>
    <row r="420" spans="1:6" x14ac:dyDescent="0.25">
      <c r="A420" t="s">
        <v>58</v>
      </c>
      <c r="B420" t="s">
        <v>89</v>
      </c>
      <c r="C420">
        <v>0</v>
      </c>
      <c r="D420">
        <v>0</v>
      </c>
      <c r="E420" s="4">
        <v>9975.747087947213</v>
      </c>
      <c r="F420" s="4">
        <v>20840.439465768053</v>
      </c>
    </row>
    <row r="421" spans="1:6" x14ac:dyDescent="0.25">
      <c r="A421" t="s">
        <v>60</v>
      </c>
      <c r="B421" t="s">
        <v>89</v>
      </c>
      <c r="C421">
        <v>15.91</v>
      </c>
      <c r="D421" s="1">
        <v>28902</v>
      </c>
      <c r="E421" s="4">
        <v>2992.7241263841638</v>
      </c>
      <c r="F421" s="4">
        <v>14956.151902477965</v>
      </c>
    </row>
    <row r="422" spans="1:6" x14ac:dyDescent="0.25">
      <c r="A422" t="s">
        <v>61</v>
      </c>
      <c r="B422" t="s">
        <v>89</v>
      </c>
      <c r="C422">
        <v>20</v>
      </c>
      <c r="D422" s="1">
        <v>25708</v>
      </c>
      <c r="E422" s="4">
        <v>21129.217237915247</v>
      </c>
      <c r="F422" s="4">
        <v>16262.027324279756</v>
      </c>
    </row>
    <row r="423" spans="1:6" x14ac:dyDescent="0.25">
      <c r="A423" t="s">
        <v>63</v>
      </c>
      <c r="B423" t="s">
        <v>89</v>
      </c>
      <c r="C423">
        <v>16.36</v>
      </c>
      <c r="D423" s="1">
        <v>28980</v>
      </c>
      <c r="E423" s="4">
        <v>24334.365171374571</v>
      </c>
      <c r="F423" s="4">
        <v>16245.731314617013</v>
      </c>
    </row>
    <row r="424" spans="1:6" x14ac:dyDescent="0.25">
      <c r="A424" t="s">
        <v>65</v>
      </c>
      <c r="B424" t="s">
        <v>89</v>
      </c>
      <c r="C424">
        <v>1.52</v>
      </c>
      <c r="D424" s="1">
        <v>2375</v>
      </c>
      <c r="E424" s="4">
        <v>27586.309551412371</v>
      </c>
      <c r="F424" s="4">
        <v>15425.495679106865</v>
      </c>
    </row>
    <row r="425" spans="1:6" x14ac:dyDescent="0.25">
      <c r="A425" t="s">
        <v>66</v>
      </c>
      <c r="B425" t="s">
        <v>89</v>
      </c>
      <c r="C425">
        <v>18</v>
      </c>
      <c r="D425" s="1">
        <v>26173</v>
      </c>
      <c r="E425" s="4">
        <v>9938.3928654237116</v>
      </c>
      <c r="F425" s="4">
        <v>15035.040226533469</v>
      </c>
    </row>
    <row r="426" spans="1:6" x14ac:dyDescent="0.25">
      <c r="A426" t="s">
        <v>67</v>
      </c>
      <c r="B426" t="s">
        <v>89</v>
      </c>
      <c r="C426">
        <v>14.29</v>
      </c>
      <c r="D426" s="1">
        <v>21912</v>
      </c>
      <c r="E426" s="4">
        <v>21302.617859627113</v>
      </c>
      <c r="F426" s="4">
        <v>17519.080275251417</v>
      </c>
    </row>
    <row r="427" spans="1:6" x14ac:dyDescent="0.25">
      <c r="A427" t="s">
        <v>68</v>
      </c>
      <c r="B427" t="s">
        <v>89</v>
      </c>
      <c r="C427">
        <v>17.920000000000002</v>
      </c>
      <c r="D427" s="1">
        <v>26897</v>
      </c>
      <c r="E427" s="4">
        <v>21729.185357888135</v>
      </c>
      <c r="F427" s="4">
        <v>17316.119125487072</v>
      </c>
    </row>
    <row r="428" spans="1:6" x14ac:dyDescent="0.25">
      <c r="A428" t="s">
        <v>69</v>
      </c>
      <c r="B428" t="s">
        <v>89</v>
      </c>
      <c r="C428">
        <v>8.6999999999999993</v>
      </c>
      <c r="D428" s="1">
        <v>14146</v>
      </c>
      <c r="E428" s="4">
        <v>25346.65560736644</v>
      </c>
      <c r="F428" s="4">
        <v>9842.7659320990078</v>
      </c>
    </row>
    <row r="429" spans="1:6" x14ac:dyDescent="0.25">
      <c r="A429" t="s">
        <v>70</v>
      </c>
      <c r="B429" t="s">
        <v>89</v>
      </c>
      <c r="C429">
        <v>21.67</v>
      </c>
      <c r="D429" s="1">
        <v>32839</v>
      </c>
      <c r="E429" s="4">
        <v>17506.196682209931</v>
      </c>
      <c r="F429" s="4">
        <v>7130.5058446803168</v>
      </c>
    </row>
    <row r="430" spans="1:6" x14ac:dyDescent="0.25">
      <c r="A430" t="s">
        <v>71</v>
      </c>
      <c r="B430" t="s">
        <v>89</v>
      </c>
      <c r="C430">
        <v>31.82</v>
      </c>
      <c r="D430" s="1">
        <v>44565</v>
      </c>
      <c r="E430" s="4">
        <v>28239.159004662979</v>
      </c>
      <c r="F430" s="4">
        <v>11361.570486983584</v>
      </c>
    </row>
    <row r="431" spans="1:6" x14ac:dyDescent="0.25">
      <c r="A431" t="s">
        <v>72</v>
      </c>
      <c r="B431" t="s">
        <v>89</v>
      </c>
      <c r="C431">
        <v>15</v>
      </c>
      <c r="D431" s="1">
        <v>20801</v>
      </c>
      <c r="E431" s="4">
        <v>39667.24770139889</v>
      </c>
      <c r="F431" s="4">
        <v>14457.784844411566</v>
      </c>
    </row>
    <row r="432" spans="1:6" x14ac:dyDescent="0.25">
      <c r="A432" t="s">
        <v>73</v>
      </c>
      <c r="B432" t="s">
        <v>89</v>
      </c>
      <c r="C432">
        <v>16.07</v>
      </c>
      <c r="D432" s="1">
        <v>25621</v>
      </c>
      <c r="E432" s="4">
        <v>26460.874310419666</v>
      </c>
      <c r="F432" s="4">
        <v>16907.229657926418</v>
      </c>
    </row>
    <row r="433" spans="1:6" x14ac:dyDescent="0.25">
      <c r="A433" t="s">
        <v>74</v>
      </c>
      <c r="B433" t="s">
        <v>89</v>
      </c>
      <c r="C433">
        <v>21.43</v>
      </c>
      <c r="D433" s="1">
        <v>28177</v>
      </c>
      <c r="E433" s="4">
        <v>25872.962293125896</v>
      </c>
      <c r="F433" s="4">
        <v>14412.653877673707</v>
      </c>
    </row>
    <row r="434" spans="1:6" x14ac:dyDescent="0.25">
      <c r="A434" t="s">
        <v>75</v>
      </c>
      <c r="B434" t="s">
        <v>89</v>
      </c>
      <c r="C434">
        <v>25.37</v>
      </c>
      <c r="D434" s="1">
        <v>35178</v>
      </c>
      <c r="E434" s="4">
        <v>27485.788687937766</v>
      </c>
      <c r="F434" s="4">
        <v>10984.068477307479</v>
      </c>
    </row>
    <row r="435" spans="1:6" x14ac:dyDescent="0.25">
      <c r="A435" t="s">
        <v>76</v>
      </c>
      <c r="B435" t="s">
        <v>89</v>
      </c>
      <c r="C435">
        <v>12.5</v>
      </c>
      <c r="D435" s="1">
        <v>20531</v>
      </c>
      <c r="E435" s="4">
        <v>32870.33660638133</v>
      </c>
      <c r="F435" s="4">
        <v>4661.3336246693316</v>
      </c>
    </row>
    <row r="436" spans="1:6" x14ac:dyDescent="0.25">
      <c r="A436" t="s">
        <v>77</v>
      </c>
      <c r="B436" t="s">
        <v>89</v>
      </c>
      <c r="C436">
        <v>18.309999999999999</v>
      </c>
      <c r="D436" s="1">
        <v>27161</v>
      </c>
      <c r="E436" s="4">
        <v>24232.800981914399</v>
      </c>
      <c r="F436" s="4">
        <v>8499.763379249609</v>
      </c>
    </row>
    <row r="437" spans="1:6" x14ac:dyDescent="0.25">
      <c r="A437" t="s">
        <v>78</v>
      </c>
      <c r="B437" t="s">
        <v>89</v>
      </c>
      <c r="C437">
        <v>11.11</v>
      </c>
      <c r="D437" s="1">
        <v>15927</v>
      </c>
      <c r="E437" s="4">
        <v>26282.540294574315</v>
      </c>
      <c r="F437" s="4">
        <v>8563.56024568672</v>
      </c>
    </row>
    <row r="438" spans="1:6" x14ac:dyDescent="0.25">
      <c r="A438" t="s">
        <v>79</v>
      </c>
      <c r="B438" t="s">
        <v>89</v>
      </c>
      <c r="C438">
        <v>14.29</v>
      </c>
      <c r="D438" s="1">
        <v>20377</v>
      </c>
      <c r="E438" s="4">
        <v>19033.662088372294</v>
      </c>
      <c r="F438" s="4">
        <v>9452.8794937072325</v>
      </c>
    </row>
    <row r="439" spans="1:6" x14ac:dyDescent="0.25">
      <c r="A439" t="s">
        <v>81</v>
      </c>
      <c r="B439" t="s">
        <v>89</v>
      </c>
      <c r="C439">
        <v>14.71</v>
      </c>
      <c r="D439" s="1">
        <v>21669</v>
      </c>
      <c r="E439" s="4">
        <v>19973.99862651169</v>
      </c>
      <c r="F439" s="4">
        <v>6261.4194617218136</v>
      </c>
    </row>
    <row r="440" spans="1:6" x14ac:dyDescent="0.25">
      <c r="A440" t="s">
        <v>82</v>
      </c>
      <c r="B440" t="s">
        <v>89</v>
      </c>
      <c r="C440">
        <v>8.6999999999999993</v>
      </c>
      <c r="D440" s="1">
        <v>10951</v>
      </c>
      <c r="E440" s="4">
        <v>21160.499587953505</v>
      </c>
      <c r="F440" s="4">
        <v>6107.7764964973367</v>
      </c>
    </row>
    <row r="441" spans="1:6" x14ac:dyDescent="0.25">
      <c r="A441" t="s">
        <v>84</v>
      </c>
      <c r="B441" t="s">
        <v>89</v>
      </c>
      <c r="C441">
        <v>18.09</v>
      </c>
      <c r="D441" s="1">
        <v>31076</v>
      </c>
      <c r="E441" s="4">
        <v>14013.849876386052</v>
      </c>
      <c r="F441" s="4">
        <v>6025.2653672505403</v>
      </c>
    </row>
    <row r="442" spans="1:6" x14ac:dyDescent="0.25">
      <c r="A442" t="s">
        <v>7</v>
      </c>
      <c r="B442" t="s">
        <v>90</v>
      </c>
      <c r="C442">
        <v>2.31</v>
      </c>
      <c r="D442" s="1">
        <v>287707</v>
      </c>
      <c r="E442" s="4">
        <v>25957.354962915811</v>
      </c>
      <c r="F442" s="4">
        <v>11521.340754346396</v>
      </c>
    </row>
    <row r="443" spans="1:6" x14ac:dyDescent="0.25">
      <c r="A443" t="s">
        <v>10</v>
      </c>
      <c r="B443" t="s">
        <v>90</v>
      </c>
      <c r="C443">
        <v>4.9000000000000004</v>
      </c>
      <c r="D443" s="1">
        <v>550355</v>
      </c>
      <c r="E443" s="4">
        <v>209182.10648887474</v>
      </c>
      <c r="F443" s="4">
        <v>151556.6203609691</v>
      </c>
    </row>
    <row r="444" spans="1:6" x14ac:dyDescent="0.25">
      <c r="A444" t="s">
        <v>11</v>
      </c>
      <c r="B444" t="s">
        <v>90</v>
      </c>
      <c r="C444">
        <v>2.4700000000000002</v>
      </c>
      <c r="D444" s="1">
        <v>300170</v>
      </c>
      <c r="E444" s="4">
        <v>448003.13194666244</v>
      </c>
      <c r="F444" s="4">
        <v>248463.90543405825</v>
      </c>
    </row>
    <row r="445" spans="1:6" x14ac:dyDescent="0.25">
      <c r="A445" t="s">
        <v>12</v>
      </c>
      <c r="B445" t="s">
        <v>90</v>
      </c>
      <c r="C445">
        <v>2.02</v>
      </c>
      <c r="D445" s="1">
        <v>260536</v>
      </c>
      <c r="E445" s="4">
        <v>344519.93958399876</v>
      </c>
      <c r="F445" s="4">
        <v>262530.28704319842</v>
      </c>
    </row>
    <row r="446" spans="1:6" x14ac:dyDescent="0.25">
      <c r="A446" t="s">
        <v>13</v>
      </c>
      <c r="B446" t="s">
        <v>90</v>
      </c>
      <c r="C446">
        <v>1.48</v>
      </c>
      <c r="D446" s="1">
        <v>205330</v>
      </c>
      <c r="E446" s="4">
        <v>285731.1818751996</v>
      </c>
      <c r="F446" s="4">
        <v>220080.95501122737</v>
      </c>
    </row>
    <row r="447" spans="1:6" x14ac:dyDescent="0.25">
      <c r="A447" t="s">
        <v>14</v>
      </c>
      <c r="B447" t="s">
        <v>90</v>
      </c>
      <c r="C447">
        <v>2.93</v>
      </c>
      <c r="D447" s="1">
        <v>336840</v>
      </c>
      <c r="E447" s="4">
        <v>229450.35456255986</v>
      </c>
      <c r="F447" s="4">
        <v>108585.27686590693</v>
      </c>
    </row>
    <row r="448" spans="1:6" x14ac:dyDescent="0.25">
      <c r="A448" t="s">
        <v>15</v>
      </c>
      <c r="B448" t="s">
        <v>90</v>
      </c>
      <c r="C448">
        <v>1.65</v>
      </c>
      <c r="D448" s="1">
        <v>208516</v>
      </c>
      <c r="E448" s="4">
        <v>304623.10636876791</v>
      </c>
      <c r="F448" s="4">
        <v>91378.677494910866</v>
      </c>
    </row>
    <row r="449" spans="1:6" x14ac:dyDescent="0.25">
      <c r="A449" t="s">
        <v>16</v>
      </c>
      <c r="B449" t="s">
        <v>90</v>
      </c>
      <c r="C449">
        <v>0.8</v>
      </c>
      <c r="D449" s="1">
        <v>98461</v>
      </c>
      <c r="E449" s="4">
        <v>237348.13191063036</v>
      </c>
      <c r="F449" s="4">
        <v>95277.597731900751</v>
      </c>
    </row>
    <row r="450" spans="1:6" x14ac:dyDescent="0.25">
      <c r="A450" t="s">
        <v>17</v>
      </c>
      <c r="B450" t="s">
        <v>90</v>
      </c>
      <c r="C450">
        <v>1.01</v>
      </c>
      <c r="D450" s="1">
        <v>132819</v>
      </c>
      <c r="E450" s="4">
        <v>140127.13957318908</v>
      </c>
      <c r="F450" s="4">
        <v>115554.81708135699</v>
      </c>
    </row>
    <row r="451" spans="1:6" x14ac:dyDescent="0.25">
      <c r="A451" t="s">
        <v>18</v>
      </c>
      <c r="B451" t="s">
        <v>90</v>
      </c>
      <c r="C451">
        <v>1.47</v>
      </c>
      <c r="D451" s="1">
        <v>185489</v>
      </c>
      <c r="E451" s="4">
        <v>135011.44187195672</v>
      </c>
      <c r="F451" s="4">
        <v>97603.996176658868</v>
      </c>
    </row>
    <row r="452" spans="1:6" x14ac:dyDescent="0.25">
      <c r="A452" t="s">
        <v>19</v>
      </c>
      <c r="B452" t="s">
        <v>90</v>
      </c>
      <c r="C452">
        <v>1.72</v>
      </c>
      <c r="D452" s="1">
        <v>224199</v>
      </c>
      <c r="E452" s="4">
        <v>170345.73256158701</v>
      </c>
      <c r="F452" s="4">
        <v>85422.534476081579</v>
      </c>
    </row>
    <row r="453" spans="1:6" x14ac:dyDescent="0.25">
      <c r="A453" t="s">
        <v>20</v>
      </c>
      <c r="B453" t="s">
        <v>90</v>
      </c>
      <c r="C453">
        <v>6.25</v>
      </c>
      <c r="D453" s="1">
        <v>740878</v>
      </c>
      <c r="E453" s="4">
        <v>208043.01976847608</v>
      </c>
      <c r="F453" s="4">
        <v>42823.541782468332</v>
      </c>
    </row>
    <row r="454" spans="1:6" x14ac:dyDescent="0.25">
      <c r="A454" t="s">
        <v>21</v>
      </c>
      <c r="B454" t="s">
        <v>90</v>
      </c>
      <c r="C454">
        <v>1.23</v>
      </c>
      <c r="D454" s="1">
        <v>162628</v>
      </c>
      <c r="E454" s="4">
        <v>581027.50593054283</v>
      </c>
      <c r="F454" s="4">
        <v>310570.05352882505</v>
      </c>
    </row>
    <row r="455" spans="1:6" x14ac:dyDescent="0.25">
      <c r="A455" t="s">
        <v>22</v>
      </c>
      <c r="B455" t="s">
        <v>90</v>
      </c>
      <c r="C455">
        <v>0.91</v>
      </c>
      <c r="D455" s="1">
        <v>108774</v>
      </c>
      <c r="E455" s="4">
        <v>288147.85177916283</v>
      </c>
      <c r="F455" s="4">
        <v>392373.73218868941</v>
      </c>
    </row>
    <row r="456" spans="1:6" x14ac:dyDescent="0.25">
      <c r="A456" t="s">
        <v>23</v>
      </c>
      <c r="B456" t="s">
        <v>90</v>
      </c>
      <c r="C456">
        <v>5.32</v>
      </c>
      <c r="D456" s="1">
        <v>637226</v>
      </c>
      <c r="E456" s="4">
        <v>162586.15553374885</v>
      </c>
      <c r="F456" s="4">
        <v>404617.61430736218</v>
      </c>
    </row>
    <row r="457" spans="1:6" x14ac:dyDescent="0.25">
      <c r="A457" t="s">
        <v>24</v>
      </c>
      <c r="B457" t="s">
        <v>90</v>
      </c>
      <c r="C457">
        <v>5.14</v>
      </c>
      <c r="D457" s="1">
        <v>609325</v>
      </c>
      <c r="E457" s="4">
        <v>494834.04666012462</v>
      </c>
      <c r="F457" s="4">
        <v>379699.9285488312</v>
      </c>
    </row>
    <row r="458" spans="1:6" x14ac:dyDescent="0.25">
      <c r="A458" t="s">
        <v>25</v>
      </c>
      <c r="B458" t="s">
        <v>90</v>
      </c>
      <c r="C458">
        <v>2.7</v>
      </c>
      <c r="D458" s="1">
        <v>316340</v>
      </c>
      <c r="E458" s="4">
        <v>574977.71399803739</v>
      </c>
      <c r="F458" s="4">
        <v>300314.35699597275</v>
      </c>
    </row>
    <row r="459" spans="1:6" x14ac:dyDescent="0.25">
      <c r="A459" t="s">
        <v>26</v>
      </c>
      <c r="B459" t="s">
        <v>90</v>
      </c>
      <c r="C459">
        <v>3.59</v>
      </c>
      <c r="D459" s="1">
        <v>421122</v>
      </c>
      <c r="E459" s="4">
        <v>393931.31419941119</v>
      </c>
      <c r="F459" s="4">
        <v>319000.85028818302</v>
      </c>
    </row>
    <row r="460" spans="1:6" x14ac:dyDescent="0.25">
      <c r="A460" t="s">
        <v>27</v>
      </c>
      <c r="B460" t="s">
        <v>90</v>
      </c>
      <c r="C460">
        <v>2.92</v>
      </c>
      <c r="D460" s="1">
        <v>353925</v>
      </c>
      <c r="E460" s="4">
        <v>412964.79425982333</v>
      </c>
      <c r="F460" s="4">
        <v>164053.83150367692</v>
      </c>
    </row>
    <row r="461" spans="1:6" x14ac:dyDescent="0.25">
      <c r="A461" t="s">
        <v>28</v>
      </c>
      <c r="B461" t="s">
        <v>90</v>
      </c>
      <c r="C461">
        <v>2.2400000000000002</v>
      </c>
      <c r="D461" s="1">
        <v>275014</v>
      </c>
      <c r="E461" s="4">
        <v>371636.93827794696</v>
      </c>
      <c r="F461" s="4">
        <v>153968.06790444048</v>
      </c>
    </row>
    <row r="462" spans="1:6" x14ac:dyDescent="0.25">
      <c r="A462" t="s">
        <v>29</v>
      </c>
      <c r="B462" t="s">
        <v>90</v>
      </c>
      <c r="C462">
        <v>3.36</v>
      </c>
      <c r="D462" s="1">
        <v>371102</v>
      </c>
      <c r="E462" s="4">
        <v>304000.88148338406</v>
      </c>
      <c r="F462" s="4">
        <v>67233.480999703708</v>
      </c>
    </row>
    <row r="463" spans="1:6" x14ac:dyDescent="0.25">
      <c r="A463" t="s">
        <v>30</v>
      </c>
      <c r="B463" t="s">
        <v>90</v>
      </c>
      <c r="C463">
        <v>4.8600000000000003</v>
      </c>
      <c r="D463" s="1">
        <v>551519</v>
      </c>
      <c r="E463" s="4">
        <v>350971.66444501519</v>
      </c>
      <c r="F463" s="4">
        <v>75991.775023983471</v>
      </c>
    </row>
    <row r="464" spans="1:6" x14ac:dyDescent="0.25">
      <c r="A464" t="s">
        <v>31</v>
      </c>
      <c r="B464" t="s">
        <v>90</v>
      </c>
      <c r="C464">
        <v>3.23</v>
      </c>
      <c r="D464" s="1">
        <v>416282</v>
      </c>
      <c r="E464" s="4">
        <v>491354.79933350452</v>
      </c>
      <c r="F464" s="4">
        <v>134235.84482277025</v>
      </c>
    </row>
    <row r="465" spans="1:6" x14ac:dyDescent="0.25">
      <c r="A465" t="s">
        <v>32</v>
      </c>
      <c r="B465" t="s">
        <v>90</v>
      </c>
      <c r="C465">
        <v>1.47</v>
      </c>
      <c r="D465" s="1">
        <v>186034</v>
      </c>
      <c r="E465" s="4">
        <v>438803.8398000513</v>
      </c>
      <c r="F465" s="4">
        <v>129560.43519551439</v>
      </c>
    </row>
    <row r="466" spans="1:6" x14ac:dyDescent="0.25">
      <c r="A466" t="s">
        <v>33</v>
      </c>
      <c r="B466" t="s">
        <v>90</v>
      </c>
      <c r="C466">
        <v>3</v>
      </c>
      <c r="D466" s="1">
        <v>346345</v>
      </c>
      <c r="E466" s="4">
        <v>261864.95194001537</v>
      </c>
      <c r="F466" s="4">
        <v>191265.74088643954</v>
      </c>
    </row>
    <row r="467" spans="1:6" x14ac:dyDescent="0.25">
      <c r="A467" t="s">
        <v>34</v>
      </c>
      <c r="B467" t="s">
        <v>90</v>
      </c>
      <c r="C467">
        <v>11.12</v>
      </c>
      <c r="D467" s="1">
        <v>1278271</v>
      </c>
      <c r="E467" s="4">
        <v>321000.98558200459</v>
      </c>
      <c r="F467" s="4">
        <v>159859.72562690655</v>
      </c>
    </row>
    <row r="468" spans="1:6" x14ac:dyDescent="0.25">
      <c r="A468" t="s">
        <v>35</v>
      </c>
      <c r="B468" t="s">
        <v>90</v>
      </c>
      <c r="C468">
        <v>5.46</v>
      </c>
      <c r="D468" s="1">
        <v>693509</v>
      </c>
      <c r="E468" s="4">
        <v>991089.99567460129</v>
      </c>
      <c r="F468" s="4">
        <v>573700.08161541168</v>
      </c>
    </row>
    <row r="469" spans="1:6" x14ac:dyDescent="0.25">
      <c r="A469" t="s">
        <v>36</v>
      </c>
      <c r="B469" t="s">
        <v>90</v>
      </c>
      <c r="C469">
        <v>4.63</v>
      </c>
      <c r="D469" s="1">
        <v>607544</v>
      </c>
      <c r="E469" s="4">
        <v>782783.29870238039</v>
      </c>
      <c r="F469" s="4">
        <v>580820.4564839676</v>
      </c>
    </row>
    <row r="470" spans="1:6" x14ac:dyDescent="0.25">
      <c r="A470" t="s">
        <v>37</v>
      </c>
      <c r="B470" t="s">
        <v>90</v>
      </c>
      <c r="C470">
        <v>5.71</v>
      </c>
      <c r="D470" s="1">
        <v>638376</v>
      </c>
      <c r="E470" s="4">
        <v>660115.78961071407</v>
      </c>
      <c r="F470" s="4">
        <v>587545.49931621423</v>
      </c>
    </row>
    <row r="471" spans="1:6" x14ac:dyDescent="0.25">
      <c r="A471" t="s">
        <v>38</v>
      </c>
      <c r="B471" t="s">
        <v>90</v>
      </c>
      <c r="C471">
        <v>6.09</v>
      </c>
      <c r="D471" s="1">
        <v>703808</v>
      </c>
      <c r="E471" s="4">
        <v>644897.93688321416</v>
      </c>
      <c r="F471" s="4">
        <v>199779.77812974239</v>
      </c>
    </row>
    <row r="472" spans="1:6" x14ac:dyDescent="0.25">
      <c r="A472" t="s">
        <v>39</v>
      </c>
      <c r="B472" t="s">
        <v>90</v>
      </c>
      <c r="C472">
        <v>5.22</v>
      </c>
      <c r="D472" s="1">
        <v>671686</v>
      </c>
      <c r="E472" s="4">
        <v>686134.9810649642</v>
      </c>
      <c r="F472" s="4">
        <v>107473.75772476415</v>
      </c>
    </row>
    <row r="473" spans="1:6" x14ac:dyDescent="0.25">
      <c r="A473" t="s">
        <v>40</v>
      </c>
      <c r="B473" t="s">
        <v>90</v>
      </c>
      <c r="C473">
        <v>2.5099999999999998</v>
      </c>
      <c r="D473" s="1">
        <v>335682</v>
      </c>
      <c r="E473" s="4">
        <v>676020.69431948918</v>
      </c>
      <c r="F473" s="4">
        <v>37201.196407989788</v>
      </c>
    </row>
    <row r="474" spans="1:6" x14ac:dyDescent="0.25">
      <c r="A474" t="s">
        <v>41</v>
      </c>
      <c r="B474" t="s">
        <v>90</v>
      </c>
      <c r="C474">
        <v>4.51</v>
      </c>
      <c r="D474" s="1">
        <v>568610</v>
      </c>
      <c r="E474" s="4">
        <v>437783.60829584673</v>
      </c>
      <c r="F474" s="4">
        <v>199590.91115022753</v>
      </c>
    </row>
    <row r="475" spans="1:6" x14ac:dyDescent="0.25">
      <c r="A475" t="s">
        <v>42</v>
      </c>
      <c r="B475" t="s">
        <v>90</v>
      </c>
      <c r="C475">
        <v>7.94</v>
      </c>
      <c r="D475" s="1">
        <v>972908</v>
      </c>
      <c r="E475" s="4">
        <v>529362.08248875407</v>
      </c>
      <c r="F475" s="4">
        <v>210677.27663517243</v>
      </c>
    </row>
    <row r="476" spans="1:6" x14ac:dyDescent="0.25">
      <c r="A476" t="s">
        <v>43</v>
      </c>
      <c r="B476" t="s">
        <v>90</v>
      </c>
      <c r="C476">
        <v>5.31</v>
      </c>
      <c r="D476" s="1">
        <v>734940</v>
      </c>
      <c r="E476" s="4">
        <v>839844.22474662622</v>
      </c>
      <c r="F476" s="4">
        <v>331501.10736784182</v>
      </c>
    </row>
    <row r="477" spans="1:6" x14ac:dyDescent="0.25">
      <c r="A477" t="s">
        <v>44</v>
      </c>
      <c r="B477" t="s">
        <v>90</v>
      </c>
      <c r="C477">
        <v>3.67</v>
      </c>
      <c r="D477" s="1">
        <v>495003</v>
      </c>
      <c r="E477" s="4">
        <v>766411.26742398785</v>
      </c>
      <c r="F477" s="4">
        <v>273772.0597363874</v>
      </c>
    </row>
    <row r="478" spans="1:6" x14ac:dyDescent="0.25">
      <c r="A478" t="s">
        <v>45</v>
      </c>
      <c r="B478" t="s">
        <v>90</v>
      </c>
      <c r="C478">
        <v>5.91</v>
      </c>
      <c r="D478" s="1">
        <v>809605</v>
      </c>
      <c r="E478" s="4">
        <v>576425.48022719636</v>
      </c>
      <c r="F478" s="4">
        <v>306268.03344819526</v>
      </c>
    </row>
    <row r="479" spans="1:6" x14ac:dyDescent="0.25">
      <c r="A479" t="s">
        <v>46</v>
      </c>
      <c r="B479" t="s">
        <v>90</v>
      </c>
      <c r="C479">
        <v>5.42</v>
      </c>
      <c r="D479" s="1">
        <v>721281</v>
      </c>
      <c r="E479" s="4">
        <v>739651.14406815893</v>
      </c>
      <c r="F479" s="4">
        <v>215282.78491111554</v>
      </c>
    </row>
    <row r="480" spans="1:6" x14ac:dyDescent="0.25">
      <c r="A480" t="s">
        <v>47</v>
      </c>
      <c r="B480" t="s">
        <v>90</v>
      </c>
      <c r="C480">
        <v>4.05</v>
      </c>
      <c r="D480" s="1">
        <v>586827</v>
      </c>
      <c r="E480" s="4">
        <v>726792.04322044761</v>
      </c>
      <c r="F480" s="4">
        <v>206859.53226013956</v>
      </c>
    </row>
    <row r="481" spans="1:6" x14ac:dyDescent="0.25">
      <c r="A481" t="s">
        <v>48</v>
      </c>
      <c r="B481" t="s">
        <v>90</v>
      </c>
      <c r="C481">
        <v>2.73</v>
      </c>
      <c r="D481" s="1">
        <v>382504</v>
      </c>
      <c r="E481" s="4">
        <v>628816.51296613424</v>
      </c>
      <c r="F481" s="4">
        <v>157374.67390303733</v>
      </c>
    </row>
    <row r="482" spans="1:6" x14ac:dyDescent="0.25">
      <c r="A482" t="s">
        <v>49</v>
      </c>
      <c r="B482" t="s">
        <v>90</v>
      </c>
      <c r="C482">
        <v>2.88</v>
      </c>
      <c r="D482" s="1">
        <v>401896</v>
      </c>
      <c r="E482" s="4">
        <v>456397.75388984021</v>
      </c>
      <c r="F482" s="4">
        <v>163908.03270988961</v>
      </c>
    </row>
    <row r="483" spans="1:6" x14ac:dyDescent="0.25">
      <c r="A483" t="s">
        <v>50</v>
      </c>
      <c r="B483" t="s">
        <v>90</v>
      </c>
      <c r="C483">
        <v>4.7699999999999996</v>
      </c>
      <c r="D483" s="1">
        <v>629605</v>
      </c>
      <c r="E483" s="4">
        <v>418246.52616695198</v>
      </c>
      <c r="F483" s="4">
        <v>166563.81013940024</v>
      </c>
    </row>
    <row r="484" spans="1:6" x14ac:dyDescent="0.25">
      <c r="A484" t="s">
        <v>51</v>
      </c>
      <c r="B484" t="s">
        <v>90</v>
      </c>
      <c r="C484">
        <v>4.58</v>
      </c>
      <c r="D484" s="1">
        <v>656181</v>
      </c>
      <c r="E484" s="4">
        <v>566197.45785008557</v>
      </c>
      <c r="F484" s="4">
        <v>190011.13974518792</v>
      </c>
    </row>
    <row r="485" spans="1:6" x14ac:dyDescent="0.25">
      <c r="A485" t="s">
        <v>52</v>
      </c>
      <c r="B485" t="s">
        <v>90</v>
      </c>
      <c r="C485">
        <v>3.7</v>
      </c>
      <c r="D485" s="1">
        <v>499772</v>
      </c>
      <c r="E485" s="4">
        <v>629185.93735502567</v>
      </c>
      <c r="F485" s="4">
        <v>136308.33123957046</v>
      </c>
    </row>
    <row r="486" spans="1:6" x14ac:dyDescent="0.25">
      <c r="A486" t="s">
        <v>53</v>
      </c>
      <c r="B486" t="s">
        <v>90</v>
      </c>
      <c r="C486">
        <v>6.29</v>
      </c>
      <c r="D486" s="1">
        <v>835361</v>
      </c>
      <c r="E486" s="4">
        <v>538596.18120650761</v>
      </c>
      <c r="F486" s="4">
        <v>152225.06309257046</v>
      </c>
    </row>
    <row r="487" spans="1:6" x14ac:dyDescent="0.25">
      <c r="A487" t="s">
        <v>54</v>
      </c>
      <c r="B487" t="s">
        <v>90</v>
      </c>
      <c r="C487">
        <v>4.91</v>
      </c>
      <c r="D487" s="1">
        <v>678980</v>
      </c>
      <c r="E487" s="4">
        <v>746331.55436195224</v>
      </c>
      <c r="F487" s="4">
        <v>194005.46617136875</v>
      </c>
    </row>
    <row r="488" spans="1:6" x14ac:dyDescent="0.25">
      <c r="A488" t="s">
        <v>55</v>
      </c>
      <c r="B488" t="s">
        <v>90</v>
      </c>
      <c r="C488">
        <v>4.68</v>
      </c>
      <c r="D488" s="1">
        <v>678030</v>
      </c>
      <c r="E488" s="4">
        <v>699185.4663085856</v>
      </c>
      <c r="F488" s="4">
        <v>190921.93581866202</v>
      </c>
    </row>
    <row r="489" spans="1:6" x14ac:dyDescent="0.25">
      <c r="A489" t="s">
        <v>56</v>
      </c>
      <c r="B489" t="s">
        <v>90</v>
      </c>
      <c r="C489">
        <v>3.46</v>
      </c>
      <c r="D489" s="1">
        <v>480173</v>
      </c>
      <c r="E489" s="4">
        <v>684376.63989257556</v>
      </c>
      <c r="F489" s="4">
        <v>176118.46704537552</v>
      </c>
    </row>
    <row r="490" spans="1:6" x14ac:dyDescent="0.25">
      <c r="A490" t="s">
        <v>57</v>
      </c>
      <c r="B490" t="s">
        <v>90</v>
      </c>
      <c r="C490">
        <v>5.35</v>
      </c>
      <c r="D490" s="1">
        <v>765149</v>
      </c>
      <c r="E490" s="4">
        <v>541434.09196777269</v>
      </c>
      <c r="F490" s="4">
        <v>124743.61997724425</v>
      </c>
    </row>
    <row r="491" spans="1:6" x14ac:dyDescent="0.25">
      <c r="A491" t="s">
        <v>58</v>
      </c>
      <c r="B491" t="s">
        <v>90</v>
      </c>
      <c r="C491">
        <v>6.64</v>
      </c>
      <c r="D491" s="1">
        <v>927810</v>
      </c>
      <c r="E491" s="4">
        <v>698034.52759033174</v>
      </c>
      <c r="F491" s="4">
        <v>175304.53538150716</v>
      </c>
    </row>
    <row r="492" spans="1:6" x14ac:dyDescent="0.25">
      <c r="A492" t="s">
        <v>59</v>
      </c>
      <c r="B492" t="s">
        <v>90</v>
      </c>
      <c r="C492">
        <v>7.59</v>
      </c>
      <c r="D492" s="1">
        <v>1023406</v>
      </c>
      <c r="E492" s="4">
        <v>858877.35827709956</v>
      </c>
      <c r="F492" s="4">
        <v>219502.66083605972</v>
      </c>
    </row>
    <row r="493" spans="1:6" x14ac:dyDescent="0.25">
      <c r="A493" t="s">
        <v>60</v>
      </c>
      <c r="B493" t="s">
        <v>90</v>
      </c>
      <c r="C493">
        <v>12</v>
      </c>
      <c r="D493" s="1">
        <v>1030511</v>
      </c>
      <c r="E493" s="4">
        <v>974047.40748312976</v>
      </c>
      <c r="F493" s="4">
        <v>208098.37556961426</v>
      </c>
    </row>
    <row r="494" spans="1:6" x14ac:dyDescent="0.25">
      <c r="A494" t="s">
        <v>61</v>
      </c>
      <c r="B494" t="s">
        <v>90</v>
      </c>
      <c r="C494">
        <v>12.56</v>
      </c>
      <c r="D494" s="1">
        <v>1474642</v>
      </c>
      <c r="E494" s="4">
        <v>1013571.9222449388</v>
      </c>
      <c r="F494" s="4">
        <v>166387.67877878851</v>
      </c>
    </row>
    <row r="495" spans="1:6" x14ac:dyDescent="0.25">
      <c r="A495" t="s">
        <v>62</v>
      </c>
      <c r="B495" t="s">
        <v>90</v>
      </c>
      <c r="C495">
        <v>1.39</v>
      </c>
      <c r="D495" s="1">
        <v>184459</v>
      </c>
      <c r="E495" s="4">
        <v>1336320.9766734815</v>
      </c>
      <c r="F495" s="4">
        <v>284513.28488499555</v>
      </c>
    </row>
    <row r="496" spans="1:6" x14ac:dyDescent="0.25">
      <c r="A496" t="s">
        <v>63</v>
      </c>
      <c r="B496" t="s">
        <v>90</v>
      </c>
      <c r="C496">
        <v>0.57999999999999996</v>
      </c>
      <c r="D496" s="1">
        <v>80592</v>
      </c>
      <c r="E496" s="4">
        <v>530017.59300204436</v>
      </c>
      <c r="F496" s="4">
        <v>717068.0505101101</v>
      </c>
    </row>
    <row r="497" spans="1:6" x14ac:dyDescent="0.25">
      <c r="A497" t="s">
        <v>64</v>
      </c>
      <c r="B497" t="s">
        <v>90</v>
      </c>
      <c r="C497">
        <v>0.95</v>
      </c>
      <c r="D497" s="1">
        <v>119812</v>
      </c>
      <c r="E497" s="4">
        <v>215419.67790061329</v>
      </c>
      <c r="F497" s="4">
        <v>761873.78516226634</v>
      </c>
    </row>
    <row r="498" spans="1:6" x14ac:dyDescent="0.25">
      <c r="A498" t="s">
        <v>65</v>
      </c>
      <c r="B498" t="s">
        <v>90</v>
      </c>
      <c r="C498">
        <v>3.24</v>
      </c>
      <c r="D498" s="1">
        <v>486291</v>
      </c>
      <c r="E498" s="4">
        <v>148494.30337018397</v>
      </c>
      <c r="F498" s="4">
        <v>715986.54666712065</v>
      </c>
    </row>
    <row r="499" spans="1:6" x14ac:dyDescent="0.25">
      <c r="A499" t="s">
        <v>66</v>
      </c>
      <c r="B499" t="s">
        <v>90</v>
      </c>
      <c r="C499">
        <v>2.7</v>
      </c>
      <c r="D499" s="1">
        <v>392427</v>
      </c>
      <c r="E499" s="4">
        <v>384951.99101105513</v>
      </c>
      <c r="F499" s="4">
        <v>329257.14366980846</v>
      </c>
    </row>
    <row r="500" spans="1:6" x14ac:dyDescent="0.25">
      <c r="A500" t="s">
        <v>67</v>
      </c>
      <c r="B500" t="s">
        <v>90</v>
      </c>
      <c r="C500">
        <v>4.58</v>
      </c>
      <c r="D500" s="1">
        <v>655636</v>
      </c>
      <c r="E500" s="4">
        <v>390184.49730331649</v>
      </c>
      <c r="F500" s="4">
        <v>202734.0721955309</v>
      </c>
    </row>
    <row r="501" spans="1:6" x14ac:dyDescent="0.25">
      <c r="A501" t="s">
        <v>68</v>
      </c>
      <c r="B501" t="s">
        <v>90</v>
      </c>
      <c r="C501">
        <v>1.3</v>
      </c>
      <c r="D501" s="1">
        <v>153193</v>
      </c>
      <c r="E501" s="4">
        <v>576000.54919099493</v>
      </c>
      <c r="F501" s="4">
        <v>248077.26235813991</v>
      </c>
    </row>
    <row r="502" spans="1:6" x14ac:dyDescent="0.25">
      <c r="A502" t="s">
        <v>69</v>
      </c>
      <c r="B502" t="s">
        <v>90</v>
      </c>
      <c r="C502">
        <v>3.11</v>
      </c>
      <c r="D502" s="1">
        <v>432075</v>
      </c>
      <c r="E502" s="4">
        <v>280035.26475729846</v>
      </c>
      <c r="F502" s="4">
        <v>288262.95848074072</v>
      </c>
    </row>
    <row r="503" spans="1:6" x14ac:dyDescent="0.25">
      <c r="A503" t="s">
        <v>70</v>
      </c>
      <c r="B503" t="s">
        <v>90</v>
      </c>
      <c r="C503">
        <v>3.03</v>
      </c>
      <c r="D503" s="1">
        <v>408149</v>
      </c>
      <c r="E503" s="4">
        <v>386463.07942718954</v>
      </c>
      <c r="F503" s="4">
        <v>301300.95974484482</v>
      </c>
    </row>
    <row r="504" spans="1:6" x14ac:dyDescent="0.25">
      <c r="A504" t="s">
        <v>71</v>
      </c>
      <c r="B504" t="s">
        <v>90</v>
      </c>
      <c r="C504">
        <v>2.15</v>
      </c>
      <c r="D504" s="1">
        <v>308690</v>
      </c>
      <c r="E504" s="4">
        <v>401643.22382815683</v>
      </c>
      <c r="F504" s="4">
        <v>259713.03644385189</v>
      </c>
    </row>
    <row r="505" spans="1:6" x14ac:dyDescent="0.25">
      <c r="A505" t="s">
        <v>72</v>
      </c>
      <c r="B505" t="s">
        <v>90</v>
      </c>
      <c r="C505">
        <v>1.61</v>
      </c>
      <c r="D505" s="1">
        <v>221205</v>
      </c>
      <c r="E505" s="4">
        <v>336575.96714844706</v>
      </c>
      <c r="F505" s="4">
        <v>103644.68480311062</v>
      </c>
    </row>
    <row r="506" spans="1:6" x14ac:dyDescent="0.25">
      <c r="A506" t="s">
        <v>73</v>
      </c>
      <c r="B506" t="s">
        <v>90</v>
      </c>
      <c r="C506">
        <v>2.34</v>
      </c>
      <c r="D506" s="1">
        <v>320843</v>
      </c>
      <c r="E506" s="4">
        <v>255816.29014453411</v>
      </c>
      <c r="F506" s="4">
        <v>86450.450224209781</v>
      </c>
    </row>
    <row r="507" spans="1:6" x14ac:dyDescent="0.25">
      <c r="A507" t="s">
        <v>74</v>
      </c>
      <c r="B507" t="s">
        <v>90</v>
      </c>
      <c r="C507">
        <v>1.54</v>
      </c>
      <c r="D507" s="1">
        <v>218773</v>
      </c>
      <c r="E507" s="4">
        <v>301334.98704336019</v>
      </c>
      <c r="F507" s="4">
        <v>93415.264411912227</v>
      </c>
    </row>
    <row r="508" spans="1:6" x14ac:dyDescent="0.25">
      <c r="A508" t="s">
        <v>75</v>
      </c>
      <c r="B508" t="s">
        <v>90</v>
      </c>
      <c r="C508">
        <v>0.97</v>
      </c>
      <c r="D508" s="1">
        <v>144733</v>
      </c>
      <c r="E508" s="4">
        <v>243541.59611300804</v>
      </c>
      <c r="F508" s="4">
        <v>90102.561487716084</v>
      </c>
    </row>
    <row r="509" spans="1:6" x14ac:dyDescent="0.25">
      <c r="A509" t="s">
        <v>76</v>
      </c>
      <c r="B509" t="s">
        <v>90</v>
      </c>
      <c r="C509">
        <v>1.19</v>
      </c>
      <c r="D509" s="1">
        <v>156446</v>
      </c>
      <c r="E509" s="4">
        <v>174375.5788339024</v>
      </c>
      <c r="F509" s="4">
        <v>83282.838098050881</v>
      </c>
    </row>
    <row r="510" spans="1:6" x14ac:dyDescent="0.25">
      <c r="A510" t="s">
        <v>77</v>
      </c>
      <c r="B510" t="s">
        <v>90</v>
      </c>
      <c r="C510">
        <v>0.68</v>
      </c>
      <c r="D510" s="1">
        <v>98549</v>
      </c>
      <c r="E510" s="4">
        <v>161824.87365017072</v>
      </c>
      <c r="F510" s="4">
        <v>75057.955757606949</v>
      </c>
    </row>
    <row r="511" spans="1:6" x14ac:dyDescent="0.25">
      <c r="A511" t="s">
        <v>78</v>
      </c>
      <c r="B511" t="s">
        <v>90</v>
      </c>
      <c r="C511">
        <v>2.81</v>
      </c>
      <c r="D511" s="1">
        <v>412658</v>
      </c>
      <c r="E511" s="4">
        <v>117531.76209505121</v>
      </c>
      <c r="F511" s="4">
        <v>68528.448226939639</v>
      </c>
    </row>
    <row r="512" spans="1:6" x14ac:dyDescent="0.25">
      <c r="A512" t="s">
        <v>79</v>
      </c>
      <c r="B512" t="s">
        <v>90</v>
      </c>
      <c r="C512">
        <v>0.77</v>
      </c>
      <c r="D512" s="1">
        <v>113729</v>
      </c>
      <c r="E512" s="4">
        <v>324120.12862851535</v>
      </c>
      <c r="F512" s="4">
        <v>174570.71373637475</v>
      </c>
    </row>
    <row r="513" spans="1:6" x14ac:dyDescent="0.25">
      <c r="A513" t="s">
        <v>80</v>
      </c>
      <c r="B513" t="s">
        <v>90</v>
      </c>
      <c r="C513">
        <v>1.23</v>
      </c>
      <c r="D513" s="1">
        <v>170652</v>
      </c>
      <c r="E513" s="4">
        <v>176846.33858855459</v>
      </c>
      <c r="F513" s="4">
        <v>212420.7769904671</v>
      </c>
    </row>
    <row r="514" spans="1:6" x14ac:dyDescent="0.25">
      <c r="A514" t="s">
        <v>81</v>
      </c>
      <c r="B514" t="s">
        <v>90</v>
      </c>
      <c r="C514">
        <v>1.1000000000000001</v>
      </c>
      <c r="D514" s="1">
        <v>160541</v>
      </c>
      <c r="E514" s="4">
        <v>172510.30157656636</v>
      </c>
      <c r="F514" s="4">
        <v>209286.32152791589</v>
      </c>
    </row>
    <row r="515" spans="1:6" x14ac:dyDescent="0.25">
      <c r="A515" t="s">
        <v>82</v>
      </c>
      <c r="B515" t="s">
        <v>90</v>
      </c>
      <c r="C515">
        <v>2.2000000000000002</v>
      </c>
      <c r="D515" s="1">
        <v>331390</v>
      </c>
      <c r="E515" s="4">
        <v>164131.79047296991</v>
      </c>
      <c r="F515" s="4">
        <v>121718.33745216994</v>
      </c>
    </row>
    <row r="516" spans="1:6" x14ac:dyDescent="0.25">
      <c r="A516" t="s">
        <v>83</v>
      </c>
      <c r="B516" t="s">
        <v>90</v>
      </c>
      <c r="C516">
        <v>1.53</v>
      </c>
      <c r="D516" s="1">
        <v>225589</v>
      </c>
      <c r="E516" s="4">
        <v>281212.53714189096</v>
      </c>
      <c r="F516" s="4">
        <v>96879.551789784047</v>
      </c>
    </row>
    <row r="517" spans="1:6" x14ac:dyDescent="0.25">
      <c r="A517" t="s">
        <v>84</v>
      </c>
      <c r="B517" t="s">
        <v>90</v>
      </c>
      <c r="C517">
        <v>1.22</v>
      </c>
      <c r="D517" s="1">
        <v>175879</v>
      </c>
      <c r="E517" s="4">
        <v>242276.06114256725</v>
      </c>
      <c r="F517" s="4">
        <v>102000.8998630143</v>
      </c>
    </row>
    <row r="518" spans="1:6" x14ac:dyDescent="0.25">
      <c r="A518" t="s">
        <v>7</v>
      </c>
      <c r="B518" t="s">
        <v>91</v>
      </c>
      <c r="C518">
        <v>12.75</v>
      </c>
      <c r="D518" s="1">
        <v>658720</v>
      </c>
      <c r="E518" s="4">
        <v>195798.11834277015</v>
      </c>
      <c r="F518" s="4">
        <v>108747.19347602039</v>
      </c>
    </row>
    <row r="519" spans="1:6" x14ac:dyDescent="0.25">
      <c r="A519" t="s">
        <v>10</v>
      </c>
      <c r="B519" t="s">
        <v>91</v>
      </c>
      <c r="C519">
        <v>9.5500000000000007</v>
      </c>
      <c r="D519" s="1">
        <v>487791</v>
      </c>
      <c r="E519" s="4">
        <v>519843.43550283101</v>
      </c>
      <c r="F519" s="4">
        <v>271906.36631606321</v>
      </c>
    </row>
    <row r="520" spans="1:6" x14ac:dyDescent="0.25">
      <c r="A520" t="s">
        <v>11</v>
      </c>
      <c r="B520" t="s">
        <v>91</v>
      </c>
      <c r="C520">
        <v>7.36</v>
      </c>
      <c r="D520" s="1">
        <v>394118</v>
      </c>
      <c r="E520" s="4">
        <v>497406.73065084929</v>
      </c>
      <c r="F520" s="4">
        <v>270636.65486349241</v>
      </c>
    </row>
    <row r="521" spans="1:6" x14ac:dyDescent="0.25">
      <c r="A521" t="s">
        <v>12</v>
      </c>
      <c r="B521" t="s">
        <v>91</v>
      </c>
      <c r="C521">
        <v>12.03</v>
      </c>
      <c r="D521" s="1">
        <v>604925</v>
      </c>
      <c r="E521" s="4">
        <v>425104.61919525475</v>
      </c>
      <c r="F521" s="4">
        <v>274464.68444239913</v>
      </c>
    </row>
    <row r="522" spans="1:6" x14ac:dyDescent="0.25">
      <c r="A522" t="s">
        <v>13</v>
      </c>
      <c r="B522" t="s">
        <v>91</v>
      </c>
      <c r="C522">
        <v>7.1</v>
      </c>
      <c r="D522" s="1">
        <v>380299</v>
      </c>
      <c r="E522" s="4">
        <v>550978.88575857645</v>
      </c>
      <c r="F522" s="4">
        <v>121149.06775523894</v>
      </c>
    </row>
    <row r="523" spans="1:6" x14ac:dyDescent="0.25">
      <c r="A523" t="s">
        <v>14</v>
      </c>
      <c r="B523" t="s">
        <v>91</v>
      </c>
      <c r="C523">
        <v>10.31</v>
      </c>
      <c r="D523" s="1">
        <v>497289</v>
      </c>
      <c r="E523" s="4">
        <v>431502.96572757291</v>
      </c>
      <c r="F523" s="4">
        <v>155065.09884001192</v>
      </c>
    </row>
    <row r="524" spans="1:6" x14ac:dyDescent="0.25">
      <c r="A524" t="s">
        <v>15</v>
      </c>
      <c r="B524" t="s">
        <v>91</v>
      </c>
      <c r="C524">
        <v>8.6300000000000008</v>
      </c>
      <c r="D524" s="1">
        <v>429452</v>
      </c>
      <c r="E524" s="4">
        <v>477553.18971827184</v>
      </c>
      <c r="F524" s="4">
        <v>148093.20833022386</v>
      </c>
    </row>
    <row r="525" spans="1:6" x14ac:dyDescent="0.25">
      <c r="A525" t="s">
        <v>16</v>
      </c>
      <c r="B525" t="s">
        <v>91</v>
      </c>
      <c r="C525">
        <v>17.059999999999999</v>
      </c>
      <c r="D525" s="1">
        <v>847783</v>
      </c>
      <c r="E525" s="4">
        <v>443882.3569154815</v>
      </c>
      <c r="F525" s="4">
        <v>109198.82502445839</v>
      </c>
    </row>
    <row r="526" spans="1:6" x14ac:dyDescent="0.25">
      <c r="A526" t="s">
        <v>17</v>
      </c>
      <c r="B526" t="s">
        <v>91</v>
      </c>
      <c r="C526">
        <v>3.41</v>
      </c>
      <c r="D526" s="1">
        <v>179607</v>
      </c>
      <c r="E526" s="4">
        <v>726612.80707464437</v>
      </c>
      <c r="F526" s="4">
        <v>237891.61134271053</v>
      </c>
    </row>
    <row r="527" spans="1:6" x14ac:dyDescent="0.25">
      <c r="A527" t="s">
        <v>18</v>
      </c>
      <c r="B527" t="s">
        <v>91</v>
      </c>
      <c r="C527">
        <v>8.5299999999999994</v>
      </c>
      <c r="D527" s="1">
        <v>423671</v>
      </c>
      <c r="E527" s="4">
        <v>343708.74212239333</v>
      </c>
      <c r="F527" s="4">
        <v>393558.46956955193</v>
      </c>
    </row>
    <row r="528" spans="1:6" x14ac:dyDescent="0.25">
      <c r="A528" t="s">
        <v>19</v>
      </c>
      <c r="B528" t="s">
        <v>91</v>
      </c>
      <c r="C528">
        <v>4.91</v>
      </c>
      <c r="D528" s="1">
        <v>250911</v>
      </c>
      <c r="E528" s="4">
        <v>399682.32263671793</v>
      </c>
      <c r="F528" s="4">
        <v>395282.61836410814</v>
      </c>
    </row>
    <row r="529" spans="1:6" x14ac:dyDescent="0.25">
      <c r="A529" t="s">
        <v>20</v>
      </c>
      <c r="B529" t="s">
        <v>91</v>
      </c>
      <c r="C529">
        <v>18.79</v>
      </c>
      <c r="D529" s="1">
        <v>852820</v>
      </c>
      <c r="E529" s="4">
        <v>295542.39679101534</v>
      </c>
      <c r="F529" s="4">
        <v>330525.95566124929</v>
      </c>
    </row>
    <row r="530" spans="1:6" x14ac:dyDescent="0.25">
      <c r="A530" t="s">
        <v>21</v>
      </c>
      <c r="B530" t="s">
        <v>91</v>
      </c>
      <c r="C530">
        <v>5.32</v>
      </c>
      <c r="D530" s="1">
        <v>270537</v>
      </c>
      <c r="E530" s="4">
        <v>685636.71903730463</v>
      </c>
      <c r="F530" s="4">
        <v>336196.96417542396</v>
      </c>
    </row>
    <row r="531" spans="1:6" x14ac:dyDescent="0.25">
      <c r="A531" t="s">
        <v>22</v>
      </c>
      <c r="B531" t="s">
        <v>91</v>
      </c>
      <c r="C531">
        <v>8.32</v>
      </c>
      <c r="D531" s="1">
        <v>409404</v>
      </c>
      <c r="E531" s="4">
        <v>395066.91571119137</v>
      </c>
      <c r="F531" s="4">
        <v>410284.05209979351</v>
      </c>
    </row>
    <row r="532" spans="1:6" x14ac:dyDescent="0.25">
      <c r="A532" t="s">
        <v>23</v>
      </c>
      <c r="B532" t="s">
        <v>91</v>
      </c>
      <c r="C532">
        <v>4.49</v>
      </c>
      <c r="D532" s="1">
        <v>207428</v>
      </c>
      <c r="E532" s="4">
        <v>405102.87471335742</v>
      </c>
      <c r="F532" s="4">
        <v>401277.81555472023</v>
      </c>
    </row>
    <row r="533" spans="1:6" x14ac:dyDescent="0.25">
      <c r="A533" t="s">
        <v>24</v>
      </c>
      <c r="B533" t="s">
        <v>91</v>
      </c>
      <c r="C533">
        <v>1.92</v>
      </c>
      <c r="D533" s="1">
        <v>82426</v>
      </c>
      <c r="E533" s="4">
        <v>266730.46241400717</v>
      </c>
      <c r="F533" s="4">
        <v>265574.02284089907</v>
      </c>
    </row>
    <row r="534" spans="1:6" x14ac:dyDescent="0.25">
      <c r="A534" t="s">
        <v>25</v>
      </c>
      <c r="B534" t="s">
        <v>91</v>
      </c>
      <c r="C534">
        <v>0.92</v>
      </c>
      <c r="D534" s="1">
        <v>44185</v>
      </c>
      <c r="E534" s="4">
        <v>137717.33872420213</v>
      </c>
      <c r="F534" s="4">
        <v>156257.31230309632</v>
      </c>
    </row>
    <row r="535" spans="1:6" x14ac:dyDescent="0.25">
      <c r="A535" t="s">
        <v>26</v>
      </c>
      <c r="B535" t="s">
        <v>91</v>
      </c>
      <c r="C535">
        <v>4.01</v>
      </c>
      <c r="D535" s="1">
        <v>198473</v>
      </c>
      <c r="E535" s="4">
        <v>72244.701617260638</v>
      </c>
      <c r="F535" s="4">
        <v>165117.92689456488</v>
      </c>
    </row>
    <row r="536" spans="1:6" x14ac:dyDescent="0.25">
      <c r="A536" t="s">
        <v>27</v>
      </c>
      <c r="B536" t="s">
        <v>91</v>
      </c>
      <c r="C536">
        <v>6.83</v>
      </c>
      <c r="D536" s="1">
        <v>324437</v>
      </c>
      <c r="E536" s="4">
        <v>160604.51048517818</v>
      </c>
      <c r="F536" s="4">
        <v>139821.33428717396</v>
      </c>
    </row>
    <row r="537" spans="1:6" x14ac:dyDescent="0.25">
      <c r="A537" t="s">
        <v>28</v>
      </c>
      <c r="B537" t="s">
        <v>91</v>
      </c>
      <c r="C537">
        <v>0.41</v>
      </c>
      <c r="D537" s="1">
        <v>18475</v>
      </c>
      <c r="E537" s="4">
        <v>275287.25314555346</v>
      </c>
      <c r="F537" s="4">
        <v>131050.83787147257</v>
      </c>
    </row>
    <row r="538" spans="1:6" x14ac:dyDescent="0.25">
      <c r="A538" t="s">
        <v>29</v>
      </c>
      <c r="B538" t="s">
        <v>91</v>
      </c>
      <c r="C538">
        <v>10.220000000000001</v>
      </c>
      <c r="D538" s="1">
        <v>528465</v>
      </c>
      <c r="E538" s="4">
        <v>95518.675943666036</v>
      </c>
      <c r="F538" s="4">
        <v>190374.36915975314</v>
      </c>
    </row>
    <row r="539" spans="1:6" x14ac:dyDescent="0.25">
      <c r="A539" t="s">
        <v>30</v>
      </c>
      <c r="B539" t="s">
        <v>91</v>
      </c>
      <c r="C539">
        <v>14.89</v>
      </c>
      <c r="D539" s="1">
        <v>744046</v>
      </c>
      <c r="E539" s="4">
        <v>398581.10278309981</v>
      </c>
      <c r="F539" s="4">
        <v>305633.84274880955</v>
      </c>
    </row>
    <row r="540" spans="1:6" x14ac:dyDescent="0.25">
      <c r="A540" t="s">
        <v>31</v>
      </c>
      <c r="B540" t="s">
        <v>91</v>
      </c>
      <c r="C540">
        <v>15.67</v>
      </c>
      <c r="D540" s="1">
        <v>753415</v>
      </c>
      <c r="E540" s="4">
        <v>640406.5308349299</v>
      </c>
      <c r="F540" s="4">
        <v>352486.90192623774</v>
      </c>
    </row>
    <row r="541" spans="1:6" x14ac:dyDescent="0.25">
      <c r="A541" t="s">
        <v>32</v>
      </c>
      <c r="B541" t="s">
        <v>91</v>
      </c>
      <c r="C541">
        <v>22.05</v>
      </c>
      <c r="D541" s="1">
        <v>1031232</v>
      </c>
      <c r="E541" s="4">
        <v>719512.45925047901</v>
      </c>
      <c r="F541" s="4">
        <v>326373.72689704876</v>
      </c>
    </row>
    <row r="542" spans="1:6" x14ac:dyDescent="0.25">
      <c r="A542" t="s">
        <v>33</v>
      </c>
      <c r="B542" t="s">
        <v>91</v>
      </c>
      <c r="C542">
        <v>10.59</v>
      </c>
      <c r="D542" s="1">
        <v>529652</v>
      </c>
      <c r="E542" s="4">
        <v>937716.13777514361</v>
      </c>
      <c r="F542" s="4">
        <v>276457.3393233323</v>
      </c>
    </row>
    <row r="543" spans="1:6" x14ac:dyDescent="0.25">
      <c r="A543" t="s">
        <v>34</v>
      </c>
      <c r="B543" t="s">
        <v>91</v>
      </c>
      <c r="C543">
        <v>17.43</v>
      </c>
      <c r="D543" s="1">
        <v>843771</v>
      </c>
      <c r="E543" s="4">
        <v>652071.24133254308</v>
      </c>
      <c r="F543" s="4">
        <v>303565.65831589949</v>
      </c>
    </row>
    <row r="544" spans="1:6" x14ac:dyDescent="0.25">
      <c r="A544" t="s">
        <v>35</v>
      </c>
      <c r="B544" t="s">
        <v>91</v>
      </c>
      <c r="C544">
        <v>12.5</v>
      </c>
      <c r="D544" s="1">
        <v>598265</v>
      </c>
      <c r="E544" s="4">
        <v>786261.07239976292</v>
      </c>
      <c r="F544" s="4">
        <v>316456.532084279</v>
      </c>
    </row>
    <row r="545" spans="1:6" x14ac:dyDescent="0.25">
      <c r="A545" t="s">
        <v>36</v>
      </c>
      <c r="B545" t="s">
        <v>91</v>
      </c>
      <c r="C545">
        <v>23.72</v>
      </c>
      <c r="D545" s="1">
        <v>1094441</v>
      </c>
      <c r="E545" s="4">
        <v>654663.82171992888</v>
      </c>
      <c r="F545" s="4">
        <v>282021.0756007841</v>
      </c>
    </row>
    <row r="546" spans="1:6" x14ac:dyDescent="0.25">
      <c r="A546" t="s">
        <v>37</v>
      </c>
      <c r="B546" t="s">
        <v>91</v>
      </c>
      <c r="C546">
        <v>11.25</v>
      </c>
      <c r="D546" s="1">
        <v>563324</v>
      </c>
      <c r="E546" s="4">
        <v>962507.84651597857</v>
      </c>
      <c r="F546" s="4">
        <v>297486.85531010141</v>
      </c>
    </row>
    <row r="547" spans="1:6" x14ac:dyDescent="0.25">
      <c r="A547" t="s">
        <v>38</v>
      </c>
      <c r="B547" t="s">
        <v>91</v>
      </c>
      <c r="C547">
        <v>15.44</v>
      </c>
      <c r="D547" s="1">
        <v>750390</v>
      </c>
      <c r="E547" s="4">
        <v>683079.15395479347</v>
      </c>
      <c r="F547" s="4">
        <v>359673.10764684214</v>
      </c>
    </row>
    <row r="548" spans="1:6" x14ac:dyDescent="0.25">
      <c r="A548" t="s">
        <v>39</v>
      </c>
      <c r="B548" t="s">
        <v>91</v>
      </c>
      <c r="C548">
        <v>12.57</v>
      </c>
      <c r="D548" s="1">
        <v>611861</v>
      </c>
      <c r="E548" s="4">
        <v>730196.74618643802</v>
      </c>
      <c r="F548" s="4">
        <v>345100.20759705687</v>
      </c>
    </row>
    <row r="549" spans="1:6" x14ac:dyDescent="0.25">
      <c r="A549" t="s">
        <v>40</v>
      </c>
      <c r="B549" t="s">
        <v>91</v>
      </c>
      <c r="C549">
        <v>25.09</v>
      </c>
      <c r="D549" s="1">
        <v>1177108</v>
      </c>
      <c r="E549" s="4">
        <v>647361.72385593131</v>
      </c>
      <c r="F549" s="4">
        <v>243503.48535501151</v>
      </c>
    </row>
    <row r="550" spans="1:6" x14ac:dyDescent="0.25">
      <c r="A550" t="s">
        <v>41</v>
      </c>
      <c r="B550" t="s">
        <v>91</v>
      </c>
      <c r="C550">
        <v>14.01</v>
      </c>
      <c r="D550" s="1">
        <v>709011</v>
      </c>
      <c r="E550" s="4">
        <v>1018184.1171567794</v>
      </c>
      <c r="F550" s="4">
        <v>315787.4896769083</v>
      </c>
    </row>
    <row r="551" spans="1:6" x14ac:dyDescent="0.25">
      <c r="A551" t="s">
        <v>42</v>
      </c>
      <c r="B551" t="s">
        <v>91</v>
      </c>
      <c r="C551">
        <v>18.670000000000002</v>
      </c>
      <c r="D551" s="1">
        <v>904100</v>
      </c>
      <c r="E551" s="4">
        <v>801762.93514703377</v>
      </c>
      <c r="F551" s="4">
        <v>360657.95535680279</v>
      </c>
    </row>
    <row r="552" spans="1:6" x14ac:dyDescent="0.25">
      <c r="A552" t="s">
        <v>43</v>
      </c>
      <c r="B552" t="s">
        <v>91</v>
      </c>
      <c r="C552">
        <v>17.34</v>
      </c>
      <c r="D552" s="1">
        <v>826251</v>
      </c>
      <c r="E552" s="4">
        <v>873398.88054411008</v>
      </c>
      <c r="F552" s="4">
        <v>359022.75150918023</v>
      </c>
    </row>
    <row r="553" spans="1:6" x14ac:dyDescent="0.25">
      <c r="A553" t="s">
        <v>44</v>
      </c>
      <c r="B553" t="s">
        <v>91</v>
      </c>
      <c r="C553">
        <v>25.59</v>
      </c>
      <c r="D553" s="1">
        <v>1186408</v>
      </c>
      <c r="E553" s="4">
        <v>840395.36416323297</v>
      </c>
      <c r="F553" s="4">
        <v>189985.80109660962</v>
      </c>
    </row>
    <row r="554" spans="1:6" x14ac:dyDescent="0.25">
      <c r="A554" t="s">
        <v>45</v>
      </c>
      <c r="B554" t="s">
        <v>91</v>
      </c>
      <c r="C554">
        <v>14</v>
      </c>
      <c r="D554" s="1">
        <v>708082</v>
      </c>
      <c r="E554" s="4">
        <v>1082604.2092489698</v>
      </c>
      <c r="F554" s="4">
        <v>210095.64618781692</v>
      </c>
    </row>
    <row r="555" spans="1:6" x14ac:dyDescent="0.25">
      <c r="A555" t="s">
        <v>46</v>
      </c>
      <c r="B555" t="s">
        <v>91</v>
      </c>
      <c r="C555">
        <v>21.05</v>
      </c>
      <c r="D555" s="1">
        <v>1001947</v>
      </c>
      <c r="E555" s="4">
        <v>820438.66277469089</v>
      </c>
      <c r="F555" s="4">
        <v>295643.11369128712</v>
      </c>
    </row>
    <row r="556" spans="1:6" x14ac:dyDescent="0.25">
      <c r="A556" t="s">
        <v>47</v>
      </c>
      <c r="B556" t="s">
        <v>91</v>
      </c>
      <c r="C556">
        <v>16.010000000000002</v>
      </c>
      <c r="D556" s="1">
        <v>755536</v>
      </c>
      <c r="E556" s="4">
        <v>947494.49883240717</v>
      </c>
      <c r="F556" s="4">
        <v>312483.0159980607</v>
      </c>
    </row>
    <row r="557" spans="1:6" x14ac:dyDescent="0.25">
      <c r="A557" t="s">
        <v>48</v>
      </c>
      <c r="B557" t="s">
        <v>91</v>
      </c>
      <c r="C557">
        <v>27.78</v>
      </c>
      <c r="D557" s="1">
        <v>1256035</v>
      </c>
      <c r="E557" s="4">
        <v>813123.54964972218</v>
      </c>
      <c r="F557" s="4">
        <v>264613.06781602011</v>
      </c>
    </row>
    <row r="558" spans="1:6" x14ac:dyDescent="0.25">
      <c r="A558" t="s">
        <v>49</v>
      </c>
      <c r="B558" t="s">
        <v>91</v>
      </c>
      <c r="C558">
        <v>14.54</v>
      </c>
      <c r="D558" s="1">
        <v>763232</v>
      </c>
      <c r="E558" s="4">
        <v>1123161.5648949167</v>
      </c>
      <c r="F558" s="4">
        <v>297749.27629784675</v>
      </c>
    </row>
    <row r="559" spans="1:6" x14ac:dyDescent="0.25">
      <c r="A559" t="s">
        <v>50</v>
      </c>
      <c r="B559" t="s">
        <v>91</v>
      </c>
      <c r="C559">
        <v>23.08</v>
      </c>
      <c r="D559" s="1">
        <v>1095187</v>
      </c>
      <c r="E559" s="4">
        <v>871210.86946847499</v>
      </c>
      <c r="F559" s="4">
        <v>347643.4523142075</v>
      </c>
    </row>
    <row r="560" spans="1:6" x14ac:dyDescent="0.25">
      <c r="A560" t="s">
        <v>51</v>
      </c>
      <c r="B560" t="s">
        <v>91</v>
      </c>
      <c r="C560">
        <v>16.22</v>
      </c>
      <c r="D560" s="1">
        <v>782868</v>
      </c>
      <c r="E560" s="4">
        <v>1027994.1608405424</v>
      </c>
      <c r="F560" s="4">
        <v>353970.40911386244</v>
      </c>
    </row>
    <row r="561" spans="1:6" x14ac:dyDescent="0.25">
      <c r="A561" t="s">
        <v>52</v>
      </c>
      <c r="B561" t="s">
        <v>91</v>
      </c>
      <c r="C561">
        <v>30.94</v>
      </c>
      <c r="D561" s="1">
        <v>1410340</v>
      </c>
      <c r="E561" s="4">
        <v>856405.84825216269</v>
      </c>
      <c r="F561" s="4">
        <v>282725.68180820445</v>
      </c>
    </row>
    <row r="562" spans="1:6" x14ac:dyDescent="0.25">
      <c r="A562" t="s">
        <v>53</v>
      </c>
      <c r="B562" t="s">
        <v>91</v>
      </c>
      <c r="C562">
        <v>16.29</v>
      </c>
      <c r="D562" s="1">
        <v>836964</v>
      </c>
      <c r="E562" s="4">
        <v>1244159.7544756487</v>
      </c>
      <c r="F562" s="4">
        <v>372869.58678555622</v>
      </c>
    </row>
    <row r="563" spans="1:6" x14ac:dyDescent="0.25">
      <c r="A563" t="s">
        <v>54</v>
      </c>
      <c r="B563" t="s">
        <v>91</v>
      </c>
      <c r="C563">
        <v>24.17</v>
      </c>
      <c r="D563" s="1">
        <v>1159877</v>
      </c>
      <c r="E563" s="4">
        <v>959122.7263426946</v>
      </c>
      <c r="F563" s="4">
        <v>421401.73297540052</v>
      </c>
    </row>
    <row r="564" spans="1:6" x14ac:dyDescent="0.25">
      <c r="A564" t="s">
        <v>55</v>
      </c>
      <c r="B564" t="s">
        <v>91</v>
      </c>
      <c r="C564">
        <v>16.59</v>
      </c>
      <c r="D564" s="1">
        <v>808889</v>
      </c>
      <c r="E564" s="4">
        <v>1099650.7179028082</v>
      </c>
      <c r="F564" s="4">
        <v>413502.80342752259</v>
      </c>
    </row>
    <row r="565" spans="1:6" x14ac:dyDescent="0.25">
      <c r="A565" t="s">
        <v>56</v>
      </c>
      <c r="B565" t="s">
        <v>91</v>
      </c>
      <c r="C565">
        <v>29.56</v>
      </c>
      <c r="D565" s="1">
        <v>1360789</v>
      </c>
      <c r="E565" s="4">
        <v>896117.5153708423</v>
      </c>
      <c r="F565" s="4">
        <v>311262.50307013496</v>
      </c>
    </row>
    <row r="566" spans="1:6" x14ac:dyDescent="0.25">
      <c r="A566" t="s">
        <v>57</v>
      </c>
      <c r="B566" t="s">
        <v>91</v>
      </c>
      <c r="C566">
        <v>16.21</v>
      </c>
      <c r="D566" s="1">
        <v>820598</v>
      </c>
      <c r="E566" s="4">
        <v>1221387.5546112526</v>
      </c>
      <c r="F566" s="4">
        <v>337028.30920509237</v>
      </c>
    </row>
    <row r="567" spans="1:6" x14ac:dyDescent="0.25">
      <c r="A567" t="s">
        <v>58</v>
      </c>
      <c r="B567" t="s">
        <v>91</v>
      </c>
      <c r="C567">
        <v>27.19</v>
      </c>
      <c r="D567" s="1">
        <v>1242612</v>
      </c>
      <c r="E567" s="4">
        <v>940834.86638337583</v>
      </c>
      <c r="F567" s="4">
        <v>392043.46370895492</v>
      </c>
    </row>
    <row r="568" spans="1:6" x14ac:dyDescent="0.25">
      <c r="A568" t="s">
        <v>59</v>
      </c>
      <c r="B568" t="s">
        <v>91</v>
      </c>
      <c r="C568">
        <v>23.92</v>
      </c>
      <c r="D568" s="1">
        <v>1044383</v>
      </c>
      <c r="E568" s="4">
        <v>1152078.8599150127</v>
      </c>
      <c r="F568" s="4">
        <v>394808.51649325632</v>
      </c>
    </row>
    <row r="569" spans="1:6" x14ac:dyDescent="0.25">
      <c r="A569" t="s">
        <v>60</v>
      </c>
      <c r="B569" t="s">
        <v>91</v>
      </c>
      <c r="C569">
        <v>41.61</v>
      </c>
      <c r="D569" s="1">
        <v>1681481</v>
      </c>
      <c r="E569" s="4">
        <v>1076691.7579745038</v>
      </c>
      <c r="F569" s="4">
        <v>296254.45352612343</v>
      </c>
    </row>
    <row r="570" spans="1:6" x14ac:dyDescent="0.25">
      <c r="A570" t="s">
        <v>61</v>
      </c>
      <c r="B570" t="s">
        <v>91</v>
      </c>
      <c r="C570">
        <v>23.7</v>
      </c>
      <c r="D570" s="1">
        <v>1048674</v>
      </c>
      <c r="E570" s="4">
        <v>1500044.227392351</v>
      </c>
      <c r="F570" s="4">
        <v>395153.07746343658</v>
      </c>
    </row>
    <row r="571" spans="1:6" x14ac:dyDescent="0.25">
      <c r="A571" t="s">
        <v>62</v>
      </c>
      <c r="B571" t="s">
        <v>91</v>
      </c>
      <c r="C571">
        <v>25.8</v>
      </c>
      <c r="D571" s="1">
        <v>1185325</v>
      </c>
      <c r="E571" s="4">
        <v>1184085.0682177052</v>
      </c>
      <c r="F571" s="4">
        <v>440114.95001829957</v>
      </c>
    </row>
    <row r="572" spans="1:6" x14ac:dyDescent="0.25">
      <c r="A572" t="s">
        <v>63</v>
      </c>
      <c r="B572" t="s">
        <v>91</v>
      </c>
      <c r="C572">
        <v>17.62</v>
      </c>
      <c r="D572" s="1">
        <v>782358</v>
      </c>
      <c r="E572" s="4">
        <v>1184953.0204653116</v>
      </c>
      <c r="F572" s="4">
        <v>435701.21523693338</v>
      </c>
    </row>
    <row r="573" spans="1:6" x14ac:dyDescent="0.25">
      <c r="A573" t="s">
        <v>64</v>
      </c>
      <c r="B573" t="s">
        <v>91</v>
      </c>
      <c r="C573">
        <v>32.01</v>
      </c>
      <c r="D573" s="1">
        <v>1470543</v>
      </c>
      <c r="E573" s="4">
        <v>903136.50613959343</v>
      </c>
      <c r="F573" s="4">
        <v>349198.78298304154</v>
      </c>
    </row>
    <row r="574" spans="1:6" x14ac:dyDescent="0.25">
      <c r="A574" t="s">
        <v>65</v>
      </c>
      <c r="B574" t="s">
        <v>91</v>
      </c>
      <c r="C574">
        <v>13.32</v>
      </c>
      <c r="D574" s="1">
        <v>629864</v>
      </c>
      <c r="E574" s="4">
        <v>1300321.0518418779</v>
      </c>
      <c r="F574" s="4">
        <v>401677.48970587878</v>
      </c>
    </row>
    <row r="575" spans="1:6" x14ac:dyDescent="0.25">
      <c r="A575" t="s">
        <v>66</v>
      </c>
      <c r="B575" t="s">
        <v>91</v>
      </c>
      <c r="C575">
        <v>30.51</v>
      </c>
      <c r="D575" s="1">
        <v>1288271</v>
      </c>
      <c r="E575" s="4">
        <v>831001.11555256334</v>
      </c>
      <c r="F575" s="4">
        <v>557836.75573382783</v>
      </c>
    </row>
    <row r="576" spans="1:6" x14ac:dyDescent="0.25">
      <c r="A576" t="s">
        <v>67</v>
      </c>
      <c r="B576" t="s">
        <v>91</v>
      </c>
      <c r="C576">
        <v>17.170000000000002</v>
      </c>
      <c r="D576" s="1">
        <v>805520</v>
      </c>
      <c r="E576" s="4">
        <v>1151090.034665769</v>
      </c>
      <c r="F576" s="4">
        <v>571710.45552273351</v>
      </c>
    </row>
    <row r="577" spans="1:6" x14ac:dyDescent="0.25">
      <c r="A577" t="s">
        <v>68</v>
      </c>
      <c r="B577" t="s">
        <v>91</v>
      </c>
      <c r="C577">
        <v>29.01</v>
      </c>
      <c r="D577" s="1">
        <v>1240160</v>
      </c>
      <c r="E577" s="4">
        <v>909191.01039973064</v>
      </c>
      <c r="F577" s="4">
        <v>509256.66562352603</v>
      </c>
    </row>
    <row r="578" spans="1:6" x14ac:dyDescent="0.25">
      <c r="A578" t="s">
        <v>69</v>
      </c>
      <c r="B578" t="s">
        <v>91</v>
      </c>
      <c r="C578">
        <v>11.07</v>
      </c>
      <c r="D578" s="1">
        <v>547870</v>
      </c>
      <c r="E578" s="4">
        <v>1140869.3031199193</v>
      </c>
      <c r="F578" s="4">
        <v>382123.39549701131</v>
      </c>
    </row>
    <row r="579" spans="1:6" x14ac:dyDescent="0.25">
      <c r="A579" t="s">
        <v>70</v>
      </c>
      <c r="B579" t="s">
        <v>91</v>
      </c>
      <c r="C579">
        <v>29.8</v>
      </c>
      <c r="D579" s="1">
        <v>1273395</v>
      </c>
      <c r="E579" s="4">
        <v>725769.79093597573</v>
      </c>
      <c r="F579" s="4">
        <v>439926.99941264268</v>
      </c>
    </row>
    <row r="580" spans="1:6" x14ac:dyDescent="0.25">
      <c r="A580" t="s">
        <v>71</v>
      </c>
      <c r="B580" t="s">
        <v>91</v>
      </c>
      <c r="C580">
        <v>21.52</v>
      </c>
      <c r="D580" s="1">
        <v>1040483</v>
      </c>
      <c r="E580" s="4">
        <v>1109107.4372807927</v>
      </c>
      <c r="F580" s="4">
        <v>503680.45927954145</v>
      </c>
    </row>
    <row r="581" spans="1:6" x14ac:dyDescent="0.25">
      <c r="A581" t="s">
        <v>72</v>
      </c>
      <c r="B581" t="s">
        <v>91</v>
      </c>
      <c r="C581">
        <v>31</v>
      </c>
      <c r="D581" s="1">
        <v>1374872</v>
      </c>
      <c r="E581" s="4">
        <v>1061070.3311842377</v>
      </c>
      <c r="F581" s="4">
        <v>467707.47855728219</v>
      </c>
    </row>
    <row r="582" spans="1:6" x14ac:dyDescent="0.25">
      <c r="A582" t="s">
        <v>73</v>
      </c>
      <c r="B582" t="s">
        <v>91</v>
      </c>
      <c r="C582">
        <v>20.420000000000002</v>
      </c>
      <c r="D582" s="1">
        <v>884287</v>
      </c>
      <c r="E582" s="4">
        <v>1280731.4993552712</v>
      </c>
      <c r="F582" s="4">
        <v>366548.84637934185</v>
      </c>
    </row>
    <row r="583" spans="1:6" x14ac:dyDescent="0.25">
      <c r="A583" t="s">
        <v>74</v>
      </c>
      <c r="B583" t="s">
        <v>91</v>
      </c>
      <c r="C583">
        <v>29.7</v>
      </c>
      <c r="D583" s="1">
        <v>1278603</v>
      </c>
      <c r="E583" s="4">
        <v>1003220.3498065813</v>
      </c>
      <c r="F583" s="4">
        <v>294589.56861635728</v>
      </c>
    </row>
    <row r="584" spans="1:6" x14ac:dyDescent="0.25">
      <c r="A584" t="s">
        <v>75</v>
      </c>
      <c r="B584" t="s">
        <v>91</v>
      </c>
      <c r="C584">
        <v>21</v>
      </c>
      <c r="D584" s="1">
        <v>957519</v>
      </c>
      <c r="E584" s="4">
        <v>1195988.2049419745</v>
      </c>
      <c r="F584" s="4">
        <v>332403.03470744658</v>
      </c>
    </row>
    <row r="585" spans="1:6" x14ac:dyDescent="0.25">
      <c r="A585" t="s">
        <v>76</v>
      </c>
      <c r="B585" t="s">
        <v>91</v>
      </c>
      <c r="C585">
        <v>33.57</v>
      </c>
      <c r="D585" s="1">
        <v>1495464</v>
      </c>
      <c r="E585" s="4">
        <v>1029059.7614825922</v>
      </c>
      <c r="F585" s="4">
        <v>310843.69426999794</v>
      </c>
    </row>
    <row r="586" spans="1:6" x14ac:dyDescent="0.25">
      <c r="A586" t="s">
        <v>77</v>
      </c>
      <c r="B586" t="s">
        <v>91</v>
      </c>
      <c r="C586">
        <v>15.42</v>
      </c>
      <c r="D586" s="1">
        <v>727470</v>
      </c>
      <c r="E586" s="4">
        <v>1355542.7284447777</v>
      </c>
      <c r="F586" s="4">
        <v>341680.20108487963</v>
      </c>
    </row>
    <row r="587" spans="1:6" x14ac:dyDescent="0.25">
      <c r="A587" t="s">
        <v>78</v>
      </c>
      <c r="B587" t="s">
        <v>91</v>
      </c>
      <c r="C587">
        <v>35.770000000000003</v>
      </c>
      <c r="D587" s="1">
        <v>1498556</v>
      </c>
      <c r="E587" s="4">
        <v>915891.81853343325</v>
      </c>
      <c r="F587" s="4">
        <v>472184.93115470762</v>
      </c>
    </row>
    <row r="588" spans="1:6" x14ac:dyDescent="0.25">
      <c r="A588" t="s">
        <v>79</v>
      </c>
      <c r="B588" t="s">
        <v>91</v>
      </c>
      <c r="C588">
        <v>23.1</v>
      </c>
      <c r="D588" s="1">
        <v>1045834</v>
      </c>
      <c r="E588" s="4">
        <v>1323756.74556003</v>
      </c>
      <c r="F588" s="4">
        <v>563177.24098403647</v>
      </c>
    </row>
    <row r="589" spans="1:6" x14ac:dyDescent="0.25">
      <c r="A589" t="s">
        <v>80</v>
      </c>
      <c r="B589" t="s">
        <v>91</v>
      </c>
      <c r="C589">
        <v>30.56</v>
      </c>
      <c r="D589" s="1">
        <v>1426537</v>
      </c>
      <c r="E589" s="4">
        <v>1129210.8236680089</v>
      </c>
      <c r="F589" s="4">
        <v>520004.47212172986</v>
      </c>
    </row>
    <row r="590" spans="1:6" x14ac:dyDescent="0.25">
      <c r="A590" t="s">
        <v>81</v>
      </c>
      <c r="B590" t="s">
        <v>91</v>
      </c>
      <c r="C590">
        <v>18.46</v>
      </c>
      <c r="D590" s="1">
        <v>886579</v>
      </c>
      <c r="E590" s="4">
        <v>1337339.1471004025</v>
      </c>
      <c r="F590" s="4">
        <v>410341.91271667246</v>
      </c>
    </row>
    <row r="591" spans="1:6" x14ac:dyDescent="0.25">
      <c r="A591" t="s">
        <v>82</v>
      </c>
      <c r="B591" t="s">
        <v>91</v>
      </c>
      <c r="C591">
        <v>35.76</v>
      </c>
      <c r="D591" s="1">
        <v>1499009</v>
      </c>
      <c r="E591" s="4">
        <v>1021807.0441301207</v>
      </c>
      <c r="F591" s="4">
        <v>350632.10437047546</v>
      </c>
    </row>
    <row r="592" spans="1:6" x14ac:dyDescent="0.25">
      <c r="A592" t="s">
        <v>83</v>
      </c>
      <c r="B592" t="s">
        <v>91</v>
      </c>
      <c r="C592">
        <v>18.059999999999999</v>
      </c>
      <c r="D592" s="1">
        <v>808923</v>
      </c>
      <c r="E592" s="4">
        <v>1355848.4132390362</v>
      </c>
      <c r="F592" s="4">
        <v>416056.59552205837</v>
      </c>
    </row>
    <row r="593" spans="1:6" x14ac:dyDescent="0.25">
      <c r="A593" t="s">
        <v>84</v>
      </c>
      <c r="B593" t="s">
        <v>91</v>
      </c>
      <c r="C593">
        <v>31.51</v>
      </c>
      <c r="D593" s="1">
        <v>1416840</v>
      </c>
      <c r="E593" s="4">
        <v>973000.62397171091</v>
      </c>
      <c r="F593" s="4">
        <v>493299.71435450384</v>
      </c>
    </row>
    <row r="594" spans="1:6" x14ac:dyDescent="0.25">
      <c r="A594" t="s">
        <v>7</v>
      </c>
      <c r="B594" t="s">
        <v>92</v>
      </c>
      <c r="C594">
        <v>3.27</v>
      </c>
      <c r="D594" s="1">
        <v>65426</v>
      </c>
      <c r="E594" s="4">
        <v>1283688.1871915131</v>
      </c>
      <c r="F594" s="4">
        <v>491203.45616519899</v>
      </c>
    </row>
    <row r="595" spans="1:6" x14ac:dyDescent="0.25">
      <c r="A595" t="s">
        <v>10</v>
      </c>
      <c r="B595" t="s">
        <v>92</v>
      </c>
      <c r="C595">
        <v>3.57</v>
      </c>
      <c r="D595" s="1">
        <v>70344</v>
      </c>
      <c r="E595" s="4">
        <v>430904.65615745395</v>
      </c>
      <c r="F595" s="4">
        <v>812462.0106196804</v>
      </c>
    </row>
    <row r="596" spans="1:6" x14ac:dyDescent="0.25">
      <c r="A596" t="s">
        <v>11</v>
      </c>
      <c r="B596" t="s">
        <v>92</v>
      </c>
      <c r="C596">
        <v>5.85</v>
      </c>
      <c r="D596" s="1">
        <v>122882</v>
      </c>
      <c r="E596" s="4">
        <v>178512.19684723616</v>
      </c>
      <c r="F596" s="4">
        <v>776994.23747810035</v>
      </c>
    </row>
    <row r="597" spans="1:6" x14ac:dyDescent="0.25">
      <c r="A597" t="s">
        <v>12</v>
      </c>
      <c r="B597" t="s">
        <v>92</v>
      </c>
      <c r="C597">
        <v>3.18</v>
      </c>
      <c r="D597" s="1">
        <v>56132</v>
      </c>
      <c r="E597" s="4">
        <v>139571.05905417085</v>
      </c>
      <c r="F597" s="4">
        <v>734225.54716077214</v>
      </c>
    </row>
    <row r="598" spans="1:6" x14ac:dyDescent="0.25">
      <c r="A598" t="s">
        <v>13</v>
      </c>
      <c r="B598" t="s">
        <v>92</v>
      </c>
      <c r="C598">
        <v>4.38</v>
      </c>
      <c r="D598" s="1">
        <v>89032</v>
      </c>
      <c r="E598" s="4">
        <v>81163.717716251238</v>
      </c>
      <c r="F598" s="4">
        <v>216071.57930170686</v>
      </c>
    </row>
    <row r="599" spans="1:6" x14ac:dyDescent="0.25">
      <c r="A599" t="s">
        <v>14</v>
      </c>
      <c r="B599" t="s">
        <v>92</v>
      </c>
      <c r="C599">
        <v>1.1200000000000001</v>
      </c>
      <c r="D599" s="1">
        <v>22706</v>
      </c>
      <c r="E599" s="4">
        <v>86671.51531487536</v>
      </c>
      <c r="F599" s="4">
        <v>58076.688505241094</v>
      </c>
    </row>
    <row r="600" spans="1:6" x14ac:dyDescent="0.25">
      <c r="A600" t="s">
        <v>15</v>
      </c>
      <c r="B600" t="s">
        <v>92</v>
      </c>
      <c r="C600">
        <v>9.24</v>
      </c>
      <c r="D600" s="1">
        <v>186541</v>
      </c>
      <c r="E600" s="4">
        <v>41895.654594462605</v>
      </c>
      <c r="F600" s="4">
        <v>60870.281723896871</v>
      </c>
    </row>
    <row r="601" spans="1:6" x14ac:dyDescent="0.25">
      <c r="A601" t="s">
        <v>16</v>
      </c>
      <c r="B601" t="s">
        <v>92</v>
      </c>
      <c r="C601">
        <v>3.85</v>
      </c>
      <c r="D601" s="1">
        <v>71816</v>
      </c>
      <c r="E601" s="4">
        <v>143147.39637833877</v>
      </c>
      <c r="F601" s="4">
        <v>91425.33012078132</v>
      </c>
    </row>
    <row r="602" spans="1:6" x14ac:dyDescent="0.25">
      <c r="A602" t="s">
        <v>17</v>
      </c>
      <c r="B602" t="s">
        <v>92</v>
      </c>
      <c r="C602">
        <v>1.9</v>
      </c>
      <c r="D602" s="1">
        <v>38850</v>
      </c>
      <c r="E602" s="4">
        <v>93215.418913501635</v>
      </c>
      <c r="F602" s="4">
        <v>100169.90766737027</v>
      </c>
    </row>
    <row r="603" spans="1:6" x14ac:dyDescent="0.25">
      <c r="A603" t="s">
        <v>18</v>
      </c>
      <c r="B603" t="s">
        <v>92</v>
      </c>
      <c r="C603">
        <v>0.57999999999999996</v>
      </c>
      <c r="D603" s="1">
        <v>11674</v>
      </c>
      <c r="E603" s="4">
        <v>55159.62567405049</v>
      </c>
      <c r="F603" s="4">
        <v>98261.628371084618</v>
      </c>
    </row>
    <row r="604" spans="1:6" x14ac:dyDescent="0.25">
      <c r="A604" t="s">
        <v>19</v>
      </c>
      <c r="B604" t="s">
        <v>92</v>
      </c>
      <c r="C604">
        <v>4.24</v>
      </c>
      <c r="D604" s="1">
        <v>88723</v>
      </c>
      <c r="E604" s="4">
        <v>24719.687702215146</v>
      </c>
      <c r="F604" s="4">
        <v>57546.40597867615</v>
      </c>
    </row>
    <row r="605" spans="1:6" x14ac:dyDescent="0.25">
      <c r="A605" t="s">
        <v>20</v>
      </c>
      <c r="B605" t="s">
        <v>92</v>
      </c>
      <c r="C605">
        <v>1.37</v>
      </c>
      <c r="D605" s="1">
        <v>28145</v>
      </c>
      <c r="E605" s="4">
        <v>69522.006310664539</v>
      </c>
      <c r="F605" s="4">
        <v>54598.603153658121</v>
      </c>
    </row>
    <row r="606" spans="1:6" x14ac:dyDescent="0.25">
      <c r="A606" t="s">
        <v>21</v>
      </c>
      <c r="B606" t="s">
        <v>92</v>
      </c>
      <c r="C606">
        <v>1.69</v>
      </c>
      <c r="D606" s="1">
        <v>35566</v>
      </c>
      <c r="E606" s="4">
        <v>40558.10189319936</v>
      </c>
      <c r="F606" s="4">
        <v>50660.570718538722</v>
      </c>
    </row>
    <row r="607" spans="1:6" x14ac:dyDescent="0.25">
      <c r="A607" t="s">
        <v>22</v>
      </c>
      <c r="B607" t="s">
        <v>92</v>
      </c>
      <c r="C607">
        <v>2.33</v>
      </c>
      <c r="D607" s="1">
        <v>48563</v>
      </c>
      <c r="E607" s="4">
        <v>37063.630567959801</v>
      </c>
      <c r="F607" s="4">
        <v>44096.113652008818</v>
      </c>
    </row>
    <row r="608" spans="1:6" x14ac:dyDescent="0.25">
      <c r="A608" t="s">
        <v>23</v>
      </c>
      <c r="B608" t="s">
        <v>92</v>
      </c>
      <c r="C608">
        <v>2.67</v>
      </c>
      <c r="D608" s="1">
        <v>59369</v>
      </c>
      <c r="E608" s="4">
        <v>45113.189170387937</v>
      </c>
      <c r="F608" s="4">
        <v>24961.391720544474</v>
      </c>
    </row>
    <row r="609" spans="1:6" x14ac:dyDescent="0.25">
      <c r="A609" t="s">
        <v>24</v>
      </c>
      <c r="B609" t="s">
        <v>92</v>
      </c>
      <c r="C609">
        <v>0</v>
      </c>
      <c r="D609">
        <v>0</v>
      </c>
      <c r="E609" s="4">
        <v>55092.25675111638</v>
      </c>
      <c r="F609" s="4">
        <v>10960.302931584658</v>
      </c>
    </row>
    <row r="610" spans="1:6" x14ac:dyDescent="0.25">
      <c r="A610" t="s">
        <v>25</v>
      </c>
      <c r="B610" t="s">
        <v>92</v>
      </c>
      <c r="C610">
        <v>1.95</v>
      </c>
      <c r="D610" s="1">
        <v>40869</v>
      </c>
      <c r="E610" s="4">
        <v>16527.677025334913</v>
      </c>
      <c r="F610" s="4">
        <v>33519.25015905116</v>
      </c>
    </row>
    <row r="611" spans="1:6" x14ac:dyDescent="0.25">
      <c r="A611" t="s">
        <v>26</v>
      </c>
      <c r="B611" t="s">
        <v>92</v>
      </c>
      <c r="C611">
        <v>1.23</v>
      </c>
      <c r="D611" s="1">
        <v>25504</v>
      </c>
      <c r="E611" s="4">
        <v>33566.603107600473</v>
      </c>
      <c r="F611" s="4">
        <v>35734.599948777803</v>
      </c>
    </row>
    <row r="612" spans="1:6" x14ac:dyDescent="0.25">
      <c r="A612" t="s">
        <v>27</v>
      </c>
      <c r="B612" t="s">
        <v>92</v>
      </c>
      <c r="C612">
        <v>2.58</v>
      </c>
      <c r="D612" s="1">
        <v>52010</v>
      </c>
      <c r="E612" s="4">
        <v>27922.78093228014</v>
      </c>
      <c r="F612" s="4">
        <v>35084.0055056364</v>
      </c>
    </row>
    <row r="613" spans="1:6" x14ac:dyDescent="0.25">
      <c r="A613" t="s">
        <v>28</v>
      </c>
      <c r="B613" t="s">
        <v>92</v>
      </c>
      <c r="C613">
        <v>0.69</v>
      </c>
      <c r="D613" s="1">
        <v>14444</v>
      </c>
      <c r="E613" s="4">
        <v>44783.834279684044</v>
      </c>
      <c r="F613" s="4">
        <v>20311.73466614783</v>
      </c>
    </row>
    <row r="614" spans="1:6" x14ac:dyDescent="0.25">
      <c r="A614" t="s">
        <v>29</v>
      </c>
      <c r="B614" t="s">
        <v>92</v>
      </c>
      <c r="C614">
        <v>4.9000000000000004</v>
      </c>
      <c r="D614" s="1">
        <v>103520</v>
      </c>
      <c r="E614" s="4">
        <v>23545.950283905215</v>
      </c>
      <c r="F614" s="4">
        <v>22845.168967097525</v>
      </c>
    </row>
    <row r="615" spans="1:6" x14ac:dyDescent="0.25">
      <c r="A615" t="s">
        <v>30</v>
      </c>
      <c r="B615" t="s">
        <v>92</v>
      </c>
      <c r="C615">
        <v>4.6399999999999997</v>
      </c>
      <c r="D615" s="1">
        <v>93834</v>
      </c>
      <c r="E615" s="4">
        <v>79527.785085171563</v>
      </c>
      <c r="F615" s="4">
        <v>51304.802551442226</v>
      </c>
    </row>
    <row r="616" spans="1:6" x14ac:dyDescent="0.25">
      <c r="A616" t="s">
        <v>31</v>
      </c>
      <c r="B616" t="s">
        <v>92</v>
      </c>
      <c r="C616">
        <v>14.4</v>
      </c>
      <c r="D616" s="1">
        <v>306644</v>
      </c>
      <c r="E616" s="4">
        <v>89542.135525551479</v>
      </c>
      <c r="F616" s="4">
        <v>50070.024157175292</v>
      </c>
    </row>
    <row r="617" spans="1:6" x14ac:dyDescent="0.25">
      <c r="A617" t="s">
        <v>32</v>
      </c>
      <c r="B617" t="s">
        <v>92</v>
      </c>
      <c r="C617">
        <v>11.11</v>
      </c>
      <c r="D617" s="1">
        <v>234600</v>
      </c>
      <c r="E617" s="4">
        <v>241513.44065766543</v>
      </c>
      <c r="F617" s="4">
        <v>133832.90075247252</v>
      </c>
    </row>
    <row r="618" spans="1:6" x14ac:dyDescent="0.25">
      <c r="A618" t="s">
        <v>33</v>
      </c>
      <c r="B618" t="s">
        <v>92</v>
      </c>
      <c r="C618">
        <v>12.77</v>
      </c>
      <c r="D618" s="1">
        <v>259712</v>
      </c>
      <c r="E618" s="4">
        <v>236674.03219729965</v>
      </c>
      <c r="F618" s="4">
        <v>125679.06615025183</v>
      </c>
    </row>
    <row r="619" spans="1:6" x14ac:dyDescent="0.25">
      <c r="A619" t="s">
        <v>34</v>
      </c>
      <c r="B619" t="s">
        <v>92</v>
      </c>
      <c r="C619">
        <v>8.81</v>
      </c>
      <c r="D619" s="1">
        <v>170806</v>
      </c>
      <c r="E619" s="4">
        <v>252800.60965918988</v>
      </c>
      <c r="F619" s="4">
        <v>126110.74918563594</v>
      </c>
    </row>
    <row r="620" spans="1:6" x14ac:dyDescent="0.25">
      <c r="A620" t="s">
        <v>35</v>
      </c>
      <c r="B620" t="s">
        <v>92</v>
      </c>
      <c r="C620">
        <v>15.1</v>
      </c>
      <c r="D620" s="1">
        <v>302248</v>
      </c>
      <c r="E620" s="4">
        <v>195404.38289775696</v>
      </c>
      <c r="F620" s="4">
        <v>49334.435692756684</v>
      </c>
    </row>
    <row r="621" spans="1:6" x14ac:dyDescent="0.25">
      <c r="A621" t="s">
        <v>36</v>
      </c>
      <c r="B621" t="s">
        <v>92</v>
      </c>
      <c r="C621">
        <v>16.96</v>
      </c>
      <c r="D621" s="1">
        <v>346051</v>
      </c>
      <c r="E621" s="4">
        <v>270194.91486932704</v>
      </c>
      <c r="F621" s="4">
        <v>78886.886297474251</v>
      </c>
    </row>
    <row r="622" spans="1:6" x14ac:dyDescent="0.25">
      <c r="A622" t="s">
        <v>37</v>
      </c>
      <c r="B622" t="s">
        <v>92</v>
      </c>
      <c r="C622">
        <v>13.81</v>
      </c>
      <c r="D622" s="1">
        <v>280345</v>
      </c>
      <c r="E622" s="4">
        <v>323294.17446079809</v>
      </c>
      <c r="F622" s="4">
        <v>89242.777821710464</v>
      </c>
    </row>
    <row r="623" spans="1:6" x14ac:dyDescent="0.25">
      <c r="A623" t="s">
        <v>38</v>
      </c>
      <c r="B623" t="s">
        <v>92</v>
      </c>
      <c r="C623">
        <v>11.11</v>
      </c>
      <c r="D623" s="1">
        <v>215681</v>
      </c>
      <c r="E623" s="4">
        <v>293229.75233823946</v>
      </c>
      <c r="F623" s="4">
        <v>79612.259846723551</v>
      </c>
    </row>
    <row r="624" spans="1:6" x14ac:dyDescent="0.25">
      <c r="A624" t="s">
        <v>39</v>
      </c>
      <c r="B624" t="s">
        <v>92</v>
      </c>
      <c r="C624">
        <v>17.7</v>
      </c>
      <c r="D624" s="1">
        <v>346294</v>
      </c>
      <c r="E624" s="4">
        <v>238945.62570147181</v>
      </c>
      <c r="F624" s="4">
        <v>67361.181272880436</v>
      </c>
    </row>
    <row r="625" spans="1:6" x14ac:dyDescent="0.25">
      <c r="A625" t="s">
        <v>40</v>
      </c>
      <c r="B625" t="s">
        <v>92</v>
      </c>
      <c r="C625">
        <v>17.09</v>
      </c>
      <c r="D625" s="1">
        <v>342975</v>
      </c>
      <c r="E625" s="4">
        <v>314089.48771044152</v>
      </c>
      <c r="F625" s="4">
        <v>80378.508820493749</v>
      </c>
    </row>
    <row r="626" spans="1:6" x14ac:dyDescent="0.25">
      <c r="A626" t="s">
        <v>41</v>
      </c>
      <c r="B626" t="s">
        <v>92</v>
      </c>
      <c r="C626">
        <v>14.53</v>
      </c>
      <c r="D626" s="1">
        <v>303055</v>
      </c>
      <c r="E626" s="4">
        <v>334309.34631313244</v>
      </c>
      <c r="F626" s="4">
        <v>78255.681953420572</v>
      </c>
    </row>
    <row r="627" spans="1:6" x14ac:dyDescent="0.25">
      <c r="A627" t="s">
        <v>42</v>
      </c>
      <c r="B627" t="s">
        <v>92</v>
      </c>
      <c r="C627">
        <v>12.44</v>
      </c>
      <c r="D627" s="1">
        <v>246562</v>
      </c>
      <c r="E627" s="4">
        <v>312431.30389393971</v>
      </c>
      <c r="F627" s="4">
        <v>66670.534341712395</v>
      </c>
    </row>
    <row r="628" spans="1:6" x14ac:dyDescent="0.25">
      <c r="A628" t="s">
        <v>43</v>
      </c>
      <c r="B628" t="s">
        <v>92</v>
      </c>
      <c r="C628">
        <v>19.32</v>
      </c>
      <c r="D628" s="1">
        <v>404626</v>
      </c>
      <c r="E628" s="4">
        <v>266322.79116818192</v>
      </c>
      <c r="F628" s="4">
        <v>45276.823280657365</v>
      </c>
    </row>
    <row r="629" spans="1:6" x14ac:dyDescent="0.25">
      <c r="A629" t="s">
        <v>44</v>
      </c>
      <c r="B629" t="s">
        <v>92</v>
      </c>
      <c r="C629">
        <v>18.670000000000002</v>
      </c>
      <c r="D629" s="1">
        <v>375880</v>
      </c>
      <c r="E629" s="4">
        <v>363135.03735045454</v>
      </c>
      <c r="F629" s="4">
        <v>90265.122338052723</v>
      </c>
    </row>
    <row r="630" spans="1:6" x14ac:dyDescent="0.25">
      <c r="A630" t="s">
        <v>45</v>
      </c>
      <c r="B630" t="s">
        <v>92</v>
      </c>
      <c r="C630">
        <v>14.29</v>
      </c>
      <c r="D630" s="1">
        <v>293318</v>
      </c>
      <c r="E630" s="4">
        <v>372056.51120513637</v>
      </c>
      <c r="F630" s="4">
        <v>88748.665420177771</v>
      </c>
    </row>
    <row r="631" spans="1:6" x14ac:dyDescent="0.25">
      <c r="A631" t="s">
        <v>46</v>
      </c>
      <c r="B631" t="s">
        <v>92</v>
      </c>
      <c r="C631">
        <v>13.33</v>
      </c>
      <c r="D631" s="1">
        <v>265017</v>
      </c>
      <c r="E631" s="4">
        <v>316939.55336154089</v>
      </c>
      <c r="F631" s="4">
        <v>92177.301603878557</v>
      </c>
    </row>
    <row r="632" spans="1:6" x14ac:dyDescent="0.25">
      <c r="A632" t="s">
        <v>47</v>
      </c>
      <c r="B632" t="s">
        <v>92</v>
      </c>
      <c r="C632">
        <v>18.55</v>
      </c>
      <c r="D632" s="1">
        <v>363126</v>
      </c>
      <c r="E632" s="4">
        <v>280593.76600846229</v>
      </c>
      <c r="F632" s="4">
        <v>54948.881600149536</v>
      </c>
    </row>
    <row r="633" spans="1:6" x14ac:dyDescent="0.25">
      <c r="A633" t="s">
        <v>48</v>
      </c>
      <c r="B633" t="s">
        <v>92</v>
      </c>
      <c r="C633">
        <v>19.18</v>
      </c>
      <c r="D633" s="1">
        <v>381455</v>
      </c>
      <c r="E633" s="4">
        <v>338366.32980253868</v>
      </c>
      <c r="F633" s="4">
        <v>72358.538639235892</v>
      </c>
    </row>
    <row r="634" spans="1:6" x14ac:dyDescent="0.25">
      <c r="A634" t="s">
        <v>49</v>
      </c>
      <c r="B634" t="s">
        <v>92</v>
      </c>
      <c r="C634">
        <v>13.68</v>
      </c>
      <c r="D634" s="1">
        <v>279860</v>
      </c>
      <c r="E634" s="4">
        <v>368528.39894076157</v>
      </c>
      <c r="F634" s="4">
        <v>61547.14912054981</v>
      </c>
    </row>
    <row r="635" spans="1:6" x14ac:dyDescent="0.25">
      <c r="A635" t="s">
        <v>50</v>
      </c>
      <c r="B635" t="s">
        <v>92</v>
      </c>
      <c r="C635">
        <v>11.43</v>
      </c>
      <c r="D635" s="1">
        <v>223694</v>
      </c>
      <c r="E635" s="4">
        <v>306460.51968222845</v>
      </c>
      <c r="F635" s="4">
        <v>74230.021145395454</v>
      </c>
    </row>
    <row r="636" spans="1:6" x14ac:dyDescent="0.25">
      <c r="A636" t="s">
        <v>51</v>
      </c>
      <c r="B636" t="s">
        <v>92</v>
      </c>
      <c r="C636">
        <v>20.59</v>
      </c>
      <c r="D636" s="1">
        <v>394674</v>
      </c>
      <c r="E636" s="4">
        <v>248523.95590466852</v>
      </c>
      <c r="F636" s="4">
        <v>74316.923264292796</v>
      </c>
    </row>
    <row r="637" spans="1:6" x14ac:dyDescent="0.25">
      <c r="A637" t="s">
        <v>52</v>
      </c>
      <c r="B637" t="s">
        <v>92</v>
      </c>
      <c r="C637">
        <v>18.559999999999999</v>
      </c>
      <c r="D637" s="1">
        <v>365492</v>
      </c>
      <c r="E637" s="4">
        <v>350828.98677140055</v>
      </c>
      <c r="F637" s="4">
        <v>109654.33133274474</v>
      </c>
    </row>
    <row r="638" spans="1:6" x14ac:dyDescent="0.25">
      <c r="A638" t="s">
        <v>53</v>
      </c>
      <c r="B638" t="s">
        <v>92</v>
      </c>
      <c r="C638">
        <v>15.98</v>
      </c>
      <c r="D638" s="1">
        <v>325961</v>
      </c>
      <c r="E638" s="4">
        <v>361093.09603142017</v>
      </c>
      <c r="F638" s="4">
        <v>97339.844747356023</v>
      </c>
    </row>
    <row r="639" spans="1:6" x14ac:dyDescent="0.25">
      <c r="A639" t="s">
        <v>54</v>
      </c>
      <c r="B639" t="s">
        <v>92</v>
      </c>
      <c r="C639">
        <v>15.81</v>
      </c>
      <c r="D639" s="1">
        <v>307814</v>
      </c>
      <c r="E639" s="4">
        <v>336500.62880942604</v>
      </c>
      <c r="F639" s="4">
        <v>87195.38121859885</v>
      </c>
    </row>
    <row r="640" spans="1:6" x14ac:dyDescent="0.25">
      <c r="A640" t="s">
        <v>55</v>
      </c>
      <c r="B640" t="s">
        <v>92</v>
      </c>
      <c r="C640">
        <v>22.86</v>
      </c>
      <c r="D640" s="1">
        <v>462780</v>
      </c>
      <c r="E640" s="4">
        <v>316419.98864282778</v>
      </c>
      <c r="F640" s="4">
        <v>27520.845438520493</v>
      </c>
    </row>
    <row r="641" spans="1:6" x14ac:dyDescent="0.25">
      <c r="A641" t="s">
        <v>56</v>
      </c>
      <c r="B641" t="s">
        <v>92</v>
      </c>
      <c r="C641">
        <v>19.46</v>
      </c>
      <c r="D641" s="1">
        <v>374181</v>
      </c>
      <c r="E641" s="4">
        <v>418871.99659284833</v>
      </c>
      <c r="F641" s="4">
        <v>88465.510734376585</v>
      </c>
    </row>
    <row r="642" spans="1:6" x14ac:dyDescent="0.25">
      <c r="A642" t="s">
        <v>57</v>
      </c>
      <c r="B642" t="s">
        <v>92</v>
      </c>
      <c r="C642">
        <v>16.670000000000002</v>
      </c>
      <c r="D642" s="1">
        <v>340241</v>
      </c>
      <c r="E642" s="4">
        <v>387588.29897785449</v>
      </c>
      <c r="F642" s="4">
        <v>89891.52865793927</v>
      </c>
    </row>
    <row r="643" spans="1:6" x14ac:dyDescent="0.25">
      <c r="A643" t="s">
        <v>58</v>
      </c>
      <c r="B643" t="s">
        <v>92</v>
      </c>
      <c r="C643">
        <v>15.42</v>
      </c>
      <c r="D643" s="1">
        <v>301070</v>
      </c>
      <c r="E643" s="4">
        <v>354445.18969335634</v>
      </c>
      <c r="F643" s="4">
        <v>92484.782210249599</v>
      </c>
    </row>
    <row r="644" spans="1:6" x14ac:dyDescent="0.25">
      <c r="A644" t="s">
        <v>59</v>
      </c>
      <c r="B644" t="s">
        <v>92</v>
      </c>
      <c r="C644">
        <v>17.71</v>
      </c>
      <c r="D644" s="1">
        <v>318855</v>
      </c>
      <c r="E644" s="4">
        <v>317082.5569080069</v>
      </c>
      <c r="F644" s="4">
        <v>48607.142039560727</v>
      </c>
    </row>
    <row r="645" spans="1:6" x14ac:dyDescent="0.25">
      <c r="A645" t="s">
        <v>60</v>
      </c>
      <c r="B645" t="s">
        <v>92</v>
      </c>
      <c r="C645">
        <v>2.13</v>
      </c>
      <c r="D645" s="1">
        <v>20963</v>
      </c>
      <c r="E645" s="4">
        <v>318323.26707240206</v>
      </c>
      <c r="F645" s="4">
        <v>41206.064075628754</v>
      </c>
    </row>
    <row r="646" spans="1:6" x14ac:dyDescent="0.25">
      <c r="A646" t="s">
        <v>61</v>
      </c>
      <c r="B646" t="s">
        <v>92</v>
      </c>
      <c r="C646">
        <v>25.64</v>
      </c>
      <c r="D646" s="1">
        <v>444098</v>
      </c>
      <c r="E646" s="4">
        <v>110171.08012172062</v>
      </c>
      <c r="F646" s="4">
        <v>174427.80824043549</v>
      </c>
    </row>
    <row r="647" spans="1:6" x14ac:dyDescent="0.25">
      <c r="A647" t="s">
        <v>62</v>
      </c>
      <c r="B647" t="s">
        <v>92</v>
      </c>
      <c r="C647">
        <v>12.85</v>
      </c>
      <c r="D647" s="1">
        <v>254590</v>
      </c>
      <c r="E647" s="4">
        <v>343919.92403651617</v>
      </c>
      <c r="F647" s="4">
        <v>258155.93337314529</v>
      </c>
    </row>
    <row r="648" spans="1:6" x14ac:dyDescent="0.25">
      <c r="A648" t="s">
        <v>63</v>
      </c>
      <c r="B648" t="s">
        <v>92</v>
      </c>
      <c r="C648">
        <v>24.06</v>
      </c>
      <c r="D648" s="1">
        <v>484513</v>
      </c>
      <c r="E648" s="4">
        <v>281388.97721095488</v>
      </c>
      <c r="F648" s="4">
        <v>263255.35865463078</v>
      </c>
    </row>
    <row r="649" spans="1:6" x14ac:dyDescent="0.25">
      <c r="A649" t="s">
        <v>64</v>
      </c>
      <c r="B649" t="s">
        <v>92</v>
      </c>
      <c r="C649">
        <v>14.05</v>
      </c>
      <c r="D649" s="1">
        <v>253164</v>
      </c>
      <c r="E649" s="4">
        <v>423575.79316328641</v>
      </c>
      <c r="F649" s="4">
        <v>231478.14279953743</v>
      </c>
    </row>
    <row r="650" spans="1:6" x14ac:dyDescent="0.25">
      <c r="A650" t="s">
        <v>65</v>
      </c>
      <c r="B650" t="s">
        <v>92</v>
      </c>
      <c r="C650">
        <v>11.36</v>
      </c>
      <c r="D650" s="1">
        <v>228208</v>
      </c>
      <c r="E650" s="4">
        <v>304287.53794898593</v>
      </c>
      <c r="F650" s="4">
        <v>161533.67369427028</v>
      </c>
    </row>
    <row r="651" spans="1:6" x14ac:dyDescent="0.25">
      <c r="A651" t="s">
        <v>66</v>
      </c>
      <c r="B651" t="s">
        <v>92</v>
      </c>
      <c r="C651">
        <v>13.42</v>
      </c>
      <c r="D651" s="1">
        <v>256773</v>
      </c>
      <c r="E651" s="4">
        <v>251031.86138469575</v>
      </c>
      <c r="F651" s="4">
        <v>159256.23376356147</v>
      </c>
    </row>
    <row r="652" spans="1:6" x14ac:dyDescent="0.25">
      <c r="A652" t="s">
        <v>67</v>
      </c>
      <c r="B652" t="s">
        <v>92</v>
      </c>
      <c r="C652">
        <v>15.57</v>
      </c>
      <c r="D652" s="1">
        <v>274044</v>
      </c>
      <c r="E652" s="4">
        <v>255050.65841540869</v>
      </c>
      <c r="F652" s="4">
        <v>107798.01484915825</v>
      </c>
    </row>
    <row r="653" spans="1:6" x14ac:dyDescent="0.25">
      <c r="A653" t="s">
        <v>68</v>
      </c>
      <c r="B653" t="s">
        <v>92</v>
      </c>
      <c r="C653">
        <v>7.02</v>
      </c>
      <c r="D653" s="1">
        <v>137135</v>
      </c>
      <c r="E653" s="4">
        <v>268345.99752462259</v>
      </c>
      <c r="F653" s="4">
        <v>45393.846101574512</v>
      </c>
    </row>
    <row r="654" spans="1:6" x14ac:dyDescent="0.25">
      <c r="A654" t="s">
        <v>69</v>
      </c>
      <c r="B654" t="s">
        <v>92</v>
      </c>
      <c r="C654">
        <v>11.43</v>
      </c>
      <c r="D654" s="1">
        <v>230859</v>
      </c>
      <c r="E654" s="4">
        <v>176498.29925738677</v>
      </c>
      <c r="F654" s="4">
        <v>76615.998260928114</v>
      </c>
    </row>
    <row r="655" spans="1:6" x14ac:dyDescent="0.25">
      <c r="A655" t="s">
        <v>70</v>
      </c>
      <c r="B655" t="s">
        <v>92</v>
      </c>
      <c r="C655">
        <v>15.5</v>
      </c>
      <c r="D655" s="1">
        <v>289422</v>
      </c>
      <c r="E655" s="4">
        <v>214550.78977721601</v>
      </c>
      <c r="F655" s="4">
        <v>82728.791201901477</v>
      </c>
    </row>
    <row r="656" spans="1:6" x14ac:dyDescent="0.25">
      <c r="A656" t="s">
        <v>71</v>
      </c>
      <c r="B656" t="s">
        <v>92</v>
      </c>
      <c r="C656">
        <v>13.84</v>
      </c>
      <c r="D656" s="1">
        <v>236195</v>
      </c>
      <c r="E656" s="4">
        <v>266960.63693316479</v>
      </c>
      <c r="F656" s="4">
        <v>92695.037222170606</v>
      </c>
    </row>
    <row r="657" spans="1:6" x14ac:dyDescent="0.25">
      <c r="A657" t="s">
        <v>72</v>
      </c>
      <c r="B657" t="s">
        <v>92</v>
      </c>
      <c r="C657">
        <v>10.53</v>
      </c>
      <c r="D657" s="1">
        <v>188464</v>
      </c>
      <c r="E657" s="4">
        <v>245424.69107994944</v>
      </c>
      <c r="F657" s="4">
        <v>56294.784605549321</v>
      </c>
    </row>
    <row r="658" spans="1:6" x14ac:dyDescent="0.25">
      <c r="A658" t="s">
        <v>73</v>
      </c>
      <c r="B658" t="s">
        <v>92</v>
      </c>
      <c r="C658">
        <v>6.85</v>
      </c>
      <c r="D658" s="1">
        <v>138849</v>
      </c>
      <c r="E658" s="4">
        <v>205552.20732398483</v>
      </c>
      <c r="F658" s="4">
        <v>57145.261875426033</v>
      </c>
    </row>
    <row r="659" spans="1:6" x14ac:dyDescent="0.25">
      <c r="A659" t="s">
        <v>74</v>
      </c>
      <c r="B659" t="s">
        <v>92</v>
      </c>
      <c r="C659">
        <v>17.190000000000001</v>
      </c>
      <c r="D659" s="1">
        <v>300994</v>
      </c>
      <c r="E659" s="4">
        <v>158859.96219719545</v>
      </c>
      <c r="F659" s="4">
        <v>53666.75759262043</v>
      </c>
    </row>
    <row r="660" spans="1:6" x14ac:dyDescent="0.25">
      <c r="A660" t="s">
        <v>75</v>
      </c>
      <c r="B660" t="s">
        <v>92</v>
      </c>
      <c r="C660">
        <v>14.62</v>
      </c>
      <c r="D660" s="1">
        <v>264110</v>
      </c>
      <c r="E660" s="4">
        <v>258353.78865915863</v>
      </c>
      <c r="F660" s="4">
        <v>96429.461088993281</v>
      </c>
    </row>
    <row r="661" spans="1:6" x14ac:dyDescent="0.25">
      <c r="A661" t="s">
        <v>76</v>
      </c>
      <c r="B661" t="s">
        <v>92</v>
      </c>
      <c r="C661">
        <v>4.03</v>
      </c>
      <c r="D661" s="1">
        <v>75255</v>
      </c>
      <c r="E661" s="4">
        <v>262383.13659774757</v>
      </c>
      <c r="F661" s="4">
        <v>90709.309589177981</v>
      </c>
    </row>
    <row r="662" spans="1:6" x14ac:dyDescent="0.25">
      <c r="A662" t="s">
        <v>77</v>
      </c>
      <c r="B662" t="s">
        <v>92</v>
      </c>
      <c r="C662">
        <v>7.94</v>
      </c>
      <c r="D662" s="1">
        <v>136725</v>
      </c>
      <c r="E662" s="4">
        <v>131393.44097932428</v>
      </c>
      <c r="F662" s="4">
        <v>135710.67039560643</v>
      </c>
    </row>
    <row r="663" spans="1:6" x14ac:dyDescent="0.25">
      <c r="A663" t="s">
        <v>78</v>
      </c>
      <c r="B663" t="s">
        <v>92</v>
      </c>
      <c r="C663">
        <v>14.58</v>
      </c>
      <c r="D663" s="1">
        <v>252628</v>
      </c>
      <c r="E663" s="4">
        <v>135125.5322937973</v>
      </c>
      <c r="F663" s="4">
        <v>108133.40371525142</v>
      </c>
    </row>
    <row r="664" spans="1:6" x14ac:dyDescent="0.25">
      <c r="A664" t="s">
        <v>79</v>
      </c>
      <c r="B664" t="s">
        <v>92</v>
      </c>
      <c r="C664">
        <v>13.29</v>
      </c>
      <c r="D664" s="1">
        <v>223810</v>
      </c>
      <c r="E664" s="4">
        <v>217377.25968813917</v>
      </c>
      <c r="F664" s="4">
        <v>127609.03174042115</v>
      </c>
    </row>
    <row r="665" spans="1:6" x14ac:dyDescent="0.25">
      <c r="A665" t="s">
        <v>80</v>
      </c>
      <c r="B665" t="s">
        <v>92</v>
      </c>
      <c r="C665">
        <v>9.35</v>
      </c>
      <c r="D665" s="1">
        <v>164857</v>
      </c>
      <c r="E665" s="4">
        <v>221880.17790644174</v>
      </c>
      <c r="F665" s="4">
        <v>68011.360782734904</v>
      </c>
    </row>
    <row r="666" spans="1:6" x14ac:dyDescent="0.25">
      <c r="A666" t="s">
        <v>81</v>
      </c>
      <c r="B666" t="s">
        <v>92</v>
      </c>
      <c r="C666">
        <v>14.4</v>
      </c>
      <c r="D666" s="1">
        <v>235874</v>
      </c>
      <c r="E666" s="4">
        <v>181963.9533719325</v>
      </c>
      <c r="F666" s="4">
        <v>75498.019584438443</v>
      </c>
    </row>
    <row r="667" spans="1:6" x14ac:dyDescent="0.25">
      <c r="A667" t="s">
        <v>82</v>
      </c>
      <c r="B667" t="s">
        <v>92</v>
      </c>
      <c r="C667">
        <v>12.41</v>
      </c>
      <c r="D667" s="1">
        <v>201076</v>
      </c>
      <c r="E667" s="4">
        <v>219700.98601157975</v>
      </c>
      <c r="F667" s="4">
        <v>45458.098266095403</v>
      </c>
    </row>
    <row r="668" spans="1:6" x14ac:dyDescent="0.25">
      <c r="A668" t="s">
        <v>83</v>
      </c>
      <c r="B668" t="s">
        <v>92</v>
      </c>
      <c r="C668">
        <v>11.3</v>
      </c>
      <c r="D668" s="1">
        <v>174646</v>
      </c>
      <c r="E668" s="4">
        <v>206663.49580347392</v>
      </c>
      <c r="F668" s="4">
        <v>46564.743636939384</v>
      </c>
    </row>
    <row r="669" spans="1:6" x14ac:dyDescent="0.25">
      <c r="A669" t="s">
        <v>84</v>
      </c>
      <c r="B669" t="s">
        <v>92</v>
      </c>
      <c r="C669">
        <v>0</v>
      </c>
      <c r="D669">
        <v>0</v>
      </c>
      <c r="E669" s="4">
        <v>184251.24874104216</v>
      </c>
      <c r="F669" s="4">
        <v>37763.753648604303</v>
      </c>
    </row>
    <row r="670" spans="1:6" x14ac:dyDescent="0.25">
      <c r="A670" t="s">
        <v>7</v>
      </c>
      <c r="B670" t="s">
        <v>93</v>
      </c>
      <c r="C670">
        <v>11.52</v>
      </c>
      <c r="D670" s="1">
        <v>282959</v>
      </c>
      <c r="E670" s="4">
        <v>55275.374622312644</v>
      </c>
      <c r="F670" s="4">
        <v>108505.81060338105</v>
      </c>
    </row>
    <row r="671" spans="1:6" x14ac:dyDescent="0.25">
      <c r="A671" t="s">
        <v>10</v>
      </c>
      <c r="B671" t="s">
        <v>93</v>
      </c>
      <c r="C671">
        <v>18.62</v>
      </c>
      <c r="D671" s="1">
        <v>428212</v>
      </c>
      <c r="E671" s="4">
        <v>214653.91238669379</v>
      </c>
      <c r="F671" s="4">
        <v>170111.21456788786</v>
      </c>
    </row>
    <row r="672" spans="1:6" x14ac:dyDescent="0.25">
      <c r="A672" t="s">
        <v>11</v>
      </c>
      <c r="B672" t="s">
        <v>93</v>
      </c>
      <c r="C672">
        <v>11.52</v>
      </c>
      <c r="D672" s="1">
        <v>278031</v>
      </c>
      <c r="E672" s="4">
        <v>364144.5737160081</v>
      </c>
      <c r="F672" s="4">
        <v>209280.84218167467</v>
      </c>
    </row>
    <row r="673" spans="1:6" x14ac:dyDescent="0.25">
      <c r="A673" t="s">
        <v>12</v>
      </c>
      <c r="B673" t="s">
        <v>93</v>
      </c>
      <c r="C673">
        <v>5.29</v>
      </c>
      <c r="D673" s="1">
        <v>138590</v>
      </c>
      <c r="E673" s="4">
        <v>303865.07211480243</v>
      </c>
      <c r="F673" s="4">
        <v>186960.27887256516</v>
      </c>
    </row>
    <row r="674" spans="1:6" x14ac:dyDescent="0.25">
      <c r="A674" t="s">
        <v>13</v>
      </c>
      <c r="B674" t="s">
        <v>93</v>
      </c>
      <c r="C674">
        <v>22.68</v>
      </c>
      <c r="D674" s="1">
        <v>536686</v>
      </c>
      <c r="E674" s="4">
        <v>188172.52163444072</v>
      </c>
      <c r="F674" s="4">
        <v>163644.38459226975</v>
      </c>
    </row>
    <row r="675" spans="1:6" x14ac:dyDescent="0.25">
      <c r="A675" t="s">
        <v>14</v>
      </c>
      <c r="B675" t="s">
        <v>93</v>
      </c>
      <c r="C675">
        <v>21.38</v>
      </c>
      <c r="D675" s="1">
        <v>518971</v>
      </c>
      <c r="E675" s="4">
        <v>432131.95649033214</v>
      </c>
      <c r="F675" s="4">
        <v>228176.13199978991</v>
      </c>
    </row>
    <row r="676" spans="1:6" x14ac:dyDescent="0.25">
      <c r="A676" t="s">
        <v>15</v>
      </c>
      <c r="B676" t="s">
        <v>93</v>
      </c>
      <c r="C676">
        <v>17.04</v>
      </c>
      <c r="D676" s="1">
        <v>411851</v>
      </c>
      <c r="E676" s="4">
        <v>492919.28694709961</v>
      </c>
      <c r="F676" s="4">
        <v>228267.76202717738</v>
      </c>
    </row>
    <row r="677" spans="1:6" x14ac:dyDescent="0.25">
      <c r="A677" t="s">
        <v>16</v>
      </c>
      <c r="B677" t="s">
        <v>93</v>
      </c>
      <c r="C677">
        <v>25</v>
      </c>
      <c r="D677" s="1">
        <v>666246</v>
      </c>
      <c r="E677" s="4">
        <v>436171.48608412984</v>
      </c>
      <c r="F677" s="4">
        <v>212583.10628134149</v>
      </c>
    </row>
    <row r="678" spans="1:6" x14ac:dyDescent="0.25">
      <c r="A678" t="s">
        <v>17</v>
      </c>
      <c r="B678" t="s">
        <v>93</v>
      </c>
      <c r="C678">
        <v>26.74</v>
      </c>
      <c r="D678" s="1">
        <v>603496</v>
      </c>
      <c r="E678" s="4">
        <v>597223.6458252389</v>
      </c>
      <c r="F678" s="4">
        <v>149496.23025329123</v>
      </c>
    </row>
    <row r="679" spans="1:6" x14ac:dyDescent="0.25">
      <c r="A679" t="s">
        <v>18</v>
      </c>
      <c r="B679" t="s">
        <v>93</v>
      </c>
      <c r="C679">
        <v>25.76</v>
      </c>
      <c r="D679" s="1">
        <v>593744</v>
      </c>
      <c r="E679" s="4">
        <v>601614.29374757165</v>
      </c>
      <c r="F679" s="4">
        <v>140884.9312134491</v>
      </c>
    </row>
    <row r="680" spans="1:6" x14ac:dyDescent="0.25">
      <c r="A680" t="s">
        <v>19</v>
      </c>
      <c r="B680" t="s">
        <v>93</v>
      </c>
      <c r="C680">
        <v>34.33</v>
      </c>
      <c r="D680" s="1">
        <v>740795</v>
      </c>
      <c r="E680" s="4">
        <v>596105.08812427148</v>
      </c>
      <c r="F680" s="4">
        <v>132960.60306746338</v>
      </c>
    </row>
    <row r="681" spans="1:6" x14ac:dyDescent="0.25">
      <c r="A681" t="s">
        <v>20</v>
      </c>
      <c r="B681" t="s">
        <v>93</v>
      </c>
      <c r="C681">
        <v>22.89</v>
      </c>
      <c r="D681" s="1">
        <v>623223</v>
      </c>
      <c r="E681" s="4">
        <v>697388.0264372814</v>
      </c>
      <c r="F681" s="4">
        <v>83738.590365439813</v>
      </c>
    </row>
    <row r="682" spans="1:6" x14ac:dyDescent="0.25">
      <c r="A682" t="s">
        <v>21</v>
      </c>
      <c r="B682" t="s">
        <v>93</v>
      </c>
      <c r="C682">
        <v>25</v>
      </c>
      <c r="D682" s="1">
        <v>560082</v>
      </c>
      <c r="E682" s="4">
        <v>645472.50793118437</v>
      </c>
      <c r="F682" s="4">
        <v>93981.49333551756</v>
      </c>
    </row>
    <row r="683" spans="1:6" x14ac:dyDescent="0.25">
      <c r="A683" t="s">
        <v>22</v>
      </c>
      <c r="B683" t="s">
        <v>93</v>
      </c>
      <c r="C683">
        <v>7.05</v>
      </c>
      <c r="D683" s="1">
        <v>172794</v>
      </c>
      <c r="E683" s="4">
        <v>585699.15237935528</v>
      </c>
      <c r="F683" s="4">
        <v>106030.12243350848</v>
      </c>
    </row>
    <row r="684" spans="1:6" x14ac:dyDescent="0.25">
      <c r="A684" t="s">
        <v>23</v>
      </c>
      <c r="B684" t="s">
        <v>93</v>
      </c>
      <c r="C684">
        <v>22.7</v>
      </c>
      <c r="D684" s="1">
        <v>550896</v>
      </c>
      <c r="E684" s="4">
        <v>296665.54571380652</v>
      </c>
      <c r="F684" s="4">
        <v>247172.44645025121</v>
      </c>
    </row>
    <row r="685" spans="1:6" x14ac:dyDescent="0.25">
      <c r="A685" t="s">
        <v>24</v>
      </c>
      <c r="B685" t="s">
        <v>93</v>
      </c>
      <c r="C685">
        <v>19.54</v>
      </c>
      <c r="D685" s="1">
        <v>522978</v>
      </c>
      <c r="E685" s="4">
        <v>474626.86371414189</v>
      </c>
      <c r="F685" s="4">
        <v>284262.39497614908</v>
      </c>
    </row>
    <row r="686" spans="1:6" x14ac:dyDescent="0.25">
      <c r="A686" t="s">
        <v>25</v>
      </c>
      <c r="B686" t="s">
        <v>93</v>
      </c>
      <c r="C686">
        <v>9.85</v>
      </c>
      <c r="D686" s="1">
        <v>227020</v>
      </c>
      <c r="E686" s="4">
        <v>508472.65911424253</v>
      </c>
      <c r="F686" s="4">
        <v>281342.98233539111</v>
      </c>
    </row>
    <row r="687" spans="1:6" x14ac:dyDescent="0.25">
      <c r="A687" t="s">
        <v>26</v>
      </c>
      <c r="B687" t="s">
        <v>93</v>
      </c>
      <c r="C687">
        <v>8.7899999999999991</v>
      </c>
      <c r="D687" s="1">
        <v>208113</v>
      </c>
      <c r="E687" s="4">
        <v>311455.79773427278</v>
      </c>
      <c r="F687" s="4">
        <v>220746.12536363726</v>
      </c>
    </row>
    <row r="688" spans="1:6" x14ac:dyDescent="0.25">
      <c r="A688" t="s">
        <v>27</v>
      </c>
      <c r="B688" t="s">
        <v>93</v>
      </c>
      <c r="C688">
        <v>7.78</v>
      </c>
      <c r="D688" s="1">
        <v>183703</v>
      </c>
      <c r="E688" s="4">
        <v>239115.83932028181</v>
      </c>
      <c r="F688" s="4">
        <v>175340.77824449778</v>
      </c>
    </row>
    <row r="689" spans="1:6" x14ac:dyDescent="0.25">
      <c r="A689" t="s">
        <v>28</v>
      </c>
      <c r="B689" t="s">
        <v>93</v>
      </c>
      <c r="C689">
        <v>6.31</v>
      </c>
      <c r="D689" s="1">
        <v>172559</v>
      </c>
      <c r="E689" s="4">
        <v>200326.85179608455</v>
      </c>
      <c r="F689" s="4">
        <v>176035.90157271916</v>
      </c>
    </row>
    <row r="690" spans="1:6" x14ac:dyDescent="0.25">
      <c r="A690" t="s">
        <v>29</v>
      </c>
      <c r="B690" t="s">
        <v>93</v>
      </c>
      <c r="C690">
        <v>13.44</v>
      </c>
      <c r="D690" s="1">
        <v>321405</v>
      </c>
      <c r="E690" s="4">
        <v>180889.35553882536</v>
      </c>
      <c r="F690" s="4">
        <v>69573.390982595971</v>
      </c>
    </row>
    <row r="691" spans="1:6" x14ac:dyDescent="0.25">
      <c r="A691" t="s">
        <v>30</v>
      </c>
      <c r="B691" t="s">
        <v>93</v>
      </c>
      <c r="C691">
        <v>10.99</v>
      </c>
      <c r="D691" s="1">
        <v>266451</v>
      </c>
      <c r="E691" s="4">
        <v>279250.30666164763</v>
      </c>
      <c r="F691" s="4">
        <v>88668.451159819568</v>
      </c>
    </row>
    <row r="692" spans="1:6" x14ac:dyDescent="0.25">
      <c r="A692" t="s">
        <v>31</v>
      </c>
      <c r="B692" t="s">
        <v>93</v>
      </c>
      <c r="C692">
        <v>12.86</v>
      </c>
      <c r="D692" s="1">
        <v>321332</v>
      </c>
      <c r="E692" s="4">
        <v>270290.7919984943</v>
      </c>
      <c r="F692" s="4">
        <v>83025.141137544313</v>
      </c>
    </row>
    <row r="693" spans="1:6" x14ac:dyDescent="0.25">
      <c r="A693" t="s">
        <v>32</v>
      </c>
      <c r="B693" t="s">
        <v>93</v>
      </c>
      <c r="C693">
        <v>12.76</v>
      </c>
      <c r="D693" s="1">
        <v>343652</v>
      </c>
      <c r="E693" s="4">
        <v>306019.63759954827</v>
      </c>
      <c r="F693" s="4">
        <v>86628.851051696605</v>
      </c>
    </row>
    <row r="694" spans="1:6" x14ac:dyDescent="0.25">
      <c r="A694" t="s">
        <v>33</v>
      </c>
      <c r="B694" t="s">
        <v>93</v>
      </c>
      <c r="C694">
        <v>6.87</v>
      </c>
      <c r="D694" s="1">
        <v>167337</v>
      </c>
      <c r="E694" s="4">
        <v>332362.2912798645</v>
      </c>
      <c r="F694" s="4">
        <v>37350.688816097267</v>
      </c>
    </row>
    <row r="695" spans="1:6" x14ac:dyDescent="0.25">
      <c r="A695" t="s">
        <v>34</v>
      </c>
      <c r="B695" t="s">
        <v>93</v>
      </c>
      <c r="C695">
        <v>15.89</v>
      </c>
      <c r="D695" s="1">
        <v>358863</v>
      </c>
      <c r="E695" s="4">
        <v>216844.58738395933</v>
      </c>
      <c r="F695" s="4">
        <v>102069.82312139081</v>
      </c>
    </row>
    <row r="696" spans="1:6" x14ac:dyDescent="0.25">
      <c r="A696" t="s">
        <v>35</v>
      </c>
      <c r="B696" t="s">
        <v>93</v>
      </c>
      <c r="C696">
        <v>14.35</v>
      </c>
      <c r="D696" s="1">
        <v>363048</v>
      </c>
      <c r="E696" s="4">
        <v>316257.47621518775</v>
      </c>
      <c r="F696" s="4">
        <v>127565.37014909</v>
      </c>
    </row>
    <row r="697" spans="1:6" x14ac:dyDescent="0.25">
      <c r="A697" t="s">
        <v>36</v>
      </c>
      <c r="B697" t="s">
        <v>93</v>
      </c>
      <c r="C697">
        <v>10.14</v>
      </c>
      <c r="D697" s="1">
        <v>282579</v>
      </c>
      <c r="E697" s="4">
        <v>349010.8428645563</v>
      </c>
      <c r="F697" s="4">
        <v>128571.54869311897</v>
      </c>
    </row>
    <row r="698" spans="1:6" x14ac:dyDescent="0.25">
      <c r="A698" t="s">
        <v>37</v>
      </c>
      <c r="B698" t="s">
        <v>93</v>
      </c>
      <c r="C698">
        <v>7.98</v>
      </c>
      <c r="D698" s="1">
        <v>200442</v>
      </c>
      <c r="E698" s="4">
        <v>302508.55285936687</v>
      </c>
      <c r="F698" s="4">
        <v>94466.523849136036</v>
      </c>
    </row>
    <row r="699" spans="1:6" x14ac:dyDescent="0.25">
      <c r="A699" t="s">
        <v>38</v>
      </c>
      <c r="B699" t="s">
        <v>93</v>
      </c>
      <c r="C699">
        <v>11.44</v>
      </c>
      <c r="D699" s="1">
        <v>262724</v>
      </c>
      <c r="E699" s="4">
        <v>231061.96585781005</v>
      </c>
      <c r="F699" s="4">
        <v>75321.807543880481</v>
      </c>
    </row>
    <row r="700" spans="1:6" x14ac:dyDescent="0.25">
      <c r="A700" t="s">
        <v>39</v>
      </c>
      <c r="B700" t="s">
        <v>93</v>
      </c>
      <c r="C700">
        <v>8.4600000000000009</v>
      </c>
      <c r="D700" s="1">
        <v>212820</v>
      </c>
      <c r="E700" s="4">
        <v>253225.38975734299</v>
      </c>
      <c r="F700" s="4">
        <v>72648.136853824937</v>
      </c>
    </row>
    <row r="701" spans="1:6" x14ac:dyDescent="0.25">
      <c r="A701" t="s">
        <v>40</v>
      </c>
      <c r="B701" t="s">
        <v>93</v>
      </c>
      <c r="C701">
        <v>6.99</v>
      </c>
      <c r="D701" s="1">
        <v>192857</v>
      </c>
      <c r="E701" s="4">
        <v>224941.61692720291</v>
      </c>
      <c r="F701" s="4">
        <v>65961.254132149261</v>
      </c>
    </row>
    <row r="702" spans="1:6" x14ac:dyDescent="0.25">
      <c r="A702" t="s">
        <v>41</v>
      </c>
      <c r="B702" t="s">
        <v>93</v>
      </c>
      <c r="C702">
        <v>13.01</v>
      </c>
      <c r="D702" s="1">
        <v>309459</v>
      </c>
      <c r="E702" s="4">
        <v>202482.38507816085</v>
      </c>
      <c r="F702" s="4">
        <v>34949.976494171184</v>
      </c>
    </row>
    <row r="703" spans="1:6" x14ac:dyDescent="0.25">
      <c r="A703" t="s">
        <v>42</v>
      </c>
      <c r="B703" t="s">
        <v>93</v>
      </c>
      <c r="C703">
        <v>12.92</v>
      </c>
      <c r="D703" s="1">
        <v>280422</v>
      </c>
      <c r="E703" s="4">
        <v>277366.01552344824</v>
      </c>
      <c r="F703" s="4">
        <v>68571.165720837336</v>
      </c>
    </row>
    <row r="704" spans="1:6" x14ac:dyDescent="0.25">
      <c r="A704" t="s">
        <v>43</v>
      </c>
      <c r="B704" t="s">
        <v>93</v>
      </c>
      <c r="C704">
        <v>10.58</v>
      </c>
      <c r="D704" s="1">
        <v>254920</v>
      </c>
      <c r="E704" s="4">
        <v>279505.20465703448</v>
      </c>
      <c r="F704" s="4">
        <v>64505.187968673599</v>
      </c>
    </row>
    <row r="705" spans="1:6" x14ac:dyDescent="0.25">
      <c r="A705" t="s">
        <v>44</v>
      </c>
      <c r="B705" t="s">
        <v>93</v>
      </c>
      <c r="C705">
        <v>8.24</v>
      </c>
      <c r="D705" s="1">
        <v>222778</v>
      </c>
      <c r="E705" s="4">
        <v>262295.56139711034</v>
      </c>
      <c r="F705" s="4">
        <v>63397.601083123678</v>
      </c>
    </row>
    <row r="706" spans="1:6" x14ac:dyDescent="0.25">
      <c r="A706" t="s">
        <v>45</v>
      </c>
      <c r="B706" t="s">
        <v>93</v>
      </c>
      <c r="C706">
        <v>14.6</v>
      </c>
      <c r="D706" s="1">
        <v>358269</v>
      </c>
      <c r="E706" s="4">
        <v>234633.26841913309</v>
      </c>
      <c r="F706" s="4">
        <v>26928.355488366913</v>
      </c>
    </row>
    <row r="707" spans="1:6" x14ac:dyDescent="0.25">
      <c r="A707" t="s">
        <v>46</v>
      </c>
      <c r="B707" t="s">
        <v>93</v>
      </c>
      <c r="C707">
        <v>13.3</v>
      </c>
      <c r="D707" s="1">
        <v>314721</v>
      </c>
      <c r="E707" s="4">
        <v>321178.28052573989</v>
      </c>
      <c r="F707" s="4">
        <v>76271.148040699336</v>
      </c>
    </row>
    <row r="708" spans="1:6" x14ac:dyDescent="0.25">
      <c r="A708" t="s">
        <v>47</v>
      </c>
      <c r="B708" t="s">
        <v>93</v>
      </c>
      <c r="C708">
        <v>13.73</v>
      </c>
      <c r="D708" s="1">
        <v>354526</v>
      </c>
      <c r="E708" s="4">
        <v>316658.18415772193</v>
      </c>
      <c r="F708" s="4">
        <v>75031.38955152627</v>
      </c>
    </row>
    <row r="709" spans="1:6" x14ac:dyDescent="0.25">
      <c r="A709" t="s">
        <v>48</v>
      </c>
      <c r="B709" t="s">
        <v>93</v>
      </c>
      <c r="C709">
        <v>8.73</v>
      </c>
      <c r="D709" s="1">
        <v>246901</v>
      </c>
      <c r="E709" s="4">
        <v>343165.65524731658</v>
      </c>
      <c r="F709" s="4">
        <v>74747.26766910158</v>
      </c>
    </row>
    <row r="710" spans="1:6" x14ac:dyDescent="0.25">
      <c r="A710" t="s">
        <v>49</v>
      </c>
      <c r="B710" t="s">
        <v>93</v>
      </c>
      <c r="C710">
        <v>12.78</v>
      </c>
      <c r="D710" s="1">
        <v>318885</v>
      </c>
      <c r="E710" s="4">
        <v>275780.39657419495</v>
      </c>
      <c r="F710" s="4">
        <v>59840.208885379347</v>
      </c>
    </row>
    <row r="711" spans="1:6" x14ac:dyDescent="0.25">
      <c r="A711" t="s">
        <v>50</v>
      </c>
      <c r="B711" t="s">
        <v>93</v>
      </c>
      <c r="C711">
        <v>12.09</v>
      </c>
      <c r="D711" s="1">
        <v>293030</v>
      </c>
      <c r="E711" s="4">
        <v>305953.61897225847</v>
      </c>
      <c r="F711" s="4">
        <v>64701.525389141912</v>
      </c>
    </row>
    <row r="712" spans="1:6" x14ac:dyDescent="0.25">
      <c r="A712" t="s">
        <v>51</v>
      </c>
      <c r="B712" t="s">
        <v>93</v>
      </c>
      <c r="C712">
        <v>13.67</v>
      </c>
      <c r="D712" s="1">
        <v>348491</v>
      </c>
      <c r="E712" s="4">
        <v>296907.08569167752</v>
      </c>
      <c r="F712" s="4">
        <v>61351.203774445908</v>
      </c>
    </row>
    <row r="713" spans="1:6" x14ac:dyDescent="0.25">
      <c r="A713" t="s">
        <v>52</v>
      </c>
      <c r="B713" t="s">
        <v>93</v>
      </c>
      <c r="C713">
        <v>11.32</v>
      </c>
      <c r="D713" s="1">
        <v>314540</v>
      </c>
      <c r="E713" s="4">
        <v>333015.82570750325</v>
      </c>
      <c r="F713" s="4">
        <v>39521.837757558787</v>
      </c>
    </row>
    <row r="714" spans="1:6" x14ac:dyDescent="0.25">
      <c r="A714" t="s">
        <v>53</v>
      </c>
      <c r="B714" t="s">
        <v>93</v>
      </c>
      <c r="C714">
        <v>20.190000000000001</v>
      </c>
      <c r="D714" s="1">
        <v>453131</v>
      </c>
      <c r="E714" s="4">
        <v>320082.74771225097</v>
      </c>
      <c r="F714" s="4">
        <v>32502.698750937143</v>
      </c>
    </row>
    <row r="715" spans="1:6" x14ac:dyDescent="0.25">
      <c r="A715" t="s">
        <v>54</v>
      </c>
      <c r="B715" t="s">
        <v>93</v>
      </c>
      <c r="C715">
        <v>19.27</v>
      </c>
      <c r="D715" s="1">
        <v>477438</v>
      </c>
      <c r="E715" s="4">
        <v>413216.52431367524</v>
      </c>
      <c r="F715" s="4">
        <v>83074.452125321302</v>
      </c>
    </row>
    <row r="716" spans="1:6" x14ac:dyDescent="0.25">
      <c r="A716" t="s">
        <v>55</v>
      </c>
      <c r="B716" t="s">
        <v>93</v>
      </c>
      <c r="C716">
        <v>14.73</v>
      </c>
      <c r="D716" s="1">
        <v>355836</v>
      </c>
      <c r="E716" s="4">
        <v>458171.55729410256</v>
      </c>
      <c r="F716" s="4">
        <v>85960.43956713994</v>
      </c>
    </row>
    <row r="717" spans="1:6" x14ac:dyDescent="0.25">
      <c r="A717" t="s">
        <v>57</v>
      </c>
      <c r="B717" t="s">
        <v>93</v>
      </c>
      <c r="C717">
        <v>22.19</v>
      </c>
      <c r="D717" s="1">
        <v>526677</v>
      </c>
      <c r="E717" s="4">
        <v>386536.66718823079</v>
      </c>
      <c r="F717" s="4">
        <v>103760.62461719001</v>
      </c>
    </row>
    <row r="718" spans="1:6" x14ac:dyDescent="0.25">
      <c r="A718" t="s">
        <v>58</v>
      </c>
      <c r="B718" t="s">
        <v>93</v>
      </c>
      <c r="C718">
        <v>21.23</v>
      </c>
      <c r="D718" s="1">
        <v>459289</v>
      </c>
      <c r="E718" s="4">
        <v>484634.9001564692</v>
      </c>
      <c r="F718" s="4">
        <v>106827.39521710898</v>
      </c>
    </row>
    <row r="719" spans="1:6" x14ac:dyDescent="0.25">
      <c r="A719" t="s">
        <v>59</v>
      </c>
      <c r="B719" t="s">
        <v>93</v>
      </c>
      <c r="C719">
        <v>16</v>
      </c>
      <c r="D719" s="1">
        <v>377761</v>
      </c>
      <c r="E719" s="4">
        <v>466892.77004694077</v>
      </c>
      <c r="F719" s="4">
        <v>101249.35196834544</v>
      </c>
    </row>
    <row r="720" spans="1:6" x14ac:dyDescent="0.25">
      <c r="A720" t="s">
        <v>61</v>
      </c>
      <c r="B720" t="s">
        <v>93</v>
      </c>
      <c r="C720">
        <v>20.87</v>
      </c>
      <c r="D720" s="1">
        <v>481900</v>
      </c>
      <c r="E720" s="4">
        <v>404500.53101408225</v>
      </c>
      <c r="F720" s="4">
        <v>96998.625363173531</v>
      </c>
    </row>
    <row r="721" spans="1:6" x14ac:dyDescent="0.25">
      <c r="A721" t="s">
        <v>62</v>
      </c>
      <c r="B721" t="s">
        <v>93</v>
      </c>
      <c r="C721">
        <v>18.97</v>
      </c>
      <c r="D721" s="1">
        <v>388812</v>
      </c>
      <c r="E721" s="4">
        <v>458680.15930422465</v>
      </c>
      <c r="F721" s="4">
        <v>69707.878286805993</v>
      </c>
    </row>
    <row r="722" spans="1:6" x14ac:dyDescent="0.25">
      <c r="A722" t="s">
        <v>63</v>
      </c>
      <c r="B722" t="s">
        <v>93</v>
      </c>
      <c r="C722">
        <v>12.16</v>
      </c>
      <c r="D722" s="1">
        <v>298623</v>
      </c>
      <c r="E722" s="4">
        <v>409772.44779126736</v>
      </c>
      <c r="F722" s="4">
        <v>79197.453485078018</v>
      </c>
    </row>
    <row r="723" spans="1:6" x14ac:dyDescent="0.25">
      <c r="A723" t="s">
        <v>64</v>
      </c>
      <c r="B723" t="s">
        <v>93</v>
      </c>
      <c r="C723">
        <v>9.86</v>
      </c>
      <c r="D723" s="1">
        <v>236443</v>
      </c>
      <c r="E723" s="4">
        <v>331967.83433738019</v>
      </c>
      <c r="F723" s="4">
        <v>87989.463816539283</v>
      </c>
    </row>
    <row r="724" spans="1:6" x14ac:dyDescent="0.25">
      <c r="A724" t="s">
        <v>65</v>
      </c>
      <c r="B724" t="s">
        <v>93</v>
      </c>
      <c r="C724">
        <v>16.670000000000002</v>
      </c>
      <c r="D724" s="1">
        <v>379423</v>
      </c>
      <c r="E724" s="4">
        <v>265100.450301214</v>
      </c>
      <c r="F724" s="4">
        <v>93738.560909315071</v>
      </c>
    </row>
    <row r="725" spans="1:6" x14ac:dyDescent="0.25">
      <c r="A725" t="s">
        <v>66</v>
      </c>
      <c r="B725" t="s">
        <v>93</v>
      </c>
      <c r="C725">
        <v>18.989999999999998</v>
      </c>
      <c r="D725" s="1">
        <v>399545</v>
      </c>
      <c r="E725" s="4">
        <v>345126.23509036418</v>
      </c>
      <c r="F725" s="4">
        <v>107313.93057927287</v>
      </c>
    </row>
    <row r="726" spans="1:6" x14ac:dyDescent="0.25">
      <c r="A726" t="s">
        <v>67</v>
      </c>
      <c r="B726" t="s">
        <v>93</v>
      </c>
      <c r="C726">
        <v>6.19</v>
      </c>
      <c r="D726" s="1">
        <v>127616</v>
      </c>
      <c r="E726" s="4">
        <v>383219.37052710925</v>
      </c>
      <c r="F726" s="4">
        <v>91571.540919482795</v>
      </c>
    </row>
    <row r="727" spans="1:6" x14ac:dyDescent="0.25">
      <c r="A727" t="s">
        <v>69</v>
      </c>
      <c r="B727" t="s">
        <v>93</v>
      </c>
      <c r="C727">
        <v>20.350000000000001</v>
      </c>
      <c r="D727" s="1">
        <v>458000</v>
      </c>
      <c r="E727" s="4">
        <v>204297.01115813275</v>
      </c>
      <c r="F727" s="4">
        <v>164685.6909071948</v>
      </c>
    </row>
    <row r="728" spans="1:6" x14ac:dyDescent="0.25">
      <c r="A728" t="s">
        <v>70</v>
      </c>
      <c r="B728" t="s">
        <v>93</v>
      </c>
      <c r="C728">
        <v>13.41</v>
      </c>
      <c r="D728" s="1">
        <v>270448</v>
      </c>
      <c r="E728" s="4">
        <v>381889.10334743984</v>
      </c>
      <c r="F728" s="4">
        <v>210285.27571405272</v>
      </c>
    </row>
    <row r="729" spans="1:6" x14ac:dyDescent="0.25">
      <c r="A729" t="s">
        <v>71</v>
      </c>
      <c r="B729" t="s">
        <v>93</v>
      </c>
      <c r="C729">
        <v>9.33</v>
      </c>
      <c r="D729" s="1">
        <v>195696</v>
      </c>
      <c r="E729" s="4">
        <v>303880.33100423194</v>
      </c>
      <c r="F729" s="4">
        <v>217652.17595007722</v>
      </c>
    </row>
    <row r="730" spans="1:6" x14ac:dyDescent="0.25">
      <c r="A730" t="s">
        <v>72</v>
      </c>
      <c r="B730" t="s">
        <v>93</v>
      </c>
      <c r="C730">
        <v>10.53</v>
      </c>
      <c r="D730" s="1">
        <v>284368</v>
      </c>
      <c r="E730" s="4">
        <v>228151.29930126958</v>
      </c>
      <c r="F730" s="4">
        <v>171744.16587609277</v>
      </c>
    </row>
    <row r="731" spans="1:6" x14ac:dyDescent="0.25">
      <c r="A731" t="s">
        <v>73</v>
      </c>
      <c r="B731" t="s">
        <v>93</v>
      </c>
      <c r="C731">
        <v>9.0500000000000007</v>
      </c>
      <c r="D731" s="1">
        <v>214221</v>
      </c>
      <c r="E731" s="4">
        <v>267502.98979038082</v>
      </c>
      <c r="F731" s="4">
        <v>95364.714696751835</v>
      </c>
    </row>
    <row r="732" spans="1:6" x14ac:dyDescent="0.25">
      <c r="A732" t="s">
        <v>74</v>
      </c>
      <c r="B732" t="s">
        <v>93</v>
      </c>
      <c r="C732">
        <v>6.67</v>
      </c>
      <c r="D732" s="1">
        <v>151030</v>
      </c>
      <c r="E732" s="4">
        <v>230205.59693711423</v>
      </c>
      <c r="F732" s="4">
        <v>76818.264643043716</v>
      </c>
    </row>
    <row r="733" spans="1:6" x14ac:dyDescent="0.25">
      <c r="A733" t="s">
        <v>75</v>
      </c>
      <c r="B733" t="s">
        <v>93</v>
      </c>
      <c r="C733">
        <v>14.98</v>
      </c>
      <c r="D733" s="1">
        <v>343823</v>
      </c>
      <c r="E733" s="4">
        <v>174782.67908113427</v>
      </c>
      <c r="F733" s="4">
        <v>63948.059714691517</v>
      </c>
    </row>
    <row r="734" spans="1:6" x14ac:dyDescent="0.25">
      <c r="A734" t="s">
        <v>76</v>
      </c>
      <c r="B734" t="s">
        <v>93</v>
      </c>
      <c r="C734">
        <v>11.71</v>
      </c>
      <c r="D734" s="1">
        <v>310783</v>
      </c>
      <c r="E734" s="4">
        <v>293110.90372434026</v>
      </c>
      <c r="F734" s="4">
        <v>112074.93874297342</v>
      </c>
    </row>
    <row r="735" spans="1:6" x14ac:dyDescent="0.25">
      <c r="A735" t="s">
        <v>77</v>
      </c>
      <c r="B735" t="s">
        <v>93</v>
      </c>
      <c r="C735">
        <v>21.34</v>
      </c>
      <c r="D735" s="1">
        <v>494030</v>
      </c>
      <c r="E735" s="4">
        <v>305481.37111730204</v>
      </c>
      <c r="F735" s="4">
        <v>108252.34136571469</v>
      </c>
    </row>
    <row r="736" spans="1:6" x14ac:dyDescent="0.25">
      <c r="A736" t="s">
        <v>78</v>
      </c>
      <c r="B736" t="s">
        <v>93</v>
      </c>
      <c r="C736">
        <v>21.92</v>
      </c>
      <c r="D736" s="1">
        <v>464823</v>
      </c>
      <c r="E736" s="4">
        <v>437465.41133519064</v>
      </c>
      <c r="F736" s="4">
        <v>146557.74577127688</v>
      </c>
    </row>
    <row r="737" spans="1:6" x14ac:dyDescent="0.25">
      <c r="A737" t="s">
        <v>79</v>
      </c>
      <c r="B737" t="s">
        <v>93</v>
      </c>
      <c r="C737">
        <v>22.71</v>
      </c>
      <c r="D737" s="1">
        <v>529547</v>
      </c>
      <c r="E737" s="4">
        <v>456615.72340055718</v>
      </c>
      <c r="F737" s="4">
        <v>110470.69912858409</v>
      </c>
    </row>
    <row r="738" spans="1:6" x14ac:dyDescent="0.25">
      <c r="A738" t="s">
        <v>80</v>
      </c>
      <c r="B738" t="s">
        <v>93</v>
      </c>
      <c r="C738">
        <v>11.54</v>
      </c>
      <c r="D738" s="1">
        <v>333058</v>
      </c>
      <c r="E738" s="4">
        <v>507667.61702016712</v>
      </c>
      <c r="F738" s="4">
        <v>117782.27684662168</v>
      </c>
    </row>
    <row r="739" spans="1:6" x14ac:dyDescent="0.25">
      <c r="A739" t="s">
        <v>81</v>
      </c>
      <c r="B739" t="s">
        <v>93</v>
      </c>
      <c r="C739">
        <v>16.190000000000001</v>
      </c>
      <c r="D739" s="1">
        <v>364592</v>
      </c>
      <c r="E739" s="4">
        <v>385440.88510605012</v>
      </c>
      <c r="F739" s="4">
        <v>110387.08728818297</v>
      </c>
    </row>
    <row r="740" spans="1:6" x14ac:dyDescent="0.25">
      <c r="A740" t="s">
        <v>82</v>
      </c>
      <c r="B740" t="s">
        <v>93</v>
      </c>
      <c r="C740">
        <v>9.85</v>
      </c>
      <c r="D740" s="1">
        <v>219508</v>
      </c>
      <c r="E740" s="4">
        <v>370846.66553181503</v>
      </c>
      <c r="F740" s="4">
        <v>109912.33699714081</v>
      </c>
    </row>
    <row r="741" spans="1:6" x14ac:dyDescent="0.25">
      <c r="A741" t="s">
        <v>83</v>
      </c>
      <c r="B741" t="s">
        <v>93</v>
      </c>
      <c r="C741">
        <v>21.62</v>
      </c>
      <c r="D741" s="1">
        <v>489898</v>
      </c>
      <c r="E741" s="4">
        <v>264909.59965954447</v>
      </c>
      <c r="F741" s="4">
        <v>133948.48020917756</v>
      </c>
    </row>
    <row r="742" spans="1:6" x14ac:dyDescent="0.25">
      <c r="A742" t="s">
        <v>84</v>
      </c>
      <c r="B742" t="s">
        <v>93</v>
      </c>
      <c r="C742">
        <v>12.94</v>
      </c>
      <c r="D742" s="1">
        <v>326444</v>
      </c>
      <c r="E742" s="4">
        <v>422401.47989786335</v>
      </c>
      <c r="F742" s="4">
        <v>157011.51548307209</v>
      </c>
    </row>
    <row r="743" spans="1:6" x14ac:dyDescent="0.25">
      <c r="A743" t="s">
        <v>7</v>
      </c>
      <c r="B743" t="s">
        <v>94</v>
      </c>
      <c r="C743">
        <v>13.02</v>
      </c>
      <c r="D743" s="1">
        <v>749769</v>
      </c>
      <c r="E743" s="4">
        <v>355231.24396935897</v>
      </c>
      <c r="F743" s="4">
        <v>166063.2509227097</v>
      </c>
    </row>
    <row r="744" spans="1:6" x14ac:dyDescent="0.25">
      <c r="A744" t="s">
        <v>10</v>
      </c>
      <c r="B744" t="s">
        <v>94</v>
      </c>
      <c r="C744">
        <v>9.83</v>
      </c>
      <c r="D744" s="1">
        <v>693396</v>
      </c>
      <c r="E744" s="4">
        <v>631407.67319080757</v>
      </c>
      <c r="F744" s="4">
        <v>268009.73811275314</v>
      </c>
    </row>
    <row r="745" spans="1:6" x14ac:dyDescent="0.25">
      <c r="A745" t="s">
        <v>11</v>
      </c>
      <c r="B745" t="s">
        <v>94</v>
      </c>
      <c r="C745">
        <v>6.52</v>
      </c>
      <c r="D745" s="1">
        <v>433676</v>
      </c>
      <c r="E745" s="4">
        <v>674799.50195724226</v>
      </c>
      <c r="F745" s="4">
        <v>237143.01700496103</v>
      </c>
    </row>
    <row r="746" spans="1:6" x14ac:dyDescent="0.25">
      <c r="A746" t="s">
        <v>12</v>
      </c>
      <c r="B746" t="s">
        <v>94</v>
      </c>
      <c r="C746">
        <v>5.44</v>
      </c>
      <c r="D746" s="1">
        <v>433380</v>
      </c>
      <c r="E746" s="4">
        <v>506013.05058717262</v>
      </c>
      <c r="F746" s="4">
        <v>269346.82523370069</v>
      </c>
    </row>
    <row r="747" spans="1:6" x14ac:dyDescent="0.25">
      <c r="A747" t="s">
        <v>13</v>
      </c>
      <c r="B747" t="s">
        <v>94</v>
      </c>
      <c r="C747">
        <v>10.91</v>
      </c>
      <c r="D747" s="1">
        <v>656113</v>
      </c>
      <c r="E747" s="4">
        <v>455169.91517615179</v>
      </c>
      <c r="F747" s="4">
        <v>149731.5997536105</v>
      </c>
    </row>
    <row r="748" spans="1:6" x14ac:dyDescent="0.25">
      <c r="A748" t="s">
        <v>14</v>
      </c>
      <c r="B748" t="s">
        <v>94</v>
      </c>
      <c r="C748">
        <v>5.09</v>
      </c>
      <c r="D748" s="1">
        <v>369114</v>
      </c>
      <c r="E748" s="4">
        <v>595830.07455284544</v>
      </c>
      <c r="F748" s="4">
        <v>186005.57928213448</v>
      </c>
    </row>
    <row r="749" spans="1:6" x14ac:dyDescent="0.25">
      <c r="A749" t="s">
        <v>15</v>
      </c>
      <c r="B749" t="s">
        <v>94</v>
      </c>
      <c r="C749">
        <v>1.85</v>
      </c>
      <c r="D749" s="1">
        <v>132277</v>
      </c>
      <c r="E749" s="4">
        <v>437128.82236585359</v>
      </c>
      <c r="F749" s="4">
        <v>179864.63598752482</v>
      </c>
    </row>
    <row r="750" spans="1:6" x14ac:dyDescent="0.25">
      <c r="A750" t="s">
        <v>16</v>
      </c>
      <c r="B750" t="s">
        <v>94</v>
      </c>
      <c r="C750">
        <v>7.49</v>
      </c>
      <c r="D750" s="1">
        <v>576173</v>
      </c>
      <c r="E750" s="4">
        <v>223732.54670975608</v>
      </c>
      <c r="F750" s="4">
        <v>248135.00048626593</v>
      </c>
    </row>
    <row r="751" spans="1:6" x14ac:dyDescent="0.25">
      <c r="A751" t="s">
        <v>17</v>
      </c>
      <c r="B751" t="s">
        <v>94</v>
      </c>
      <c r="C751">
        <v>4.46</v>
      </c>
      <c r="D751" s="1">
        <v>309413</v>
      </c>
      <c r="E751" s="4">
        <v>470440.86401292682</v>
      </c>
      <c r="F751" s="4">
        <v>299192.85039132979</v>
      </c>
    </row>
    <row r="752" spans="1:6" x14ac:dyDescent="0.25">
      <c r="A752" t="s">
        <v>18</v>
      </c>
      <c r="B752" t="s">
        <v>94</v>
      </c>
      <c r="C752">
        <v>3.44</v>
      </c>
      <c r="D752" s="1">
        <v>251094</v>
      </c>
      <c r="E752" s="4">
        <v>357721.35920387798</v>
      </c>
      <c r="F752" s="4">
        <v>284651.17817179923</v>
      </c>
    </row>
    <row r="753" spans="1:6" x14ac:dyDescent="0.25">
      <c r="A753" t="s">
        <v>19</v>
      </c>
      <c r="B753" t="s">
        <v>94</v>
      </c>
      <c r="C753">
        <v>0.72</v>
      </c>
      <c r="D753" s="1">
        <v>52553</v>
      </c>
      <c r="E753" s="4">
        <v>283082.20776116336</v>
      </c>
      <c r="F753" s="4">
        <v>232029.91174615905</v>
      </c>
    </row>
    <row r="754" spans="1:6" x14ac:dyDescent="0.25">
      <c r="A754" t="s">
        <v>20</v>
      </c>
      <c r="B754" t="s">
        <v>94</v>
      </c>
      <c r="C754">
        <v>0.77</v>
      </c>
      <c r="D754" s="1">
        <v>60551</v>
      </c>
      <c r="E754" s="4">
        <v>121711.762328349</v>
      </c>
      <c r="F754" s="4">
        <v>173630.91348254404</v>
      </c>
    </row>
    <row r="755" spans="1:6" x14ac:dyDescent="0.25">
      <c r="A755" t="s">
        <v>21</v>
      </c>
      <c r="B755" t="s">
        <v>94</v>
      </c>
      <c r="C755">
        <v>3.31</v>
      </c>
      <c r="D755" s="1">
        <v>232978</v>
      </c>
      <c r="E755" s="4">
        <v>78899.228698504696</v>
      </c>
      <c r="F755" s="4">
        <v>150835.17296524622</v>
      </c>
    </row>
    <row r="756" spans="1:6" x14ac:dyDescent="0.25">
      <c r="A756" t="s">
        <v>22</v>
      </c>
      <c r="B756" t="s">
        <v>94</v>
      </c>
      <c r="C756">
        <v>2.38</v>
      </c>
      <c r="D756" s="1">
        <v>173397</v>
      </c>
      <c r="E756" s="4">
        <v>186754.3686095514</v>
      </c>
      <c r="F756" s="4">
        <v>163935.57906014271</v>
      </c>
    </row>
    <row r="757" spans="1:6" x14ac:dyDescent="0.25">
      <c r="A757" t="s">
        <v>23</v>
      </c>
      <c r="B757" t="s">
        <v>94</v>
      </c>
      <c r="C757">
        <v>0</v>
      </c>
      <c r="D757">
        <v>0</v>
      </c>
      <c r="E757" s="4">
        <v>177404.2105828654</v>
      </c>
      <c r="F757" s="4">
        <v>96019.661025810608</v>
      </c>
    </row>
    <row r="758" spans="1:6" x14ac:dyDescent="0.25">
      <c r="A758" t="s">
        <v>24</v>
      </c>
      <c r="B758" t="s">
        <v>94</v>
      </c>
      <c r="C758">
        <v>0.35</v>
      </c>
      <c r="D758" s="1">
        <v>26504</v>
      </c>
      <c r="E758" s="4">
        <v>53221.263174859618</v>
      </c>
      <c r="F758" s="4">
        <v>135881.003080489</v>
      </c>
    </row>
    <row r="759" spans="1:6" x14ac:dyDescent="0.25">
      <c r="A759" t="s">
        <v>25</v>
      </c>
      <c r="B759" t="s">
        <v>94</v>
      </c>
      <c r="C759">
        <v>1.75</v>
      </c>
      <c r="D759" s="1">
        <v>124785</v>
      </c>
      <c r="E759" s="4">
        <v>34519.178952457885</v>
      </c>
      <c r="F759" s="4">
        <v>103866.07623963946</v>
      </c>
    </row>
    <row r="760" spans="1:6" x14ac:dyDescent="0.25">
      <c r="A760" t="s">
        <v>26</v>
      </c>
      <c r="B760" t="s">
        <v>94</v>
      </c>
      <c r="C760">
        <v>3.67</v>
      </c>
      <c r="D760" s="1">
        <v>272153</v>
      </c>
      <c r="E760" s="4">
        <v>97705.253685737363</v>
      </c>
      <c r="F760" s="4">
        <v>115951.1169034481</v>
      </c>
    </row>
    <row r="761" spans="1:6" x14ac:dyDescent="0.25">
      <c r="A761" t="s">
        <v>27</v>
      </c>
      <c r="B761" t="s">
        <v>94</v>
      </c>
      <c r="C761">
        <v>0.51</v>
      </c>
      <c r="D761" s="1">
        <v>34645</v>
      </c>
      <c r="E761" s="4">
        <v>219818.67610572118</v>
      </c>
      <c r="F761" s="4">
        <v>114446.12530949069</v>
      </c>
    </row>
    <row r="762" spans="1:6" x14ac:dyDescent="0.25">
      <c r="A762" t="s">
        <v>28</v>
      </c>
      <c r="B762" t="s">
        <v>94</v>
      </c>
      <c r="C762">
        <v>1.18</v>
      </c>
      <c r="D762" s="1">
        <v>86283</v>
      </c>
      <c r="E762" s="4">
        <v>90197.102831716358</v>
      </c>
      <c r="F762" s="4">
        <v>155851.66555202287</v>
      </c>
    </row>
    <row r="763" spans="1:6" x14ac:dyDescent="0.25">
      <c r="A763" t="s">
        <v>29</v>
      </c>
      <c r="B763" t="s">
        <v>94</v>
      </c>
      <c r="C763">
        <v>8.1999999999999993</v>
      </c>
      <c r="D763" s="1">
        <v>581517</v>
      </c>
      <c r="E763" s="4">
        <v>87457.230849514905</v>
      </c>
      <c r="F763" s="4">
        <v>146897.50022562119</v>
      </c>
    </row>
    <row r="764" spans="1:6" x14ac:dyDescent="0.25">
      <c r="A764" t="s">
        <v>30</v>
      </c>
      <c r="B764" t="s">
        <v>94</v>
      </c>
      <c r="C764">
        <v>7.36</v>
      </c>
      <c r="D764" s="1">
        <v>538228</v>
      </c>
      <c r="E764" s="4">
        <v>433299.06925485446</v>
      </c>
      <c r="F764" s="4">
        <v>304630.741508751</v>
      </c>
    </row>
    <row r="765" spans="1:6" x14ac:dyDescent="0.25">
      <c r="A765" t="s">
        <v>31</v>
      </c>
      <c r="B765" t="s">
        <v>94</v>
      </c>
      <c r="C765">
        <v>5.7</v>
      </c>
      <c r="D765" s="1">
        <v>389810</v>
      </c>
      <c r="E765" s="4">
        <v>506749.32077645633</v>
      </c>
      <c r="F765" s="4">
        <v>291616.44683918147</v>
      </c>
    </row>
    <row r="766" spans="1:6" x14ac:dyDescent="0.25">
      <c r="A766" t="s">
        <v>32</v>
      </c>
      <c r="B766" t="s">
        <v>94</v>
      </c>
      <c r="C766">
        <v>6.19</v>
      </c>
      <c r="D766" s="1">
        <v>446160</v>
      </c>
      <c r="E766" s="4">
        <v>424891.7962329369</v>
      </c>
      <c r="F766" s="4">
        <v>299321.42185506265</v>
      </c>
    </row>
    <row r="767" spans="1:6" x14ac:dyDescent="0.25">
      <c r="A767" t="s">
        <v>33</v>
      </c>
      <c r="B767" t="s">
        <v>94</v>
      </c>
      <c r="C767">
        <v>4.76</v>
      </c>
      <c r="D767" s="1">
        <v>341938</v>
      </c>
      <c r="E767" s="4">
        <v>439779.53886988107</v>
      </c>
      <c r="F767" s="4">
        <v>91537.281553211636</v>
      </c>
    </row>
    <row r="768" spans="1:6" x14ac:dyDescent="0.25">
      <c r="A768" t="s">
        <v>34</v>
      </c>
      <c r="B768" t="s">
        <v>94</v>
      </c>
      <c r="C768">
        <v>5.99</v>
      </c>
      <c r="D768" s="1">
        <v>438991</v>
      </c>
      <c r="E768" s="4">
        <v>371290.4616609643</v>
      </c>
      <c r="F768" s="4">
        <v>88882.146620422252</v>
      </c>
    </row>
    <row r="769" spans="1:6" x14ac:dyDescent="0.25">
      <c r="A769" t="s">
        <v>35</v>
      </c>
      <c r="B769" t="s">
        <v>94</v>
      </c>
      <c r="C769">
        <v>6.19</v>
      </c>
      <c r="D769" s="1">
        <v>433577</v>
      </c>
      <c r="E769" s="4">
        <v>418680.83849828923</v>
      </c>
      <c r="F769" s="4">
        <v>69782.199524183845</v>
      </c>
    </row>
    <row r="770" spans="1:6" x14ac:dyDescent="0.25">
      <c r="A770" t="s">
        <v>36</v>
      </c>
      <c r="B770" t="s">
        <v>94</v>
      </c>
      <c r="C770">
        <v>8.9</v>
      </c>
      <c r="D770" s="1">
        <v>615992</v>
      </c>
      <c r="E770" s="4">
        <v>429108.15154948673</v>
      </c>
      <c r="F770" s="4">
        <v>69229.630571759131</v>
      </c>
    </row>
    <row r="771" spans="1:6" x14ac:dyDescent="0.25">
      <c r="A771" t="s">
        <v>37</v>
      </c>
      <c r="B771" t="s">
        <v>94</v>
      </c>
      <c r="C771">
        <v>7.45</v>
      </c>
      <c r="D771" s="1">
        <v>532048</v>
      </c>
      <c r="E771" s="4">
        <v>559926.845464846</v>
      </c>
      <c r="F771" s="4">
        <v>115080.88652560092</v>
      </c>
    </row>
    <row r="772" spans="1:6" x14ac:dyDescent="0.25">
      <c r="A772" t="s">
        <v>38</v>
      </c>
      <c r="B772" t="s">
        <v>94</v>
      </c>
      <c r="C772">
        <v>7.93</v>
      </c>
      <c r="D772" s="1">
        <v>574076</v>
      </c>
      <c r="E772" s="4">
        <v>540411.65363945381</v>
      </c>
      <c r="F772" s="4">
        <v>109429.88388859207</v>
      </c>
    </row>
    <row r="773" spans="1:6" x14ac:dyDescent="0.25">
      <c r="A773" t="s">
        <v>39</v>
      </c>
      <c r="B773" t="s">
        <v>94</v>
      </c>
      <c r="C773">
        <v>9.1999999999999993</v>
      </c>
      <c r="D773" s="1">
        <v>640623</v>
      </c>
      <c r="E773" s="4">
        <v>563976.69609183609</v>
      </c>
      <c r="F773" s="4">
        <v>110809.28218040519</v>
      </c>
    </row>
    <row r="774" spans="1:6" x14ac:dyDescent="0.25">
      <c r="A774" t="s">
        <v>40</v>
      </c>
      <c r="B774" t="s">
        <v>94</v>
      </c>
      <c r="C774">
        <v>7.96</v>
      </c>
      <c r="D774" s="1">
        <v>557671</v>
      </c>
      <c r="E774" s="4">
        <v>617629.10882755078</v>
      </c>
      <c r="F774" s="4">
        <v>50941.712257305102</v>
      </c>
    </row>
    <row r="775" spans="1:6" x14ac:dyDescent="0.25">
      <c r="A775" t="s">
        <v>41</v>
      </c>
      <c r="B775" t="s">
        <v>94</v>
      </c>
      <c r="C775">
        <v>5.88</v>
      </c>
      <c r="D775" s="1">
        <v>420380</v>
      </c>
      <c r="E775" s="4">
        <v>575658.43264826515</v>
      </c>
      <c r="F775" s="4">
        <v>59450.032051692695</v>
      </c>
    </row>
    <row r="776" spans="1:6" x14ac:dyDescent="0.25">
      <c r="A776" t="s">
        <v>42</v>
      </c>
      <c r="B776" t="s">
        <v>94</v>
      </c>
      <c r="C776">
        <v>7.32</v>
      </c>
      <c r="D776" s="1">
        <v>542048</v>
      </c>
      <c r="E776" s="4">
        <v>466963.52979447955</v>
      </c>
      <c r="F776" s="4">
        <v>105800.16125170582</v>
      </c>
    </row>
    <row r="777" spans="1:6" x14ac:dyDescent="0.25">
      <c r="A777" t="s">
        <v>43</v>
      </c>
      <c r="B777" t="s">
        <v>94</v>
      </c>
      <c r="C777">
        <v>8.5500000000000007</v>
      </c>
      <c r="D777" s="1">
        <v>594329</v>
      </c>
      <c r="E777" s="4">
        <v>519522.65893834387</v>
      </c>
      <c r="F777" s="4">
        <v>105426.18922880269</v>
      </c>
    </row>
    <row r="778" spans="1:6" x14ac:dyDescent="0.25">
      <c r="A778" t="s">
        <v>44</v>
      </c>
      <c r="B778" t="s">
        <v>94</v>
      </c>
      <c r="C778">
        <v>9.7799999999999994</v>
      </c>
      <c r="D778" s="1">
        <v>681720</v>
      </c>
      <c r="E778" s="4">
        <v>571887.09768150316</v>
      </c>
      <c r="F778" s="4">
        <v>108543.4751221499</v>
      </c>
    </row>
    <row r="779" spans="1:6" x14ac:dyDescent="0.25">
      <c r="A779" t="s">
        <v>45</v>
      </c>
      <c r="B779" t="s">
        <v>94</v>
      </c>
      <c r="C779">
        <v>6.2</v>
      </c>
      <c r="D779" s="1">
        <v>437524</v>
      </c>
      <c r="E779" s="4">
        <v>648770.12930445094</v>
      </c>
      <c r="F779" s="4">
        <v>88122.892903000291</v>
      </c>
    </row>
    <row r="780" spans="1:6" x14ac:dyDescent="0.25">
      <c r="A780" t="s">
        <v>46</v>
      </c>
      <c r="B780" t="s">
        <v>94</v>
      </c>
      <c r="C780">
        <v>5.45</v>
      </c>
      <c r="D780" s="1">
        <v>407834</v>
      </c>
      <c r="E780" s="4">
        <v>500897.83879133523</v>
      </c>
      <c r="F780" s="4">
        <v>144088.14691112994</v>
      </c>
    </row>
    <row r="781" spans="1:6" x14ac:dyDescent="0.25">
      <c r="A781" t="s">
        <v>47</v>
      </c>
      <c r="B781" t="s">
        <v>94</v>
      </c>
      <c r="C781">
        <v>11.88</v>
      </c>
      <c r="D781" s="1">
        <v>817325</v>
      </c>
      <c r="E781" s="4">
        <v>435753.15163740056</v>
      </c>
      <c r="F781" s="4">
        <v>147590.73104184298</v>
      </c>
    </row>
    <row r="782" spans="1:6" x14ac:dyDescent="0.25">
      <c r="A782" t="s">
        <v>48</v>
      </c>
      <c r="B782" t="s">
        <v>94</v>
      </c>
      <c r="C782">
        <v>10.71</v>
      </c>
      <c r="D782" s="1">
        <v>773297</v>
      </c>
      <c r="E782" s="4">
        <v>702853.4454912201</v>
      </c>
      <c r="F782" s="4">
        <v>257476.78257760318</v>
      </c>
    </row>
    <row r="783" spans="1:6" x14ac:dyDescent="0.25">
      <c r="A783" t="s">
        <v>49</v>
      </c>
      <c r="B783" t="s">
        <v>94</v>
      </c>
      <c r="C783">
        <v>7.11</v>
      </c>
      <c r="D783" s="1">
        <v>500243</v>
      </c>
      <c r="E783" s="4">
        <v>752163.93364736601</v>
      </c>
      <c r="F783" s="4">
        <v>230376.68279382621</v>
      </c>
    </row>
    <row r="784" spans="1:6" x14ac:dyDescent="0.25">
      <c r="A784" t="s">
        <v>50</v>
      </c>
      <c r="B784" t="s">
        <v>94</v>
      </c>
      <c r="C784">
        <v>8.4600000000000009</v>
      </c>
      <c r="D784" s="1">
        <v>619253</v>
      </c>
      <c r="E784" s="4">
        <v>575819.28009420983</v>
      </c>
      <c r="F784" s="4">
        <v>267097.68914789875</v>
      </c>
    </row>
    <row r="785" spans="1:6" x14ac:dyDescent="0.25">
      <c r="A785" t="s">
        <v>51</v>
      </c>
      <c r="B785" t="s">
        <v>94</v>
      </c>
      <c r="C785">
        <v>9.98</v>
      </c>
      <c r="D785" s="1">
        <v>694448</v>
      </c>
      <c r="E785" s="4">
        <v>606222.88402826292</v>
      </c>
      <c r="F785" s="4">
        <v>153093.587070618</v>
      </c>
    </row>
    <row r="786" spans="1:6" x14ac:dyDescent="0.25">
      <c r="A786" t="s">
        <v>52</v>
      </c>
      <c r="B786" t="s">
        <v>94</v>
      </c>
      <c r="C786">
        <v>12.06</v>
      </c>
      <c r="D786" s="1">
        <v>846052</v>
      </c>
      <c r="E786" s="4">
        <v>667980.46520847885</v>
      </c>
      <c r="F786" s="4">
        <v>156134.89458674475</v>
      </c>
    </row>
    <row r="787" spans="1:6" x14ac:dyDescent="0.25">
      <c r="A787" t="s">
        <v>53</v>
      </c>
      <c r="B787" t="s">
        <v>94</v>
      </c>
      <c r="C787">
        <v>6.38</v>
      </c>
      <c r="D787" s="1">
        <v>489566</v>
      </c>
      <c r="E787" s="4">
        <v>792630.53956254362</v>
      </c>
      <c r="F787" s="4">
        <v>117444.49840398232</v>
      </c>
    </row>
    <row r="788" spans="1:6" x14ac:dyDescent="0.25">
      <c r="A788" t="s">
        <v>54</v>
      </c>
      <c r="B788" t="s">
        <v>94</v>
      </c>
      <c r="C788">
        <v>6.57</v>
      </c>
      <c r="D788" s="1">
        <v>509913</v>
      </c>
      <c r="E788" s="4">
        <v>580485.36186876299</v>
      </c>
      <c r="F788" s="4">
        <v>209237.70989912481</v>
      </c>
    </row>
    <row r="789" spans="1:6" x14ac:dyDescent="0.25">
      <c r="A789" t="s">
        <v>55</v>
      </c>
      <c r="B789" t="s">
        <v>94</v>
      </c>
      <c r="C789">
        <v>8.07</v>
      </c>
      <c r="D789" s="1">
        <v>587466</v>
      </c>
      <c r="E789" s="4">
        <v>531084.70856062882</v>
      </c>
      <c r="F789" s="4">
        <v>206992.78965139514</v>
      </c>
    </row>
    <row r="790" spans="1:6" x14ac:dyDescent="0.25">
      <c r="A790" t="s">
        <v>56</v>
      </c>
      <c r="B790" t="s">
        <v>94</v>
      </c>
      <c r="C790">
        <v>15.15</v>
      </c>
      <c r="D790" s="1">
        <v>1041326</v>
      </c>
      <c r="E790" s="4">
        <v>570551.61256818858</v>
      </c>
      <c r="F790" s="4">
        <v>182580.96233759195</v>
      </c>
    </row>
    <row r="791" spans="1:6" x14ac:dyDescent="0.25">
      <c r="A791" t="s">
        <v>57</v>
      </c>
      <c r="B791" t="s">
        <v>94</v>
      </c>
      <c r="C791">
        <v>6.16</v>
      </c>
      <c r="D791" s="1">
        <v>484714</v>
      </c>
      <c r="E791" s="4">
        <v>900093.68377045658</v>
      </c>
      <c r="F791" s="4">
        <v>276759.72259097733</v>
      </c>
    </row>
    <row r="792" spans="1:6" x14ac:dyDescent="0.25">
      <c r="A792" t="s">
        <v>58</v>
      </c>
      <c r="B792" t="s">
        <v>94</v>
      </c>
      <c r="C792">
        <v>9.06</v>
      </c>
      <c r="D792" s="1">
        <v>718676</v>
      </c>
      <c r="E792" s="4">
        <v>609327.905131137</v>
      </c>
      <c r="F792" s="4">
        <v>363935.73405910237</v>
      </c>
    </row>
    <row r="793" spans="1:6" x14ac:dyDescent="0.25">
      <c r="A793" t="s">
        <v>59</v>
      </c>
      <c r="B793" t="s">
        <v>94</v>
      </c>
      <c r="C793">
        <v>5.01</v>
      </c>
      <c r="D793" s="1">
        <v>358588</v>
      </c>
      <c r="E793" s="4">
        <v>685871.57153934101</v>
      </c>
      <c r="F793" s="4">
        <v>367933.78543903411</v>
      </c>
    </row>
    <row r="794" spans="1:6" x14ac:dyDescent="0.25">
      <c r="A794" t="s">
        <v>60</v>
      </c>
      <c r="B794" t="s">
        <v>94</v>
      </c>
      <c r="C794">
        <v>41.72</v>
      </c>
      <c r="D794" s="1">
        <v>1785797</v>
      </c>
      <c r="E794" s="4">
        <v>456773.07146180223</v>
      </c>
      <c r="F794" s="4">
        <v>311775.46607574355</v>
      </c>
    </row>
    <row r="795" spans="1:6" x14ac:dyDescent="0.25">
      <c r="A795" t="s">
        <v>61</v>
      </c>
      <c r="B795" t="s">
        <v>94</v>
      </c>
      <c r="C795">
        <v>55.1</v>
      </c>
      <c r="D795" s="1">
        <v>1826586</v>
      </c>
      <c r="E795" s="4">
        <v>1387089.8214385405</v>
      </c>
      <c r="F795" s="4">
        <v>792753.8804021714</v>
      </c>
    </row>
    <row r="796" spans="1:6" x14ac:dyDescent="0.25">
      <c r="A796" t="s">
        <v>62</v>
      </c>
      <c r="B796" t="s">
        <v>94</v>
      </c>
      <c r="C796">
        <v>21.53</v>
      </c>
      <c r="D796" s="1">
        <v>1372562</v>
      </c>
      <c r="E796" s="4">
        <v>1694737.146431562</v>
      </c>
      <c r="F796" s="4">
        <v>829975.10601157532</v>
      </c>
    </row>
    <row r="797" spans="1:6" x14ac:dyDescent="0.25">
      <c r="A797" t="s">
        <v>63</v>
      </c>
      <c r="B797" t="s">
        <v>94</v>
      </c>
      <c r="C797">
        <v>8.36</v>
      </c>
      <c r="D797" s="1">
        <v>577463</v>
      </c>
      <c r="E797" s="4">
        <v>1469214.5439294684</v>
      </c>
      <c r="F797" s="4">
        <v>829308.61134952423</v>
      </c>
    </row>
    <row r="798" spans="1:6" x14ac:dyDescent="0.25">
      <c r="A798" t="s">
        <v>64</v>
      </c>
      <c r="B798" t="s">
        <v>94</v>
      </c>
      <c r="C798">
        <v>6.35</v>
      </c>
      <c r="D798" s="1">
        <v>450435</v>
      </c>
      <c r="E798" s="4">
        <v>844988.46317884047</v>
      </c>
      <c r="F798" s="4">
        <v>603372.33724263369</v>
      </c>
    </row>
    <row r="799" spans="1:6" x14ac:dyDescent="0.25">
      <c r="A799" t="s">
        <v>65</v>
      </c>
      <c r="B799" t="s">
        <v>94</v>
      </c>
      <c r="C799">
        <v>7.79</v>
      </c>
      <c r="D799" s="1">
        <v>595185</v>
      </c>
      <c r="E799" s="4">
        <v>568801.03895365214</v>
      </c>
      <c r="F799" s="4">
        <v>592927.78548071813</v>
      </c>
    </row>
    <row r="800" spans="1:6" x14ac:dyDescent="0.25">
      <c r="A800" t="s">
        <v>66</v>
      </c>
      <c r="B800" t="s">
        <v>94</v>
      </c>
      <c r="C800">
        <v>11.32</v>
      </c>
      <c r="D800" s="1">
        <v>905587</v>
      </c>
      <c r="E800" s="4">
        <v>587269.81168609567</v>
      </c>
      <c r="F800" s="4">
        <v>563201.96638136322</v>
      </c>
    </row>
    <row r="801" spans="1:6" x14ac:dyDescent="0.25">
      <c r="A801" t="s">
        <v>67</v>
      </c>
      <c r="B801" t="s">
        <v>94</v>
      </c>
      <c r="C801">
        <v>8.17</v>
      </c>
      <c r="D801" s="1">
        <v>588355</v>
      </c>
      <c r="E801" s="4">
        <v>810091.84350582864</v>
      </c>
      <c r="F801" s="4">
        <v>293083.82252806192</v>
      </c>
    </row>
    <row r="802" spans="1:6" x14ac:dyDescent="0.25">
      <c r="A802" t="s">
        <v>68</v>
      </c>
      <c r="B802" t="s">
        <v>94</v>
      </c>
      <c r="C802">
        <v>9.86</v>
      </c>
      <c r="D802" s="1">
        <v>725641</v>
      </c>
      <c r="E802" s="4">
        <v>654876.05305174855</v>
      </c>
      <c r="F802" s="4">
        <v>224491.40558493044</v>
      </c>
    </row>
    <row r="803" spans="1:6" x14ac:dyDescent="0.25">
      <c r="A803" t="s">
        <v>69</v>
      </c>
      <c r="B803" t="s">
        <v>94</v>
      </c>
      <c r="C803">
        <v>8.5299999999999994</v>
      </c>
      <c r="D803" s="1">
        <v>651198</v>
      </c>
      <c r="E803" s="4">
        <v>704411.51591552445</v>
      </c>
      <c r="F803" s="4">
        <v>227669.8910415303</v>
      </c>
    </row>
    <row r="804" spans="1:6" x14ac:dyDescent="0.25">
      <c r="A804" t="s">
        <v>70</v>
      </c>
      <c r="B804" t="s">
        <v>94</v>
      </c>
      <c r="C804">
        <v>10.82</v>
      </c>
      <c r="D804" s="1">
        <v>857156</v>
      </c>
      <c r="E804" s="4">
        <v>667162.05477465736</v>
      </c>
      <c r="F804" s="4">
        <v>137848.44789430767</v>
      </c>
    </row>
    <row r="805" spans="1:6" x14ac:dyDescent="0.25">
      <c r="A805" t="s">
        <v>71</v>
      </c>
      <c r="B805" t="s">
        <v>94</v>
      </c>
      <c r="C805">
        <v>12.77</v>
      </c>
      <c r="D805" s="1">
        <v>922947</v>
      </c>
      <c r="E805" s="4">
        <v>800157.81643239711</v>
      </c>
      <c r="F805" s="4">
        <v>121019.3582517154</v>
      </c>
    </row>
    <row r="806" spans="1:6" x14ac:dyDescent="0.25">
      <c r="A806" t="s">
        <v>72</v>
      </c>
      <c r="B806" t="s">
        <v>94</v>
      </c>
      <c r="C806">
        <v>14.13</v>
      </c>
      <c r="D806" s="1">
        <v>1030825</v>
      </c>
      <c r="E806" s="4">
        <v>886110.24492971902</v>
      </c>
      <c r="F806" s="4">
        <v>134172.22899390763</v>
      </c>
    </row>
    <row r="807" spans="1:6" x14ac:dyDescent="0.25">
      <c r="A807" t="s">
        <v>73</v>
      </c>
      <c r="B807" t="s">
        <v>94</v>
      </c>
      <c r="C807">
        <v>12.04</v>
      </c>
      <c r="D807" s="1">
        <v>861731</v>
      </c>
      <c r="E807" s="4">
        <v>987410.57347891573</v>
      </c>
      <c r="F807" s="4">
        <v>155045.41609749963</v>
      </c>
    </row>
    <row r="808" spans="1:6" x14ac:dyDescent="0.25">
      <c r="A808" t="s">
        <v>74</v>
      </c>
      <c r="B808" t="s">
        <v>94</v>
      </c>
      <c r="C808">
        <v>9.91</v>
      </c>
      <c r="D808" s="1">
        <v>840687</v>
      </c>
      <c r="E808" s="4">
        <v>899434.87204367458</v>
      </c>
      <c r="F808" s="4">
        <v>131421.58514502359</v>
      </c>
    </row>
    <row r="809" spans="1:6" x14ac:dyDescent="0.25">
      <c r="A809" t="s">
        <v>75</v>
      </c>
      <c r="B809" t="s">
        <v>94</v>
      </c>
      <c r="C809">
        <v>8.4600000000000009</v>
      </c>
      <c r="D809" s="1">
        <v>655064</v>
      </c>
      <c r="E809" s="4">
        <v>858311.36161310226</v>
      </c>
      <c r="F809" s="4">
        <v>115742.57066806138</v>
      </c>
    </row>
    <row r="810" spans="1:6" x14ac:dyDescent="0.25">
      <c r="A810" t="s">
        <v>76</v>
      </c>
      <c r="B810" t="s">
        <v>94</v>
      </c>
      <c r="C810">
        <v>15.1</v>
      </c>
      <c r="D810" s="1">
        <v>1138844</v>
      </c>
      <c r="E810" s="4">
        <v>716038.20848393068</v>
      </c>
      <c r="F810" s="4">
        <v>142075.28246460197</v>
      </c>
    </row>
    <row r="811" spans="1:6" x14ac:dyDescent="0.25">
      <c r="A811" t="s">
        <v>77</v>
      </c>
      <c r="B811" t="s">
        <v>94</v>
      </c>
      <c r="C811">
        <v>11.46</v>
      </c>
      <c r="D811" s="1">
        <v>864553</v>
      </c>
      <c r="E811" s="4">
        <v>1012002.2625451791</v>
      </c>
      <c r="F811" s="4">
        <v>272962.47593877377</v>
      </c>
    </row>
    <row r="812" spans="1:6" x14ac:dyDescent="0.25">
      <c r="A812" t="s">
        <v>78</v>
      </c>
      <c r="B812" t="s">
        <v>94</v>
      </c>
      <c r="C812">
        <v>18.23</v>
      </c>
      <c r="D812" s="1">
        <v>1394538</v>
      </c>
      <c r="E812" s="4">
        <v>908787.77876355371</v>
      </c>
      <c r="F812" s="4">
        <v>283910.49784943037</v>
      </c>
    </row>
    <row r="813" spans="1:6" x14ac:dyDescent="0.25">
      <c r="A813" t="s">
        <v>79</v>
      </c>
      <c r="B813" t="s">
        <v>94</v>
      </c>
      <c r="C813">
        <v>10.69</v>
      </c>
      <c r="D813" s="1">
        <v>803342</v>
      </c>
      <c r="E813" s="4">
        <v>1248812.9336290662</v>
      </c>
      <c r="F813" s="4">
        <v>381426.83867984591</v>
      </c>
    </row>
    <row r="814" spans="1:6" x14ac:dyDescent="0.25">
      <c r="A814" t="s">
        <v>80</v>
      </c>
      <c r="B814" t="s">
        <v>94</v>
      </c>
      <c r="C814">
        <v>17.079999999999998</v>
      </c>
      <c r="D814" s="1">
        <v>1269519</v>
      </c>
      <c r="E814" s="4">
        <v>936983.28008871968</v>
      </c>
      <c r="F814" s="4">
        <v>389931.15425021958</v>
      </c>
    </row>
    <row r="815" spans="1:6" x14ac:dyDescent="0.25">
      <c r="A815" t="s">
        <v>81</v>
      </c>
      <c r="B815" t="s">
        <v>94</v>
      </c>
      <c r="C815">
        <v>5.13</v>
      </c>
      <c r="D815" s="1">
        <v>414826</v>
      </c>
      <c r="E815" s="4">
        <v>1169758.2840266158</v>
      </c>
      <c r="F815" s="4">
        <v>426214.98298257968</v>
      </c>
    </row>
    <row r="816" spans="1:6" x14ac:dyDescent="0.25">
      <c r="A816" t="s">
        <v>82</v>
      </c>
      <c r="B816" t="s">
        <v>94</v>
      </c>
      <c r="C816">
        <v>13.85</v>
      </c>
      <c r="D816" s="1">
        <v>1120287</v>
      </c>
      <c r="E816" s="4">
        <v>641305.68520798464</v>
      </c>
      <c r="F816" s="4">
        <v>541278.45920281124</v>
      </c>
    </row>
    <row r="817" spans="1:6" x14ac:dyDescent="0.25">
      <c r="A817" t="s">
        <v>83</v>
      </c>
      <c r="B817" t="s">
        <v>94</v>
      </c>
      <c r="C817">
        <v>14</v>
      </c>
      <c r="D817" s="1">
        <v>1026194</v>
      </c>
      <c r="E817" s="4">
        <v>976592.6055623953</v>
      </c>
      <c r="F817" s="4">
        <v>550734.61800351844</v>
      </c>
    </row>
    <row r="818" spans="1:6" x14ac:dyDescent="0.25">
      <c r="A818" t="s">
        <v>84</v>
      </c>
      <c r="B818" t="s">
        <v>94</v>
      </c>
      <c r="C818">
        <v>12.85</v>
      </c>
      <c r="D818" s="1">
        <v>981135</v>
      </c>
      <c r="E818" s="4">
        <v>1011313.5816687185</v>
      </c>
      <c r="F818" s="4">
        <v>516980.38380441652</v>
      </c>
    </row>
    <row r="819" spans="1:6" x14ac:dyDescent="0.25">
      <c r="A819" t="s">
        <v>7</v>
      </c>
      <c r="B819" t="s">
        <v>95</v>
      </c>
      <c r="C819">
        <v>4.42</v>
      </c>
      <c r="D819" s="1">
        <v>646975</v>
      </c>
      <c r="E819" s="4">
        <v>990188.57450061548</v>
      </c>
      <c r="F819" s="4">
        <v>278564.26250901725</v>
      </c>
    </row>
    <row r="820" spans="1:6" x14ac:dyDescent="0.25">
      <c r="A820" t="s">
        <v>10</v>
      </c>
      <c r="B820" t="s">
        <v>95</v>
      </c>
      <c r="C820">
        <v>4.8499999999999996</v>
      </c>
      <c r="D820" s="1">
        <v>707280</v>
      </c>
      <c r="E820" s="4">
        <v>749939.07235018467</v>
      </c>
      <c r="F820" s="4">
        <v>200969.81767019967</v>
      </c>
    </row>
    <row r="821" spans="1:6" x14ac:dyDescent="0.25">
      <c r="A821" t="s">
        <v>11</v>
      </c>
      <c r="B821" t="s">
        <v>95</v>
      </c>
      <c r="C821">
        <v>2.4700000000000002</v>
      </c>
      <c r="D821" s="1">
        <v>346552</v>
      </c>
      <c r="E821" s="4">
        <v>720077.72170505533</v>
      </c>
      <c r="F821" s="4">
        <v>200437.93799811063</v>
      </c>
    </row>
    <row r="822" spans="1:6" x14ac:dyDescent="0.25">
      <c r="A822" t="s">
        <v>12</v>
      </c>
      <c r="B822" t="s">
        <v>95</v>
      </c>
      <c r="C822">
        <v>2.76</v>
      </c>
      <c r="D822" s="1">
        <v>393405</v>
      </c>
      <c r="E822" s="4">
        <v>458609.7165115166</v>
      </c>
      <c r="F822" s="4">
        <v>293902.94256809243</v>
      </c>
    </row>
    <row r="823" spans="1:6" x14ac:dyDescent="0.25">
      <c r="A823" t="s">
        <v>13</v>
      </c>
      <c r="B823" t="s">
        <v>95</v>
      </c>
      <c r="C823">
        <v>8.58</v>
      </c>
      <c r="D823" s="1">
        <v>1261915</v>
      </c>
      <c r="E823" s="4">
        <v>412966.41495345498</v>
      </c>
      <c r="F823" s="4">
        <v>220297.46275162286</v>
      </c>
    </row>
    <row r="824" spans="1:6" x14ac:dyDescent="0.25">
      <c r="A824" t="s">
        <v>14</v>
      </c>
      <c r="B824" t="s">
        <v>95</v>
      </c>
      <c r="C824">
        <v>2.62</v>
      </c>
      <c r="D824" s="1">
        <v>389328</v>
      </c>
      <c r="E824" s="4">
        <v>1007230.4244860365</v>
      </c>
      <c r="F824" s="4">
        <v>536807.48252458894</v>
      </c>
    </row>
    <row r="825" spans="1:6" x14ac:dyDescent="0.25">
      <c r="A825" t="s">
        <v>15</v>
      </c>
      <c r="B825" t="s">
        <v>95</v>
      </c>
      <c r="C825">
        <v>2.4</v>
      </c>
      <c r="D825" s="1">
        <v>362245</v>
      </c>
      <c r="E825" s="4">
        <v>574698.72734581097</v>
      </c>
      <c r="F825" s="4">
        <v>607390.25381644047</v>
      </c>
    </row>
    <row r="826" spans="1:6" x14ac:dyDescent="0.25">
      <c r="A826" t="s">
        <v>16</v>
      </c>
      <c r="B826" t="s">
        <v>95</v>
      </c>
      <c r="C826">
        <v>2.0299999999999998</v>
      </c>
      <c r="D826" s="1">
        <v>293403</v>
      </c>
      <c r="E826" s="4">
        <v>425981.11820374324</v>
      </c>
      <c r="F826" s="4">
        <v>618507.26013022172</v>
      </c>
    </row>
    <row r="827" spans="1:6" x14ac:dyDescent="0.25">
      <c r="A827" t="s">
        <v>17</v>
      </c>
      <c r="B827" t="s">
        <v>95</v>
      </c>
      <c r="C827">
        <v>3.39</v>
      </c>
      <c r="D827" s="1">
        <v>547018</v>
      </c>
      <c r="E827" s="4">
        <v>333176.43546112295</v>
      </c>
      <c r="F827" s="4">
        <v>384931.57395191508</v>
      </c>
    </row>
    <row r="828" spans="1:6" x14ac:dyDescent="0.25">
      <c r="A828" t="s">
        <v>18</v>
      </c>
      <c r="B828" t="s">
        <v>95</v>
      </c>
      <c r="C828">
        <v>4.43</v>
      </c>
      <c r="D828" s="1">
        <v>688295</v>
      </c>
      <c r="E828" s="4">
        <v>482865.53063833684</v>
      </c>
      <c r="F828" s="4">
        <v>190124.30882101724</v>
      </c>
    </row>
    <row r="829" spans="1:6" x14ac:dyDescent="0.25">
      <c r="A829" t="s">
        <v>19</v>
      </c>
      <c r="B829" t="s">
        <v>95</v>
      </c>
      <c r="C829">
        <v>5.36</v>
      </c>
      <c r="D829" s="1">
        <v>752381</v>
      </c>
      <c r="E829" s="4">
        <v>626666.15919150098</v>
      </c>
      <c r="F829" s="4">
        <v>187533.49837037554</v>
      </c>
    </row>
    <row r="830" spans="1:6" x14ac:dyDescent="0.25">
      <c r="A830" t="s">
        <v>20</v>
      </c>
      <c r="B830" t="s">
        <v>95</v>
      </c>
      <c r="C830">
        <v>3.51</v>
      </c>
      <c r="D830" s="1">
        <v>554012</v>
      </c>
      <c r="E830" s="4">
        <v>714666.54775745026</v>
      </c>
      <c r="F830" s="4">
        <v>185951.34023551742</v>
      </c>
    </row>
    <row r="831" spans="1:6" x14ac:dyDescent="0.25">
      <c r="A831" t="s">
        <v>21</v>
      </c>
      <c r="B831" t="s">
        <v>95</v>
      </c>
      <c r="C831">
        <v>5.93</v>
      </c>
      <c r="D831" s="1">
        <v>934166</v>
      </c>
      <c r="E831" s="4">
        <v>602208.36432723503</v>
      </c>
      <c r="F831" s="4">
        <v>167148.01005583006</v>
      </c>
    </row>
    <row r="832" spans="1:6" x14ac:dyDescent="0.25">
      <c r="A832" t="s">
        <v>22</v>
      </c>
      <c r="B832" t="s">
        <v>95</v>
      </c>
      <c r="C832">
        <v>3.87</v>
      </c>
      <c r="D832" s="1">
        <v>598589</v>
      </c>
      <c r="E832" s="4">
        <v>834578.7092981704</v>
      </c>
      <c r="F832" s="4">
        <v>224951.8295073483</v>
      </c>
    </row>
    <row r="833" spans="1:6" x14ac:dyDescent="0.25">
      <c r="A833" t="s">
        <v>23</v>
      </c>
      <c r="B833" t="s">
        <v>95</v>
      </c>
      <c r="C833">
        <v>3.03</v>
      </c>
      <c r="D833" s="1">
        <v>412380</v>
      </c>
      <c r="E833" s="4">
        <v>669385.91278945107</v>
      </c>
      <c r="F833" s="4">
        <v>252782.44829051325</v>
      </c>
    </row>
    <row r="834" spans="1:6" x14ac:dyDescent="0.25">
      <c r="A834" t="s">
        <v>24</v>
      </c>
      <c r="B834" t="s">
        <v>95</v>
      </c>
      <c r="C834">
        <v>0.6</v>
      </c>
      <c r="D834" s="1">
        <v>95063</v>
      </c>
      <c r="E834" s="4">
        <v>489481.77383683529</v>
      </c>
      <c r="F834" s="4">
        <v>278052.18574027071</v>
      </c>
    </row>
    <row r="835" spans="1:6" x14ac:dyDescent="0.25">
      <c r="A835" t="s">
        <v>25</v>
      </c>
      <c r="B835" t="s">
        <v>95</v>
      </c>
      <c r="C835">
        <v>0.78</v>
      </c>
      <c r="D835" s="1">
        <v>121009</v>
      </c>
      <c r="E835" s="4">
        <v>213388.63215105055</v>
      </c>
      <c r="F835" s="4">
        <v>304033.63369772461</v>
      </c>
    </row>
    <row r="836" spans="1:6" x14ac:dyDescent="0.25">
      <c r="A836" t="s">
        <v>26</v>
      </c>
      <c r="B836" t="s">
        <v>95</v>
      </c>
      <c r="C836">
        <v>0.94</v>
      </c>
      <c r="D836" s="1">
        <v>136977</v>
      </c>
      <c r="E836" s="4">
        <v>148722.88964531515</v>
      </c>
      <c r="F836" s="4">
        <v>276979.06346873642</v>
      </c>
    </row>
    <row r="837" spans="1:6" x14ac:dyDescent="0.25">
      <c r="A837" t="s">
        <v>27</v>
      </c>
      <c r="B837" t="s">
        <v>95</v>
      </c>
      <c r="C837">
        <v>1.45</v>
      </c>
      <c r="D837" s="1">
        <v>191517</v>
      </c>
      <c r="E837" s="4">
        <v>140500.76689359453</v>
      </c>
      <c r="F837" s="4">
        <v>233978.72518306444</v>
      </c>
    </row>
    <row r="838" spans="1:6" x14ac:dyDescent="0.25">
      <c r="A838" t="s">
        <v>28</v>
      </c>
      <c r="B838" t="s">
        <v>95</v>
      </c>
      <c r="C838">
        <v>0.17</v>
      </c>
      <c r="D838" s="1">
        <v>28072</v>
      </c>
      <c r="E838" s="4">
        <v>176212.13006807835</v>
      </c>
      <c r="F838" s="4">
        <v>61304.209752921088</v>
      </c>
    </row>
    <row r="839" spans="1:6" x14ac:dyDescent="0.25">
      <c r="A839" t="s">
        <v>29</v>
      </c>
      <c r="B839" t="s">
        <v>95</v>
      </c>
      <c r="C839">
        <v>0.8</v>
      </c>
      <c r="D839" s="1">
        <v>118670</v>
      </c>
      <c r="E839" s="4">
        <v>72514.039020423501</v>
      </c>
      <c r="F839" s="4">
        <v>90712.219133760576</v>
      </c>
    </row>
    <row r="840" spans="1:6" x14ac:dyDescent="0.25">
      <c r="A840" t="s">
        <v>30</v>
      </c>
      <c r="B840" t="s">
        <v>95</v>
      </c>
      <c r="C840">
        <v>0.38</v>
      </c>
      <c r="D840" s="1">
        <v>59680</v>
      </c>
      <c r="E840" s="4">
        <v>104823.21170612705</v>
      </c>
      <c r="F840" s="4">
        <v>94301.867975317189</v>
      </c>
    </row>
    <row r="841" spans="1:6" x14ac:dyDescent="0.25">
      <c r="A841" t="s">
        <v>31</v>
      </c>
      <c r="B841" t="s">
        <v>95</v>
      </c>
      <c r="C841">
        <v>1.68</v>
      </c>
      <c r="D841" s="1">
        <v>240553</v>
      </c>
      <c r="E841" s="4">
        <v>73222.963511838112</v>
      </c>
      <c r="F841" s="4">
        <v>93298.410907652593</v>
      </c>
    </row>
    <row r="842" spans="1:6" x14ac:dyDescent="0.25">
      <c r="A842" t="s">
        <v>32</v>
      </c>
      <c r="B842" t="s">
        <v>95</v>
      </c>
      <c r="C842">
        <v>2.29</v>
      </c>
      <c r="D842" s="1">
        <v>322961</v>
      </c>
      <c r="E842" s="4">
        <v>190353.9890535514</v>
      </c>
      <c r="F842" s="4">
        <v>103549.70369862966</v>
      </c>
    </row>
    <row r="843" spans="1:6" x14ac:dyDescent="0.25">
      <c r="A843" t="s">
        <v>33</v>
      </c>
      <c r="B843" t="s">
        <v>95</v>
      </c>
      <c r="C843">
        <v>0.95</v>
      </c>
      <c r="D843" s="1">
        <v>144664</v>
      </c>
      <c r="E843" s="4">
        <v>283178.89671606541</v>
      </c>
      <c r="F843" s="4">
        <v>125991.89130842951</v>
      </c>
    </row>
    <row r="844" spans="1:6" x14ac:dyDescent="0.25">
      <c r="A844" t="s">
        <v>34</v>
      </c>
      <c r="B844" t="s">
        <v>95</v>
      </c>
      <c r="C844">
        <v>2.41</v>
      </c>
      <c r="D844" s="1">
        <v>361739</v>
      </c>
      <c r="E844" s="4">
        <v>186218.4690148196</v>
      </c>
      <c r="F844" s="4">
        <v>146935.74227707315</v>
      </c>
    </row>
    <row r="845" spans="1:6" x14ac:dyDescent="0.25">
      <c r="A845" t="s">
        <v>35</v>
      </c>
      <c r="B845" t="s">
        <v>95</v>
      </c>
      <c r="C845">
        <v>3.63</v>
      </c>
      <c r="D845" s="1">
        <v>493434</v>
      </c>
      <c r="E845" s="4">
        <v>309082.84070444584</v>
      </c>
      <c r="F845" s="4">
        <v>150087.14442142547</v>
      </c>
    </row>
    <row r="846" spans="1:6" x14ac:dyDescent="0.25">
      <c r="A846" t="s">
        <v>36</v>
      </c>
      <c r="B846" t="s">
        <v>95</v>
      </c>
      <c r="C846">
        <v>0.98</v>
      </c>
      <c r="D846" s="1">
        <v>140285</v>
      </c>
      <c r="E846" s="4">
        <v>438128.65221133374</v>
      </c>
      <c r="F846" s="4">
        <v>167311.27013563344</v>
      </c>
    </row>
    <row r="847" spans="1:6" x14ac:dyDescent="0.25">
      <c r="A847" t="s">
        <v>37</v>
      </c>
      <c r="B847" t="s">
        <v>95</v>
      </c>
      <c r="C847">
        <v>0.88</v>
      </c>
      <c r="D847" s="1">
        <v>131134</v>
      </c>
      <c r="E847" s="4">
        <v>229638.0956634001</v>
      </c>
      <c r="F847" s="4">
        <v>226203.18881742907</v>
      </c>
    </row>
    <row r="848" spans="1:6" x14ac:dyDescent="0.25">
      <c r="A848" t="s">
        <v>38</v>
      </c>
      <c r="B848" t="s">
        <v>95</v>
      </c>
      <c r="C848">
        <v>2.0099999999999998</v>
      </c>
      <c r="D848" s="1">
        <v>297804</v>
      </c>
      <c r="E848" s="4">
        <v>160685.22869902002</v>
      </c>
      <c r="F848" s="4">
        <v>210078.75345424231</v>
      </c>
    </row>
    <row r="849" spans="1:6" x14ac:dyDescent="0.25">
      <c r="A849" t="s">
        <v>39</v>
      </c>
      <c r="B849" t="s">
        <v>95</v>
      </c>
      <c r="C849">
        <v>2.91</v>
      </c>
      <c r="D849" s="1">
        <v>374232</v>
      </c>
      <c r="E849" s="4">
        <v>256668.368609706</v>
      </c>
      <c r="F849" s="4">
        <v>197665.92647540502</v>
      </c>
    </row>
    <row r="850" spans="1:6" x14ac:dyDescent="0.25">
      <c r="A850" t="s">
        <v>40</v>
      </c>
      <c r="B850" t="s">
        <v>95</v>
      </c>
      <c r="C850">
        <v>0.6</v>
      </c>
      <c r="D850" s="1">
        <v>83060</v>
      </c>
      <c r="E850" s="4">
        <v>338962.91058291181</v>
      </c>
      <c r="F850" s="4">
        <v>118779.65837525613</v>
      </c>
    </row>
    <row r="851" spans="1:6" x14ac:dyDescent="0.25">
      <c r="A851" t="s">
        <v>41</v>
      </c>
      <c r="B851" t="s">
        <v>95</v>
      </c>
      <c r="C851">
        <v>0.38</v>
      </c>
      <c r="D851" s="1">
        <v>54794</v>
      </c>
      <c r="E851" s="4">
        <v>159830.87317487353</v>
      </c>
      <c r="F851" s="4">
        <v>180839.76748636633</v>
      </c>
    </row>
    <row r="852" spans="1:6" x14ac:dyDescent="0.25">
      <c r="A852" t="s">
        <v>42</v>
      </c>
      <c r="B852" t="s">
        <v>95</v>
      </c>
      <c r="C852">
        <v>1.65</v>
      </c>
      <c r="D852" s="1">
        <v>230071</v>
      </c>
      <c r="E852" s="4">
        <v>86305.061952462056</v>
      </c>
      <c r="F852" s="4">
        <v>173532.17933746771</v>
      </c>
    </row>
    <row r="853" spans="1:6" x14ac:dyDescent="0.25">
      <c r="A853" t="s">
        <v>43</v>
      </c>
      <c r="B853" t="s">
        <v>95</v>
      </c>
      <c r="C853">
        <v>1.44</v>
      </c>
      <c r="D853" s="1">
        <v>186217</v>
      </c>
      <c r="E853" s="4">
        <v>186941.21858573859</v>
      </c>
      <c r="F853" s="4">
        <v>179988.60085558076</v>
      </c>
    </row>
    <row r="854" spans="1:6" x14ac:dyDescent="0.25">
      <c r="A854" t="s">
        <v>44</v>
      </c>
      <c r="B854" t="s">
        <v>95</v>
      </c>
      <c r="C854">
        <v>0.65</v>
      </c>
      <c r="D854" s="1">
        <v>84762</v>
      </c>
      <c r="E854" s="4">
        <v>186434.26557572157</v>
      </c>
      <c r="F854" s="4">
        <v>102797.39646768445</v>
      </c>
    </row>
    <row r="855" spans="1:6" x14ac:dyDescent="0.25">
      <c r="A855" t="s">
        <v>45</v>
      </c>
      <c r="B855" t="s">
        <v>95</v>
      </c>
      <c r="C855">
        <v>0.98</v>
      </c>
      <c r="D855" s="1">
        <v>140490</v>
      </c>
      <c r="E855" s="4">
        <v>115263.67967271646</v>
      </c>
      <c r="F855" s="4">
        <v>101663.5284038291</v>
      </c>
    </row>
    <row r="856" spans="1:6" x14ac:dyDescent="0.25">
      <c r="A856" t="s">
        <v>46</v>
      </c>
      <c r="B856" t="s">
        <v>95</v>
      </c>
      <c r="C856">
        <v>1.78</v>
      </c>
      <c r="D856" s="1">
        <v>241223</v>
      </c>
      <c r="E856" s="4">
        <v>132922.10390181493</v>
      </c>
      <c r="F856" s="4">
        <v>60481.791521952298</v>
      </c>
    </row>
    <row r="857" spans="1:6" x14ac:dyDescent="0.25">
      <c r="A857" t="s">
        <v>47</v>
      </c>
      <c r="B857" t="s">
        <v>95</v>
      </c>
      <c r="C857">
        <v>0.85</v>
      </c>
      <c r="D857" s="1">
        <v>101388</v>
      </c>
      <c r="E857" s="4">
        <v>208732.73117054446</v>
      </c>
      <c r="F857" s="4">
        <v>86991.763825135873</v>
      </c>
    </row>
    <row r="858" spans="1:6" x14ac:dyDescent="0.25">
      <c r="A858" t="s">
        <v>48</v>
      </c>
      <c r="B858" t="s">
        <v>95</v>
      </c>
      <c r="C858">
        <v>0.24</v>
      </c>
      <c r="D858" s="1">
        <v>30518</v>
      </c>
      <c r="E858" s="4">
        <v>133591.41935116332</v>
      </c>
      <c r="F858" s="4">
        <v>89234.41533960063</v>
      </c>
    </row>
    <row r="859" spans="1:6" x14ac:dyDescent="0.25">
      <c r="A859" t="s">
        <v>49</v>
      </c>
      <c r="B859" t="s">
        <v>95</v>
      </c>
      <c r="C859">
        <v>5.46</v>
      </c>
      <c r="D859" s="1">
        <v>759565</v>
      </c>
      <c r="E859" s="4">
        <v>61440.025805348996</v>
      </c>
      <c r="F859" s="4">
        <v>106263.98760082851</v>
      </c>
    </row>
    <row r="860" spans="1:6" x14ac:dyDescent="0.25">
      <c r="A860" t="s">
        <v>50</v>
      </c>
      <c r="B860" t="s">
        <v>95</v>
      </c>
      <c r="C860">
        <v>5.98</v>
      </c>
      <c r="D860" s="1">
        <v>770732</v>
      </c>
      <c r="E860" s="4">
        <v>550127.5077416047</v>
      </c>
      <c r="F860" s="4">
        <v>412118.71294612001</v>
      </c>
    </row>
    <row r="861" spans="1:6" x14ac:dyDescent="0.25">
      <c r="A861" t="s">
        <v>51</v>
      </c>
      <c r="B861" t="s">
        <v>95</v>
      </c>
      <c r="C861">
        <v>0.52</v>
      </c>
      <c r="D861" s="1">
        <v>63283</v>
      </c>
      <c r="E861" s="4">
        <v>704550.65232248139</v>
      </c>
      <c r="F861" s="4">
        <v>426875.84119023313</v>
      </c>
    </row>
    <row r="862" spans="1:6" x14ac:dyDescent="0.25">
      <c r="A862" t="s">
        <v>52</v>
      </c>
      <c r="B862" t="s">
        <v>95</v>
      </c>
      <c r="C862">
        <v>0.37</v>
      </c>
      <c r="D862" s="1">
        <v>46940</v>
      </c>
      <c r="E862" s="4">
        <v>255663.2956967444</v>
      </c>
      <c r="F862" s="4">
        <v>561922.00630634779</v>
      </c>
    </row>
    <row r="863" spans="1:6" x14ac:dyDescent="0.25">
      <c r="A863" t="s">
        <v>53</v>
      </c>
      <c r="B863" t="s">
        <v>95</v>
      </c>
      <c r="C863">
        <v>3.15</v>
      </c>
      <c r="D863" s="1">
        <v>433141</v>
      </c>
      <c r="E863" s="4">
        <v>109556.98870902332</v>
      </c>
      <c r="F863" s="4">
        <v>409656.74984726822</v>
      </c>
    </row>
    <row r="864" spans="1:6" x14ac:dyDescent="0.25">
      <c r="A864" t="s">
        <v>54</v>
      </c>
      <c r="B864" t="s">
        <v>95</v>
      </c>
      <c r="C864">
        <v>7.13</v>
      </c>
      <c r="D864" s="1">
        <v>912891</v>
      </c>
      <c r="E864" s="4">
        <v>336065.79661270697</v>
      </c>
      <c r="F864" s="4">
        <v>431855.00207239948</v>
      </c>
    </row>
    <row r="865" spans="1:6" x14ac:dyDescent="0.25">
      <c r="A865" t="s">
        <v>55</v>
      </c>
      <c r="B865" t="s">
        <v>95</v>
      </c>
      <c r="C865">
        <v>1.19</v>
      </c>
      <c r="D865" s="1">
        <v>137293</v>
      </c>
      <c r="E865" s="4">
        <v>739843.438983812</v>
      </c>
      <c r="F865" s="4">
        <v>400416.17591053998</v>
      </c>
    </row>
    <row r="866" spans="1:6" x14ac:dyDescent="0.25">
      <c r="A866" t="s">
        <v>56</v>
      </c>
      <c r="B866" t="s">
        <v>95</v>
      </c>
      <c r="C866">
        <v>0.41</v>
      </c>
      <c r="D866" s="1">
        <v>52300</v>
      </c>
      <c r="E866" s="4">
        <v>318058.13169514359</v>
      </c>
      <c r="F866" s="4">
        <v>516559.43805966008</v>
      </c>
    </row>
    <row r="867" spans="1:6" x14ac:dyDescent="0.25">
      <c r="A867" t="s">
        <v>57</v>
      </c>
      <c r="B867" t="s">
        <v>95</v>
      </c>
      <c r="C867">
        <v>2.57</v>
      </c>
      <c r="D867" s="1">
        <v>358229</v>
      </c>
      <c r="E867" s="4">
        <v>132027.43950854306</v>
      </c>
      <c r="F867" s="4">
        <v>505444.2703683133</v>
      </c>
    </row>
    <row r="868" spans="1:6" x14ac:dyDescent="0.25">
      <c r="A868" t="s">
        <v>58</v>
      </c>
      <c r="B868" t="s">
        <v>95</v>
      </c>
      <c r="C868">
        <v>4.1100000000000003</v>
      </c>
      <c r="D868" s="1">
        <v>524175</v>
      </c>
      <c r="E868" s="4">
        <v>290368.53185256291</v>
      </c>
      <c r="F868" s="4">
        <v>402020.54758865584</v>
      </c>
    </row>
    <row r="869" spans="1:6" x14ac:dyDescent="0.25">
      <c r="A869" t="s">
        <v>59</v>
      </c>
      <c r="B869" t="s">
        <v>95</v>
      </c>
      <c r="C869">
        <v>2.39</v>
      </c>
      <c r="D869" s="1">
        <v>307206</v>
      </c>
      <c r="E869" s="4">
        <v>454033.05955576885</v>
      </c>
      <c r="F869" s="4">
        <v>242528.34547631888</v>
      </c>
    </row>
    <row r="870" spans="1:6" x14ac:dyDescent="0.25">
      <c r="A870" t="s">
        <v>60</v>
      </c>
      <c r="B870" t="s">
        <v>95</v>
      </c>
      <c r="C870">
        <v>33.17</v>
      </c>
      <c r="D870" s="1">
        <v>3094894</v>
      </c>
      <c r="E870" s="4">
        <v>351254.11786673067</v>
      </c>
      <c r="F870" s="4">
        <v>206066.9761138694</v>
      </c>
    </row>
    <row r="871" spans="1:6" x14ac:dyDescent="0.25">
      <c r="A871" t="s">
        <v>61</v>
      </c>
      <c r="B871" t="s">
        <v>95</v>
      </c>
      <c r="C871">
        <v>23.72</v>
      </c>
      <c r="D871" s="1">
        <v>2520565</v>
      </c>
      <c r="E871" s="4">
        <v>2271802.0353600192</v>
      </c>
      <c r="F871" s="4">
        <v>1592040.9807118275</v>
      </c>
    </row>
    <row r="872" spans="1:6" x14ac:dyDescent="0.25">
      <c r="A872" t="s">
        <v>62</v>
      </c>
      <c r="B872" t="s">
        <v>95</v>
      </c>
      <c r="C872">
        <v>10.92</v>
      </c>
      <c r="D872" s="1">
        <v>1681266</v>
      </c>
      <c r="E872" s="4">
        <v>2445936.1106080059</v>
      </c>
      <c r="F872" s="4">
        <v>1592796.3879946619</v>
      </c>
    </row>
    <row r="873" spans="1:6" x14ac:dyDescent="0.25">
      <c r="A873" t="s">
        <v>63</v>
      </c>
      <c r="B873" t="s">
        <v>95</v>
      </c>
      <c r="C873">
        <v>4.6100000000000003</v>
      </c>
      <c r="D873" s="1">
        <v>643440</v>
      </c>
      <c r="E873" s="4">
        <v>1910667.0331824017</v>
      </c>
      <c r="F873" s="4">
        <v>1650672.9126294719</v>
      </c>
    </row>
    <row r="874" spans="1:6" x14ac:dyDescent="0.25">
      <c r="A874" t="s">
        <v>64</v>
      </c>
      <c r="B874" t="s">
        <v>95</v>
      </c>
      <c r="C874">
        <v>0</v>
      </c>
      <c r="D874">
        <v>0</v>
      </c>
      <c r="E874" s="4">
        <v>1023608.1099547205</v>
      </c>
      <c r="F874" s="4">
        <v>866500.19124098751</v>
      </c>
    </row>
    <row r="875" spans="1:6" x14ac:dyDescent="0.25">
      <c r="A875" t="s">
        <v>65</v>
      </c>
      <c r="B875" t="s">
        <v>95</v>
      </c>
      <c r="C875">
        <v>2.68</v>
      </c>
      <c r="D875" s="1">
        <v>312616</v>
      </c>
      <c r="E875" s="4">
        <v>307082.43298641616</v>
      </c>
      <c r="F875" s="4">
        <v>1038967.1625305917</v>
      </c>
    </row>
    <row r="876" spans="1:6" x14ac:dyDescent="0.25">
      <c r="A876" t="s">
        <v>66</v>
      </c>
      <c r="B876" t="s">
        <v>95</v>
      </c>
      <c r="C876">
        <v>1.1100000000000001</v>
      </c>
      <c r="D876" s="1">
        <v>152318</v>
      </c>
      <c r="E876" s="4">
        <v>310955.92989592481</v>
      </c>
      <c r="F876" s="4">
        <v>940508.46828674548</v>
      </c>
    </row>
    <row r="877" spans="1:6" x14ac:dyDescent="0.25">
      <c r="A877" t="s">
        <v>67</v>
      </c>
      <c r="B877" t="s">
        <v>95</v>
      </c>
      <c r="C877">
        <v>2.13</v>
      </c>
      <c r="D877" s="1">
        <v>279742</v>
      </c>
      <c r="E877" s="4">
        <v>199909.37896877743</v>
      </c>
      <c r="F877" s="4">
        <v>598044.08308268641</v>
      </c>
    </row>
    <row r="878" spans="1:6" x14ac:dyDescent="0.25">
      <c r="A878" t="s">
        <v>68</v>
      </c>
      <c r="B878" t="s">
        <v>95</v>
      </c>
      <c r="C878">
        <v>1.1200000000000001</v>
      </c>
      <c r="D878" s="1">
        <v>150962</v>
      </c>
      <c r="E878" s="4">
        <v>255792.21369063322</v>
      </c>
      <c r="F878" s="4">
        <v>102583.07291535802</v>
      </c>
    </row>
    <row r="879" spans="1:6" x14ac:dyDescent="0.25">
      <c r="A879" t="s">
        <v>69</v>
      </c>
      <c r="B879" t="s">
        <v>95</v>
      </c>
      <c r="C879">
        <v>3.82</v>
      </c>
      <c r="D879" s="1">
        <v>502730</v>
      </c>
      <c r="E879" s="4">
        <v>182411.06410718994</v>
      </c>
      <c r="F879" s="4">
        <v>119063.86785363418</v>
      </c>
    </row>
    <row r="880" spans="1:6" x14ac:dyDescent="0.25">
      <c r="A880" t="s">
        <v>70</v>
      </c>
      <c r="B880" t="s">
        <v>95</v>
      </c>
      <c r="C880">
        <v>2.5299999999999998</v>
      </c>
      <c r="D880" s="1">
        <v>354933</v>
      </c>
      <c r="E880" s="4">
        <v>406634.31923215697</v>
      </c>
      <c r="F880" s="4">
        <v>199972.36623647177</v>
      </c>
    </row>
    <row r="881" spans="1:6" x14ac:dyDescent="0.25">
      <c r="A881" t="s">
        <v>71</v>
      </c>
      <c r="B881" t="s">
        <v>95</v>
      </c>
      <c r="C881">
        <v>0.98</v>
      </c>
      <c r="D881" s="1">
        <v>131498</v>
      </c>
      <c r="E881" s="4">
        <v>370443.39576964709</v>
      </c>
      <c r="F881" s="4">
        <v>196864.2686423579</v>
      </c>
    </row>
    <row r="882" spans="1:6" x14ac:dyDescent="0.25">
      <c r="A882" t="s">
        <v>72</v>
      </c>
      <c r="B882" t="s">
        <v>95</v>
      </c>
      <c r="C882">
        <v>1.94</v>
      </c>
      <c r="D882" s="1">
        <v>279296</v>
      </c>
      <c r="E882" s="4">
        <v>203181.61873089412</v>
      </c>
      <c r="F882" s="4">
        <v>232645.76023170279</v>
      </c>
    </row>
    <row r="883" spans="1:6" x14ac:dyDescent="0.25">
      <c r="A883" t="s">
        <v>73</v>
      </c>
      <c r="B883" t="s">
        <v>95</v>
      </c>
      <c r="C883">
        <v>4.29</v>
      </c>
      <c r="D883" s="1">
        <v>639801</v>
      </c>
      <c r="E883" s="4">
        <v>256461.68561926822</v>
      </c>
      <c r="F883" s="4">
        <v>147830.2265053142</v>
      </c>
    </row>
    <row r="884" spans="1:6" x14ac:dyDescent="0.25">
      <c r="A884" t="s">
        <v>74</v>
      </c>
      <c r="B884" t="s">
        <v>95</v>
      </c>
      <c r="C884">
        <v>2.79</v>
      </c>
      <c r="D884" s="1">
        <v>421633</v>
      </c>
      <c r="E884" s="4">
        <v>524799.20568578038</v>
      </c>
      <c r="F884" s="4">
        <v>264472.63950824959</v>
      </c>
    </row>
    <row r="885" spans="1:6" x14ac:dyDescent="0.25">
      <c r="A885" t="s">
        <v>75</v>
      </c>
      <c r="B885" t="s">
        <v>95</v>
      </c>
      <c r="C885">
        <v>2.33</v>
      </c>
      <c r="D885" s="1">
        <v>321172</v>
      </c>
      <c r="E885" s="4">
        <v>452582.86170573405</v>
      </c>
      <c r="F885" s="4">
        <v>233370.73151352198</v>
      </c>
    </row>
    <row r="886" spans="1:6" x14ac:dyDescent="0.25">
      <c r="A886" t="s">
        <v>76</v>
      </c>
      <c r="B886" t="s">
        <v>95</v>
      </c>
      <c r="C886">
        <v>0.83</v>
      </c>
      <c r="D886" s="1">
        <v>116592</v>
      </c>
      <c r="E886" s="4">
        <v>360595.25851172023</v>
      </c>
      <c r="F886" s="4">
        <v>241427.08389886847</v>
      </c>
    </row>
    <row r="887" spans="1:6" x14ac:dyDescent="0.25">
      <c r="A887" t="s">
        <v>77</v>
      </c>
      <c r="B887" t="s">
        <v>95</v>
      </c>
      <c r="C887">
        <v>3.79</v>
      </c>
      <c r="D887" s="1">
        <v>498022</v>
      </c>
      <c r="E887" s="4">
        <v>189792.97755351604</v>
      </c>
      <c r="F887" s="4">
        <v>170733.38936695195</v>
      </c>
    </row>
    <row r="888" spans="1:6" x14ac:dyDescent="0.25">
      <c r="A888" t="s">
        <v>78</v>
      </c>
      <c r="B888" t="s">
        <v>95</v>
      </c>
      <c r="C888">
        <v>0.71</v>
      </c>
      <c r="D888" s="1">
        <v>113743</v>
      </c>
      <c r="E888" s="4">
        <v>405553.29326605477</v>
      </c>
      <c r="F888" s="4">
        <v>239312.58151693296</v>
      </c>
    </row>
    <row r="889" spans="1:6" x14ac:dyDescent="0.25">
      <c r="A889" t="s">
        <v>79</v>
      </c>
      <c r="B889" t="s">
        <v>95</v>
      </c>
      <c r="C889">
        <v>2.4900000000000002</v>
      </c>
      <c r="D889" s="1">
        <v>308145</v>
      </c>
      <c r="E889" s="4">
        <v>201286.08797981642</v>
      </c>
      <c r="F889" s="4">
        <v>282663.50294928032</v>
      </c>
    </row>
    <row r="890" spans="1:6" x14ac:dyDescent="0.25">
      <c r="A890" t="s">
        <v>80</v>
      </c>
      <c r="B890" t="s">
        <v>95</v>
      </c>
      <c r="C890">
        <v>1.39</v>
      </c>
      <c r="D890" s="1">
        <v>184084</v>
      </c>
      <c r="E890" s="4">
        <v>276087.32639394491</v>
      </c>
      <c r="F890" s="4">
        <v>252703.51838499948</v>
      </c>
    </row>
    <row r="891" spans="1:6" x14ac:dyDescent="0.25">
      <c r="A891" t="s">
        <v>81</v>
      </c>
      <c r="B891" t="s">
        <v>95</v>
      </c>
      <c r="C891">
        <v>3.57</v>
      </c>
      <c r="D891" s="1">
        <v>463681</v>
      </c>
      <c r="E891" s="4">
        <v>211684.99791818345</v>
      </c>
      <c r="F891" s="4">
        <v>187115.54932866927</v>
      </c>
    </row>
    <row r="892" spans="1:6" x14ac:dyDescent="0.25">
      <c r="A892" t="s">
        <v>82</v>
      </c>
      <c r="B892" t="s">
        <v>95</v>
      </c>
      <c r="C892">
        <v>1.71</v>
      </c>
      <c r="D892" s="1">
        <v>257653</v>
      </c>
      <c r="E892" s="4">
        <v>388082.19937545498</v>
      </c>
      <c r="F892" s="4">
        <v>166718.749406405</v>
      </c>
    </row>
    <row r="893" spans="1:6" x14ac:dyDescent="0.25">
      <c r="A893" t="s">
        <v>83</v>
      </c>
      <c r="B893" t="s">
        <v>95</v>
      </c>
      <c r="C893">
        <v>1.65</v>
      </c>
      <c r="D893" s="1">
        <v>229774</v>
      </c>
      <c r="E893" s="4">
        <v>296781.75981263648</v>
      </c>
      <c r="F893" s="4">
        <v>172219.21416467233</v>
      </c>
    </row>
    <row r="894" spans="1:6" x14ac:dyDescent="0.25">
      <c r="A894" t="s">
        <v>84</v>
      </c>
      <c r="B894" t="s">
        <v>95</v>
      </c>
      <c r="C894">
        <v>1.56</v>
      </c>
      <c r="D894" s="1">
        <v>204805</v>
      </c>
      <c r="E894" s="4">
        <v>249876.32794379094</v>
      </c>
      <c r="F894" s="4">
        <v>168328.84580491949</v>
      </c>
    </row>
    <row r="895" spans="1:6" x14ac:dyDescent="0.25">
      <c r="A895" t="s">
        <v>7</v>
      </c>
      <c r="B895" t="s">
        <v>96</v>
      </c>
      <c r="C895">
        <v>20.6</v>
      </c>
      <c r="D895" s="1">
        <v>1091857</v>
      </c>
      <c r="E895" s="4">
        <v>218326.39838313728</v>
      </c>
      <c r="F895" s="4">
        <v>88568.693730623418</v>
      </c>
    </row>
    <row r="896" spans="1:6" x14ac:dyDescent="0.25">
      <c r="A896" t="s">
        <v>10</v>
      </c>
      <c r="B896" t="s">
        <v>96</v>
      </c>
      <c r="C896">
        <v>23.68</v>
      </c>
      <c r="D896" s="1">
        <v>1293632</v>
      </c>
      <c r="E896" s="4">
        <v>829797.81951494107</v>
      </c>
      <c r="F896" s="4">
        <v>506483.68727888388</v>
      </c>
    </row>
    <row r="897" spans="1:6" x14ac:dyDescent="0.25">
      <c r="A897" t="s">
        <v>11</v>
      </c>
      <c r="B897" t="s">
        <v>96</v>
      </c>
      <c r="C897">
        <v>26.37</v>
      </c>
      <c r="D897" s="1">
        <v>1338935</v>
      </c>
      <c r="E897" s="4">
        <v>1154481.7458544823</v>
      </c>
      <c r="F897" s="4">
        <v>571614.46318008809</v>
      </c>
    </row>
    <row r="898" spans="1:6" x14ac:dyDescent="0.25">
      <c r="A898" t="s">
        <v>12</v>
      </c>
      <c r="B898" t="s">
        <v>96</v>
      </c>
      <c r="C898">
        <v>17.39</v>
      </c>
      <c r="D898" s="1">
        <v>958952</v>
      </c>
      <c r="E898" s="4">
        <v>1283599.0237563446</v>
      </c>
      <c r="F898" s="4">
        <v>580867.4151394146</v>
      </c>
    </row>
    <row r="899" spans="1:6" x14ac:dyDescent="0.25">
      <c r="A899" t="s">
        <v>13</v>
      </c>
      <c r="B899" t="s">
        <v>96</v>
      </c>
      <c r="C899">
        <v>13.1</v>
      </c>
      <c r="D899" s="1">
        <v>743483</v>
      </c>
      <c r="E899" s="4">
        <v>1056346.1071269033</v>
      </c>
      <c r="F899" s="4">
        <v>343783.28444189456</v>
      </c>
    </row>
    <row r="900" spans="1:6" x14ac:dyDescent="0.25">
      <c r="A900" t="s">
        <v>14</v>
      </c>
      <c r="B900" t="s">
        <v>96</v>
      </c>
      <c r="C900">
        <v>6.56</v>
      </c>
      <c r="D900" s="1">
        <v>363280</v>
      </c>
      <c r="E900" s="4">
        <v>837341.93213807093</v>
      </c>
      <c r="F900" s="4">
        <v>281248.4173584056</v>
      </c>
    </row>
    <row r="901" spans="1:6" x14ac:dyDescent="0.25">
      <c r="A901" t="s">
        <v>15</v>
      </c>
      <c r="B901" t="s">
        <v>96</v>
      </c>
      <c r="C901">
        <v>12.7</v>
      </c>
      <c r="D901" s="1">
        <v>655513</v>
      </c>
      <c r="E901" s="4">
        <v>505498.57964142121</v>
      </c>
      <c r="F901" s="4">
        <v>377718.47070599801</v>
      </c>
    </row>
    <row r="902" spans="1:6" x14ac:dyDescent="0.25">
      <c r="A902" t="s">
        <v>16</v>
      </c>
      <c r="B902" t="s">
        <v>96</v>
      </c>
      <c r="C902">
        <v>18.329999999999998</v>
      </c>
      <c r="D902" s="1">
        <v>1059375</v>
      </c>
      <c r="E902" s="4">
        <v>610508.6738924263</v>
      </c>
      <c r="F902" s="4">
        <v>339176.63324542349</v>
      </c>
    </row>
    <row r="903" spans="1:6" x14ac:dyDescent="0.25">
      <c r="A903" t="s">
        <v>17</v>
      </c>
      <c r="B903" t="s">
        <v>96</v>
      </c>
      <c r="C903">
        <v>5.52</v>
      </c>
      <c r="D903" s="1">
        <v>308762</v>
      </c>
      <c r="E903" s="4">
        <v>924715.10216772789</v>
      </c>
      <c r="F903" s="4">
        <v>386747.12691512523</v>
      </c>
    </row>
    <row r="904" spans="1:6" x14ac:dyDescent="0.25">
      <c r="A904" t="s">
        <v>18</v>
      </c>
      <c r="B904" t="s">
        <v>96</v>
      </c>
      <c r="C904">
        <v>1.21</v>
      </c>
      <c r="D904" s="1">
        <v>69475</v>
      </c>
      <c r="E904" s="4">
        <v>493547.93065031839</v>
      </c>
      <c r="F904" s="4">
        <v>448472.78962380707</v>
      </c>
    </row>
    <row r="905" spans="1:6" x14ac:dyDescent="0.25">
      <c r="A905" t="s">
        <v>19</v>
      </c>
      <c r="B905" t="s">
        <v>96</v>
      </c>
      <c r="C905">
        <v>17.399999999999999</v>
      </c>
      <c r="D905" s="1">
        <v>842607</v>
      </c>
      <c r="E905" s="4">
        <v>196696.87919509551</v>
      </c>
      <c r="F905" s="4">
        <v>503559.67977778229</v>
      </c>
    </row>
    <row r="906" spans="1:6" x14ac:dyDescent="0.25">
      <c r="A906" t="s">
        <v>20</v>
      </c>
      <c r="B906" t="s">
        <v>96</v>
      </c>
      <c r="C906">
        <v>20.92</v>
      </c>
      <c r="D906" s="1">
        <v>1187721</v>
      </c>
      <c r="E906" s="4">
        <v>648833.96375852858</v>
      </c>
      <c r="F906" s="4">
        <v>570507.36446856486</v>
      </c>
    </row>
    <row r="907" spans="1:6" x14ac:dyDescent="0.25">
      <c r="A907" t="s">
        <v>21</v>
      </c>
      <c r="B907" t="s">
        <v>96</v>
      </c>
      <c r="C907">
        <v>12.27</v>
      </c>
      <c r="D907" s="1">
        <v>685871</v>
      </c>
      <c r="E907" s="4">
        <v>1026054.8891275586</v>
      </c>
      <c r="F907" s="4">
        <v>543886.3154795228</v>
      </c>
    </row>
    <row r="908" spans="1:6" x14ac:dyDescent="0.25">
      <c r="A908" t="s">
        <v>22</v>
      </c>
      <c r="B908" t="s">
        <v>96</v>
      </c>
      <c r="C908">
        <v>7.67</v>
      </c>
      <c r="D908" s="1">
        <v>421068</v>
      </c>
      <c r="E908" s="4">
        <v>787926.16673826752</v>
      </c>
      <c r="F908" s="4">
        <v>523871.54927178932</v>
      </c>
    </row>
    <row r="909" spans="1:6" x14ac:dyDescent="0.25">
      <c r="A909" t="s">
        <v>23</v>
      </c>
      <c r="B909" t="s">
        <v>96</v>
      </c>
      <c r="C909">
        <v>11.64</v>
      </c>
      <c r="D909" s="1">
        <v>582804</v>
      </c>
      <c r="E909" s="4">
        <v>531125.45002148021</v>
      </c>
      <c r="F909" s="4">
        <v>424542.5894432856</v>
      </c>
    </row>
    <row r="910" spans="1:6" x14ac:dyDescent="0.25">
      <c r="A910" t="s">
        <v>24</v>
      </c>
      <c r="B910" t="s">
        <v>96</v>
      </c>
      <c r="C910">
        <v>4.05</v>
      </c>
      <c r="D910" s="1">
        <v>227303</v>
      </c>
      <c r="E910" s="4">
        <v>567300.43500644411</v>
      </c>
      <c r="F910" s="4">
        <v>290390.92355673236</v>
      </c>
    </row>
    <row r="911" spans="1:6" x14ac:dyDescent="0.25">
      <c r="A911" t="s">
        <v>25</v>
      </c>
      <c r="B911" t="s">
        <v>96</v>
      </c>
      <c r="C911">
        <v>10.23</v>
      </c>
      <c r="D911" s="1">
        <v>519122</v>
      </c>
      <c r="E911" s="4">
        <v>329302.2305019332</v>
      </c>
      <c r="F911" s="4">
        <v>290318.12599365663</v>
      </c>
    </row>
    <row r="912" spans="1:6" x14ac:dyDescent="0.25">
      <c r="A912" t="s">
        <v>26</v>
      </c>
      <c r="B912" t="s">
        <v>96</v>
      </c>
      <c r="C912">
        <v>4.76</v>
      </c>
      <c r="D912" s="1">
        <v>250630</v>
      </c>
      <c r="E912" s="4">
        <v>462176.06915057992</v>
      </c>
      <c r="F912" s="4">
        <v>226789.530351486</v>
      </c>
    </row>
    <row r="913" spans="1:6" x14ac:dyDescent="0.25">
      <c r="A913" t="s">
        <v>27</v>
      </c>
      <c r="B913" t="s">
        <v>96</v>
      </c>
      <c r="C913">
        <v>8.52</v>
      </c>
      <c r="D913" s="1">
        <v>418560</v>
      </c>
      <c r="E913" s="4">
        <v>314093.82074517396</v>
      </c>
      <c r="F913" s="4">
        <v>255852.52267424317</v>
      </c>
    </row>
    <row r="914" spans="1:6" x14ac:dyDescent="0.25">
      <c r="A914" t="s">
        <v>28</v>
      </c>
      <c r="B914" t="s">
        <v>96</v>
      </c>
      <c r="C914">
        <v>4.41</v>
      </c>
      <c r="D914" s="1">
        <v>249088</v>
      </c>
      <c r="E914" s="4">
        <v>387220.14622355218</v>
      </c>
      <c r="F914" s="4">
        <v>174829.88576848313</v>
      </c>
    </row>
    <row r="915" spans="1:6" x14ac:dyDescent="0.25">
      <c r="A915" t="s">
        <v>29</v>
      </c>
      <c r="B915" t="s">
        <v>96</v>
      </c>
      <c r="C915">
        <v>5.54</v>
      </c>
      <c r="D915" s="1">
        <v>278626</v>
      </c>
      <c r="E915" s="4">
        <v>290527.64386706561</v>
      </c>
      <c r="F915" s="4">
        <v>157845.29535961067</v>
      </c>
    </row>
    <row r="916" spans="1:6" x14ac:dyDescent="0.25">
      <c r="A916" t="s">
        <v>30</v>
      </c>
      <c r="B916" t="s">
        <v>96</v>
      </c>
      <c r="C916">
        <v>11.6</v>
      </c>
      <c r="D916" s="1">
        <v>633987</v>
      </c>
      <c r="E916" s="4">
        <v>282196.49316011963</v>
      </c>
      <c r="F916" s="4">
        <v>100225.28216500516</v>
      </c>
    </row>
    <row r="917" spans="1:6" x14ac:dyDescent="0.25">
      <c r="A917" t="s">
        <v>31</v>
      </c>
      <c r="B917" t="s">
        <v>96</v>
      </c>
      <c r="C917">
        <v>11.52</v>
      </c>
      <c r="D917" s="1">
        <v>605173</v>
      </c>
      <c r="E917" s="4">
        <v>528449.84794803581</v>
      </c>
      <c r="F917" s="4">
        <v>218310.7110288172</v>
      </c>
    </row>
    <row r="918" spans="1:6" x14ac:dyDescent="0.25">
      <c r="A918" t="s">
        <v>32</v>
      </c>
      <c r="B918" t="s">
        <v>96</v>
      </c>
      <c r="C918">
        <v>13.42</v>
      </c>
      <c r="D918" s="1">
        <v>677443</v>
      </c>
      <c r="E918" s="4">
        <v>582156.05438441073</v>
      </c>
      <c r="F918" s="4">
        <v>207994.11200815855</v>
      </c>
    </row>
    <row r="919" spans="1:6" x14ac:dyDescent="0.25">
      <c r="A919" t="s">
        <v>33</v>
      </c>
      <c r="B919" t="s">
        <v>96</v>
      </c>
      <c r="C919">
        <v>6.56</v>
      </c>
      <c r="D919" s="1">
        <v>330733</v>
      </c>
      <c r="E919" s="4">
        <v>648856.91631532321</v>
      </c>
      <c r="F919" s="4">
        <v>215036.89975459018</v>
      </c>
    </row>
    <row r="920" spans="1:6" x14ac:dyDescent="0.25">
      <c r="A920" t="s">
        <v>34</v>
      </c>
      <c r="B920" t="s">
        <v>96</v>
      </c>
      <c r="C920">
        <v>7.42</v>
      </c>
      <c r="D920" s="1">
        <v>409745</v>
      </c>
      <c r="E920" s="4">
        <v>426170.17489459692</v>
      </c>
      <c r="F920" s="4">
        <v>196781.4948933087</v>
      </c>
    </row>
    <row r="921" spans="1:6" x14ac:dyDescent="0.25">
      <c r="A921" t="s">
        <v>35</v>
      </c>
      <c r="B921" t="s">
        <v>96</v>
      </c>
      <c r="C921">
        <v>11.21</v>
      </c>
      <c r="D921" s="1">
        <v>568311</v>
      </c>
      <c r="E921" s="4">
        <v>414672.55246837909</v>
      </c>
      <c r="F921" s="4">
        <v>191965.46087501012</v>
      </c>
    </row>
    <row r="922" spans="1:6" x14ac:dyDescent="0.25">
      <c r="A922" t="s">
        <v>36</v>
      </c>
      <c r="B922" t="s">
        <v>96</v>
      </c>
      <c r="C922">
        <v>5.91</v>
      </c>
      <c r="D922" s="1">
        <v>299151</v>
      </c>
      <c r="E922" s="4">
        <v>522219.46574051364</v>
      </c>
      <c r="F922" s="4">
        <v>204187.32009443641</v>
      </c>
    </row>
    <row r="923" spans="1:6" x14ac:dyDescent="0.25">
      <c r="A923" t="s">
        <v>37</v>
      </c>
      <c r="B923" t="s">
        <v>96</v>
      </c>
      <c r="C923">
        <v>4.97</v>
      </c>
      <c r="D923" s="1">
        <v>258201</v>
      </c>
      <c r="E923" s="4">
        <v>366071.53972215403</v>
      </c>
      <c r="F923" s="4">
        <v>156667.4815632049</v>
      </c>
    </row>
    <row r="924" spans="1:6" x14ac:dyDescent="0.25">
      <c r="A924" t="s">
        <v>38</v>
      </c>
      <c r="B924" t="s">
        <v>96</v>
      </c>
      <c r="C924">
        <v>8.99</v>
      </c>
      <c r="D924" s="1">
        <v>498371</v>
      </c>
      <c r="E924" s="4">
        <v>290562.16191664618</v>
      </c>
      <c r="F924" s="4">
        <v>168325.44500431512</v>
      </c>
    </row>
    <row r="925" spans="1:6" x14ac:dyDescent="0.25">
      <c r="A925" t="s">
        <v>39</v>
      </c>
      <c r="B925" t="s">
        <v>96</v>
      </c>
      <c r="C925">
        <v>8.3800000000000008</v>
      </c>
      <c r="D925" s="1">
        <v>419266</v>
      </c>
      <c r="E925" s="4">
        <v>436028.34857499378</v>
      </c>
      <c r="F925" s="4">
        <v>186708.42413893118</v>
      </c>
    </row>
    <row r="926" spans="1:6" x14ac:dyDescent="0.25">
      <c r="A926" t="s">
        <v>41</v>
      </c>
      <c r="B926" t="s">
        <v>96</v>
      </c>
      <c r="C926">
        <v>3.68</v>
      </c>
      <c r="D926" s="1">
        <v>193906</v>
      </c>
      <c r="E926" s="4">
        <v>424294.7045724981</v>
      </c>
      <c r="F926" s="4">
        <v>135525.57305450016</v>
      </c>
    </row>
    <row r="927" spans="1:6" x14ac:dyDescent="0.25">
      <c r="A927" t="s">
        <v>42</v>
      </c>
      <c r="B927" t="s">
        <v>96</v>
      </c>
      <c r="C927">
        <v>8.2799999999999994</v>
      </c>
      <c r="D927" s="1">
        <v>445540</v>
      </c>
      <c r="E927" s="4">
        <v>263022.61137174943</v>
      </c>
      <c r="F927" s="4">
        <v>179391.97744036844</v>
      </c>
    </row>
    <row r="928" spans="1:6" x14ac:dyDescent="0.25">
      <c r="A928" t="s">
        <v>43</v>
      </c>
      <c r="B928" t="s">
        <v>96</v>
      </c>
      <c r="C928">
        <v>6.8</v>
      </c>
      <c r="D928" s="1">
        <v>343437</v>
      </c>
      <c r="E928" s="4">
        <v>390784.78341152484</v>
      </c>
      <c r="F928" s="4">
        <v>169973.0651956551</v>
      </c>
    </row>
    <row r="929" spans="1:6" x14ac:dyDescent="0.25">
      <c r="A929" t="s">
        <v>44</v>
      </c>
      <c r="B929" t="s">
        <v>96</v>
      </c>
      <c r="C929">
        <v>9.31</v>
      </c>
      <c r="D929" s="1">
        <v>458167</v>
      </c>
      <c r="E929" s="4">
        <v>357641.33502345742</v>
      </c>
      <c r="F929" s="4">
        <v>171885.00510540404</v>
      </c>
    </row>
    <row r="930" spans="1:6" x14ac:dyDescent="0.25">
      <c r="A930" t="s">
        <v>45</v>
      </c>
      <c r="B930" t="s">
        <v>96</v>
      </c>
      <c r="C930">
        <v>6.84</v>
      </c>
      <c r="D930" s="1">
        <v>357231</v>
      </c>
      <c r="E930" s="4">
        <v>428009.3005070372</v>
      </c>
      <c r="F930" s="4">
        <v>123369.11967024891</v>
      </c>
    </row>
    <row r="931" spans="1:6" x14ac:dyDescent="0.25">
      <c r="A931" t="s">
        <v>46</v>
      </c>
      <c r="B931" t="s">
        <v>96</v>
      </c>
      <c r="C931">
        <v>8.6300000000000008</v>
      </c>
      <c r="D931" s="1">
        <v>470292</v>
      </c>
      <c r="E931" s="4">
        <v>378464.49015211116</v>
      </c>
      <c r="F931" s="4">
        <v>76063.109182715751</v>
      </c>
    </row>
    <row r="932" spans="1:6" x14ac:dyDescent="0.25">
      <c r="A932" t="s">
        <v>47</v>
      </c>
      <c r="B932" t="s">
        <v>96</v>
      </c>
      <c r="C932">
        <v>6.47</v>
      </c>
      <c r="D932" s="1">
        <v>312807</v>
      </c>
      <c r="E932" s="4">
        <v>442743.74704563332</v>
      </c>
      <c r="F932" s="4">
        <v>88595.087724065655</v>
      </c>
    </row>
    <row r="933" spans="1:6" x14ac:dyDescent="0.25">
      <c r="A933" t="s">
        <v>48</v>
      </c>
      <c r="B933" t="s">
        <v>96</v>
      </c>
      <c r="C933">
        <v>9.9700000000000006</v>
      </c>
      <c r="D933" s="1">
        <v>510443</v>
      </c>
      <c r="E933" s="4">
        <v>351788.02411369001</v>
      </c>
      <c r="F933" s="4">
        <v>100540.89983737875</v>
      </c>
    </row>
    <row r="934" spans="1:6" x14ac:dyDescent="0.25">
      <c r="A934" t="s">
        <v>49</v>
      </c>
      <c r="B934" t="s">
        <v>96</v>
      </c>
      <c r="C934">
        <v>6.63</v>
      </c>
      <c r="D934" s="1">
        <v>343723</v>
      </c>
      <c r="E934" s="4">
        <v>462846.507234107</v>
      </c>
      <c r="F934" s="4">
        <v>129726.95835375496</v>
      </c>
    </row>
    <row r="935" spans="1:6" x14ac:dyDescent="0.25">
      <c r="A935" t="s">
        <v>50</v>
      </c>
      <c r="B935" t="s">
        <v>96</v>
      </c>
      <c r="C935">
        <v>9</v>
      </c>
      <c r="D935" s="1">
        <v>504506</v>
      </c>
      <c r="E935" s="4">
        <v>379460.05217023205</v>
      </c>
      <c r="F935" s="4">
        <v>136925.00329504086</v>
      </c>
    </row>
    <row r="936" spans="1:6" x14ac:dyDescent="0.25">
      <c r="A936" t="s">
        <v>51</v>
      </c>
      <c r="B936" t="s">
        <v>96</v>
      </c>
      <c r="C936">
        <v>4.95</v>
      </c>
      <c r="D936" s="1">
        <v>240342</v>
      </c>
      <c r="E936" s="4">
        <v>466992.21565106953</v>
      </c>
      <c r="F936" s="4">
        <v>135398.54802013817</v>
      </c>
    </row>
    <row r="937" spans="1:6" x14ac:dyDescent="0.25">
      <c r="A937" t="s">
        <v>52</v>
      </c>
      <c r="B937" t="s">
        <v>96</v>
      </c>
      <c r="C937">
        <v>10.32</v>
      </c>
      <c r="D937" s="1">
        <v>540092</v>
      </c>
      <c r="E937" s="4">
        <v>308337.06469532085</v>
      </c>
      <c r="F937" s="4">
        <v>164516.68537372909</v>
      </c>
    </row>
    <row r="938" spans="1:6" x14ac:dyDescent="0.25">
      <c r="A938" t="s">
        <v>53</v>
      </c>
      <c r="B938" t="s">
        <v>96</v>
      </c>
      <c r="C938">
        <v>5.35</v>
      </c>
      <c r="D938" s="1">
        <v>288927</v>
      </c>
      <c r="E938" s="4">
        <v>470565.51940859621</v>
      </c>
      <c r="F938" s="4">
        <v>200596.74254699601</v>
      </c>
    </row>
    <row r="939" spans="1:6" x14ac:dyDescent="0.25">
      <c r="A939" t="s">
        <v>54</v>
      </c>
      <c r="B939" t="s">
        <v>96</v>
      </c>
      <c r="C939">
        <v>9.14</v>
      </c>
      <c r="D939" s="1">
        <v>487055</v>
      </c>
      <c r="E939" s="4">
        <v>343418.55582257884</v>
      </c>
      <c r="F939" s="4">
        <v>214532.99825877551</v>
      </c>
    </row>
    <row r="940" spans="1:6" x14ac:dyDescent="0.25">
      <c r="A940" t="s">
        <v>55</v>
      </c>
      <c r="B940" t="s">
        <v>96</v>
      </c>
      <c r="C940">
        <v>5</v>
      </c>
      <c r="D940" s="1">
        <v>227895</v>
      </c>
      <c r="E940" s="4">
        <v>443964.06674677366</v>
      </c>
      <c r="F940" s="4">
        <v>189151.02419932108</v>
      </c>
    </row>
    <row r="941" spans="1:6" x14ac:dyDescent="0.25">
      <c r="A941" t="s">
        <v>56</v>
      </c>
      <c r="B941" t="s">
        <v>96</v>
      </c>
      <c r="C941">
        <v>10.77</v>
      </c>
      <c r="D941" s="1">
        <v>545588</v>
      </c>
      <c r="E941" s="4">
        <v>292715.72002403205</v>
      </c>
      <c r="F941" s="4">
        <v>182856.79408916525</v>
      </c>
    </row>
    <row r="942" spans="1:6" x14ac:dyDescent="0.25">
      <c r="A942" t="s">
        <v>57</v>
      </c>
      <c r="B942" t="s">
        <v>96</v>
      </c>
      <c r="C942">
        <v>4.1100000000000003</v>
      </c>
      <c r="D942" s="1">
        <v>218119</v>
      </c>
      <c r="E942" s="4">
        <v>469726.31600720959</v>
      </c>
      <c r="F942" s="4">
        <v>209174.29708339684</v>
      </c>
    </row>
    <row r="943" spans="1:6" x14ac:dyDescent="0.25">
      <c r="A943" t="s">
        <v>58</v>
      </c>
      <c r="B943" t="s">
        <v>96</v>
      </c>
      <c r="C943">
        <v>8.91</v>
      </c>
      <c r="D943" s="1">
        <v>463639</v>
      </c>
      <c r="E943" s="4">
        <v>293601.19480216282</v>
      </c>
      <c r="F943" s="4">
        <v>240787.92401434772</v>
      </c>
    </row>
    <row r="944" spans="1:6" x14ac:dyDescent="0.25">
      <c r="A944" t="s">
        <v>59</v>
      </c>
      <c r="B944" t="s">
        <v>96</v>
      </c>
      <c r="C944">
        <v>8.85</v>
      </c>
      <c r="D944" s="1">
        <v>366563</v>
      </c>
      <c r="E944" s="4">
        <v>412627.65844064881</v>
      </c>
      <c r="F944" s="4">
        <v>228154.54312453346</v>
      </c>
    </row>
    <row r="945" spans="1:6" x14ac:dyDescent="0.25">
      <c r="A945" t="s">
        <v>60</v>
      </c>
      <c r="B945" t="s">
        <v>96</v>
      </c>
      <c r="C945">
        <v>10.71</v>
      </c>
      <c r="D945" s="1">
        <v>187872</v>
      </c>
      <c r="E945" s="4">
        <v>380382.39753219462</v>
      </c>
      <c r="F945" s="4">
        <v>177333.06649926957</v>
      </c>
    </row>
    <row r="946" spans="1:6" x14ac:dyDescent="0.25">
      <c r="A946" t="s">
        <v>61</v>
      </c>
      <c r="B946" t="s">
        <v>96</v>
      </c>
      <c r="C946">
        <v>15</v>
      </c>
      <c r="D946" s="1">
        <v>688504</v>
      </c>
      <c r="E946" s="4">
        <v>245625.11925965839</v>
      </c>
      <c r="F946" s="4">
        <v>150659.72820869647</v>
      </c>
    </row>
    <row r="947" spans="1:6" x14ac:dyDescent="0.25">
      <c r="A947" t="s">
        <v>62</v>
      </c>
      <c r="B947" t="s">
        <v>96</v>
      </c>
      <c r="C947">
        <v>10.31</v>
      </c>
      <c r="D947" s="1">
        <v>509877</v>
      </c>
      <c r="E947" s="4">
        <v>555640.3357778975</v>
      </c>
      <c r="F947" s="4">
        <v>280073.74559871131</v>
      </c>
    </row>
    <row r="948" spans="1:6" x14ac:dyDescent="0.25">
      <c r="A948" t="s">
        <v>63</v>
      </c>
      <c r="B948" t="s">
        <v>96</v>
      </c>
      <c r="C948">
        <v>9.3800000000000008</v>
      </c>
      <c r="D948" s="1">
        <v>485726</v>
      </c>
      <c r="E948" s="4">
        <v>523606.0007333692</v>
      </c>
      <c r="F948" s="4">
        <v>280057.2792991593</v>
      </c>
    </row>
    <row r="949" spans="1:6" x14ac:dyDescent="0.25">
      <c r="A949" t="s">
        <v>64</v>
      </c>
      <c r="B949" t="s">
        <v>96</v>
      </c>
      <c r="C949">
        <v>14.89</v>
      </c>
      <c r="D949" s="1">
        <v>722038</v>
      </c>
      <c r="E949" s="4">
        <v>497090.0002200107</v>
      </c>
      <c r="F949" s="4">
        <v>257986.35646282948</v>
      </c>
    </row>
    <row r="950" spans="1:6" x14ac:dyDescent="0.25">
      <c r="A950" t="s">
        <v>65</v>
      </c>
      <c r="B950" t="s">
        <v>96</v>
      </c>
      <c r="C950">
        <v>6.61</v>
      </c>
      <c r="D950" s="1">
        <v>336447</v>
      </c>
      <c r="E950" s="4">
        <v>654553.60006600316</v>
      </c>
      <c r="F950" s="4">
        <v>134326.4431178745</v>
      </c>
    </row>
    <row r="951" spans="1:6" x14ac:dyDescent="0.25">
      <c r="A951" t="s">
        <v>66</v>
      </c>
      <c r="B951" t="s">
        <v>96</v>
      </c>
      <c r="C951">
        <v>3.59</v>
      </c>
      <c r="D951" s="1">
        <v>176583</v>
      </c>
      <c r="E951" s="4">
        <v>431878.98001980095</v>
      </c>
      <c r="F951" s="4">
        <v>226000.22571237269</v>
      </c>
    </row>
    <row r="952" spans="1:6" x14ac:dyDescent="0.25">
      <c r="A952" t="s">
        <v>67</v>
      </c>
      <c r="B952" t="s">
        <v>96</v>
      </c>
      <c r="C952">
        <v>6.85</v>
      </c>
      <c r="D952" s="1">
        <v>320314</v>
      </c>
      <c r="E952" s="4">
        <v>253171.79400594026</v>
      </c>
      <c r="F952" s="4">
        <v>268929.63703345699</v>
      </c>
    </row>
    <row r="953" spans="1:6" x14ac:dyDescent="0.25">
      <c r="A953" t="s">
        <v>68</v>
      </c>
      <c r="B953" t="s">
        <v>96</v>
      </c>
      <c r="C953">
        <v>6.39</v>
      </c>
      <c r="D953" s="1">
        <v>318749</v>
      </c>
      <c r="E953" s="4">
        <v>300171.33820178208</v>
      </c>
      <c r="F953" s="4">
        <v>238660.09458751962</v>
      </c>
    </row>
    <row r="954" spans="1:6" x14ac:dyDescent="0.25">
      <c r="A954" t="s">
        <v>69</v>
      </c>
      <c r="B954" t="s">
        <v>96</v>
      </c>
      <c r="C954">
        <v>5.4</v>
      </c>
      <c r="D954" s="1">
        <v>276929</v>
      </c>
      <c r="E954" s="4">
        <v>313175.70146053459</v>
      </c>
      <c r="F954" s="4">
        <v>152784.42629830691</v>
      </c>
    </row>
    <row r="955" spans="1:6" x14ac:dyDescent="0.25">
      <c r="A955" t="s">
        <v>70</v>
      </c>
      <c r="B955" t="s">
        <v>96</v>
      </c>
      <c r="C955">
        <v>4.43</v>
      </c>
      <c r="D955" s="1">
        <v>220021</v>
      </c>
      <c r="E955" s="4">
        <v>287803.01043816039</v>
      </c>
      <c r="F955" s="4">
        <v>45339.565908842567</v>
      </c>
    </row>
    <row r="956" spans="1:6" x14ac:dyDescent="0.25">
      <c r="A956" t="s">
        <v>71</v>
      </c>
      <c r="B956" t="s">
        <v>96</v>
      </c>
      <c r="C956">
        <v>6.63</v>
      </c>
      <c r="D956" s="1">
        <v>324163</v>
      </c>
      <c r="E956" s="4">
        <v>240355.60313144809</v>
      </c>
      <c r="F956" s="4">
        <v>45655.791248927628</v>
      </c>
    </row>
    <row r="957" spans="1:6" x14ac:dyDescent="0.25">
      <c r="A957" t="s">
        <v>72</v>
      </c>
      <c r="B957" t="s">
        <v>96</v>
      </c>
      <c r="C957">
        <v>8.5</v>
      </c>
      <c r="D957" s="1">
        <v>431812</v>
      </c>
      <c r="E957" s="4">
        <v>299020.78093943442</v>
      </c>
      <c r="F957" s="4">
        <v>65655.423933571466</v>
      </c>
    </row>
    <row r="958" spans="1:6" x14ac:dyDescent="0.25">
      <c r="A958" t="s">
        <v>73</v>
      </c>
      <c r="B958" t="s">
        <v>96</v>
      </c>
      <c r="C958">
        <v>21.82</v>
      </c>
      <c r="D958" s="1">
        <v>896910</v>
      </c>
      <c r="E958" s="4">
        <v>391974.63428183028</v>
      </c>
      <c r="F958" s="4">
        <v>98744.769597369828</v>
      </c>
    </row>
    <row r="959" spans="1:6" x14ac:dyDescent="0.25">
      <c r="A959" t="s">
        <v>74</v>
      </c>
      <c r="B959" t="s">
        <v>96</v>
      </c>
      <c r="C959">
        <v>12.98</v>
      </c>
      <c r="D959" s="1">
        <v>508902</v>
      </c>
      <c r="E959" s="4">
        <v>745429.3902845491</v>
      </c>
      <c r="F959" s="4">
        <v>305295.98271317838</v>
      </c>
    </row>
    <row r="960" spans="1:6" x14ac:dyDescent="0.25">
      <c r="A960" t="s">
        <v>75</v>
      </c>
      <c r="B960" t="s">
        <v>96</v>
      </c>
      <c r="C960">
        <v>8.4</v>
      </c>
      <c r="D960" s="1">
        <v>385155</v>
      </c>
      <c r="E960" s="4">
        <v>579860.21708536474</v>
      </c>
      <c r="F960" s="4">
        <v>330927.2013436149</v>
      </c>
    </row>
    <row r="961" spans="1:6" x14ac:dyDescent="0.25">
      <c r="A961" t="s">
        <v>76</v>
      </c>
      <c r="B961" t="s">
        <v>96</v>
      </c>
      <c r="C961">
        <v>8.33</v>
      </c>
      <c r="D961" s="1">
        <v>416194</v>
      </c>
      <c r="E961" s="4">
        <v>443566.5651256094</v>
      </c>
      <c r="F961" s="4">
        <v>340986.3396423285</v>
      </c>
    </row>
    <row r="962" spans="1:6" x14ac:dyDescent="0.25">
      <c r="A962" t="s">
        <v>77</v>
      </c>
      <c r="B962" t="s">
        <v>96</v>
      </c>
      <c r="C962">
        <v>10.86</v>
      </c>
      <c r="D962" s="1">
        <v>529386</v>
      </c>
      <c r="E962" s="4">
        <v>424405.76953768276</v>
      </c>
      <c r="F962" s="4">
        <v>177580.57817662583</v>
      </c>
    </row>
    <row r="963" spans="1:6" x14ac:dyDescent="0.25">
      <c r="A963" t="s">
        <v>78</v>
      </c>
      <c r="B963" t="s">
        <v>96</v>
      </c>
      <c r="C963">
        <v>6.16</v>
      </c>
      <c r="D963" s="1">
        <v>318575</v>
      </c>
      <c r="E963" s="4">
        <v>497891.93086130475</v>
      </c>
      <c r="F963" s="4">
        <v>128685.95840227477</v>
      </c>
    </row>
    <row r="964" spans="1:6" x14ac:dyDescent="0.25">
      <c r="A964" t="s">
        <v>79</v>
      </c>
      <c r="B964" t="s">
        <v>96</v>
      </c>
      <c r="C964">
        <v>7.94</v>
      </c>
      <c r="D964" s="1">
        <v>392812</v>
      </c>
      <c r="E964" s="4">
        <v>372370.0792583914</v>
      </c>
      <c r="F964" s="4">
        <v>121002.29722749746</v>
      </c>
    </row>
    <row r="965" spans="1:6" x14ac:dyDescent="0.25">
      <c r="A965" t="s">
        <v>80</v>
      </c>
      <c r="B965" t="s">
        <v>96</v>
      </c>
      <c r="C965">
        <v>6.79</v>
      </c>
      <c r="D965" s="1">
        <v>352958</v>
      </c>
      <c r="E965" s="4">
        <v>386679.4237775174</v>
      </c>
      <c r="F965" s="4">
        <v>120544.98828935942</v>
      </c>
    </row>
    <row r="966" spans="1:6" x14ac:dyDescent="0.25">
      <c r="A966" t="s">
        <v>81</v>
      </c>
      <c r="B966" t="s">
        <v>96</v>
      </c>
      <c r="C966">
        <v>4.43</v>
      </c>
      <c r="D966" s="1">
        <v>219583</v>
      </c>
      <c r="E966" s="4">
        <v>363074.42713325517</v>
      </c>
      <c r="F966" s="4">
        <v>106002.46575545162</v>
      </c>
    </row>
    <row r="967" spans="1:6" x14ac:dyDescent="0.25">
      <c r="A967" t="s">
        <v>82</v>
      </c>
      <c r="B967" t="s">
        <v>96</v>
      </c>
      <c r="C967">
        <v>5.75</v>
      </c>
      <c r="D967" s="1">
        <v>298911</v>
      </c>
      <c r="E967" s="4">
        <v>262630.42813997652</v>
      </c>
      <c r="F967" s="4">
        <v>85916.230918896428</v>
      </c>
    </row>
    <row r="968" spans="1:6" x14ac:dyDescent="0.25">
      <c r="A968" t="s">
        <v>83</v>
      </c>
      <c r="B968" t="s">
        <v>96</v>
      </c>
      <c r="C968">
        <v>7.76</v>
      </c>
      <c r="D968" s="1">
        <v>391941</v>
      </c>
      <c r="E968" s="4">
        <v>288026.82844199293</v>
      </c>
      <c r="F968" s="4">
        <v>87641.702358355105</v>
      </c>
    </row>
    <row r="969" spans="1:6" x14ac:dyDescent="0.25">
      <c r="A969" t="s">
        <v>84</v>
      </c>
      <c r="B969" t="s">
        <v>96</v>
      </c>
      <c r="C969">
        <v>5.15</v>
      </c>
      <c r="D969" s="1">
        <v>257932</v>
      </c>
      <c r="E969" s="4">
        <v>360766.74853259791</v>
      </c>
      <c r="F969" s="4">
        <v>104409.8089354564</v>
      </c>
    </row>
    <row r="970" spans="1:6" x14ac:dyDescent="0.25">
      <c r="A970" t="s">
        <v>7</v>
      </c>
      <c r="B970" t="s">
        <v>97</v>
      </c>
      <c r="C970">
        <v>2.8</v>
      </c>
      <c r="D970" s="1">
        <v>515868</v>
      </c>
      <c r="E970" s="4">
        <v>288782.42455977935</v>
      </c>
      <c r="F970" s="4">
        <v>86966.316182071139</v>
      </c>
    </row>
    <row r="971" spans="1:6" x14ac:dyDescent="0.25">
      <c r="A971" t="s">
        <v>10</v>
      </c>
      <c r="B971" t="s">
        <v>97</v>
      </c>
      <c r="C971">
        <v>4.33</v>
      </c>
      <c r="D971" s="1">
        <v>658922</v>
      </c>
      <c r="E971" s="4">
        <v>447742.32736793376</v>
      </c>
      <c r="F971" s="4">
        <v>155928.40144263406</v>
      </c>
    </row>
    <row r="972" spans="1:6" x14ac:dyDescent="0.25">
      <c r="A972" t="s">
        <v>11</v>
      </c>
      <c r="B972" t="s">
        <v>97</v>
      </c>
      <c r="C972">
        <v>2.91</v>
      </c>
      <c r="D972" s="1">
        <v>411741</v>
      </c>
      <c r="E972" s="4">
        <v>595568.09821038006</v>
      </c>
      <c r="F972" s="4">
        <v>188626.34864705891</v>
      </c>
    </row>
    <row r="973" spans="1:6" x14ac:dyDescent="0.25">
      <c r="A973" t="s">
        <v>12</v>
      </c>
      <c r="B973" t="s">
        <v>97</v>
      </c>
      <c r="C973">
        <v>7.98</v>
      </c>
      <c r="D973" s="1">
        <v>1260437</v>
      </c>
      <c r="E973" s="4">
        <v>466889.12946311396</v>
      </c>
      <c r="F973" s="4">
        <v>208132.26142884203</v>
      </c>
    </row>
    <row r="974" spans="1:6" x14ac:dyDescent="0.25">
      <c r="A974" t="s">
        <v>13</v>
      </c>
      <c r="B974" t="s">
        <v>97</v>
      </c>
      <c r="C974">
        <v>5.26</v>
      </c>
      <c r="D974" s="1">
        <v>957992</v>
      </c>
      <c r="E974" s="4">
        <v>1022372.6388389341</v>
      </c>
      <c r="F974" s="4">
        <v>485835.18433142937</v>
      </c>
    </row>
    <row r="975" spans="1:6" x14ac:dyDescent="0.25">
      <c r="A975" t="s">
        <v>14</v>
      </c>
      <c r="B975" t="s">
        <v>97</v>
      </c>
      <c r="C975">
        <v>2.63</v>
      </c>
      <c r="D975" s="1">
        <v>417099</v>
      </c>
      <c r="E975" s="4">
        <v>977306.19165168016</v>
      </c>
      <c r="F975" s="4">
        <v>471753.99363347015</v>
      </c>
    </row>
    <row r="976" spans="1:6" x14ac:dyDescent="0.25">
      <c r="A976" t="s">
        <v>15</v>
      </c>
      <c r="B976" t="s">
        <v>97</v>
      </c>
      <c r="C976">
        <v>10.64</v>
      </c>
      <c r="D976" s="1">
        <v>1466126</v>
      </c>
      <c r="E976" s="4">
        <v>585161.15749550401</v>
      </c>
      <c r="F976" s="4">
        <v>562048.39265825925</v>
      </c>
    </row>
    <row r="977" spans="1:6" x14ac:dyDescent="0.25">
      <c r="A977" t="s">
        <v>16</v>
      </c>
      <c r="B977" t="s">
        <v>97</v>
      </c>
      <c r="C977">
        <v>8.34</v>
      </c>
      <c r="D977" s="1">
        <v>1262543</v>
      </c>
      <c r="E977" s="4">
        <v>1201836.5472486513</v>
      </c>
      <c r="F977" s="4">
        <v>603897.34722730902</v>
      </c>
    </row>
    <row r="978" spans="1:6" x14ac:dyDescent="0.25">
      <c r="A978" t="s">
        <v>17</v>
      </c>
      <c r="B978" t="s">
        <v>97</v>
      </c>
      <c r="C978">
        <v>7.11</v>
      </c>
      <c r="D978" s="1">
        <v>1194162</v>
      </c>
      <c r="E978" s="4">
        <v>1244331.0641745953</v>
      </c>
      <c r="F978" s="4">
        <v>603770.49301669956</v>
      </c>
    </row>
    <row r="979" spans="1:6" x14ac:dyDescent="0.25">
      <c r="A979" t="s">
        <v>18</v>
      </c>
      <c r="B979" t="s">
        <v>97</v>
      </c>
      <c r="C979">
        <v>5.78</v>
      </c>
      <c r="D979" s="1">
        <v>972169</v>
      </c>
      <c r="E979" s="4">
        <v>1209212.7192523784</v>
      </c>
      <c r="F979" s="4">
        <v>510653.58843178541</v>
      </c>
    </row>
    <row r="980" spans="1:6" x14ac:dyDescent="0.25">
      <c r="A980" t="s">
        <v>19</v>
      </c>
      <c r="B980" t="s">
        <v>97</v>
      </c>
      <c r="C980">
        <v>6.17</v>
      </c>
      <c r="D980" s="1">
        <v>868646</v>
      </c>
      <c r="E980" s="4">
        <v>1043282.1157757135</v>
      </c>
      <c r="F980" s="4">
        <v>144212.7285676809</v>
      </c>
    </row>
    <row r="981" spans="1:6" x14ac:dyDescent="0.25">
      <c r="A981" t="s">
        <v>20</v>
      </c>
      <c r="B981" t="s">
        <v>97</v>
      </c>
      <c r="C981">
        <v>1.37</v>
      </c>
      <c r="D981" s="1">
        <v>202779</v>
      </c>
      <c r="E981" s="4">
        <v>921036.83473271399</v>
      </c>
      <c r="F981" s="4">
        <v>172437.84655191319</v>
      </c>
    </row>
    <row r="982" spans="1:6" x14ac:dyDescent="0.25">
      <c r="A982" t="s">
        <v>21</v>
      </c>
      <c r="B982" t="s">
        <v>97</v>
      </c>
      <c r="C982">
        <v>2.35</v>
      </c>
      <c r="D982" s="1">
        <v>383582</v>
      </c>
      <c r="E982" s="4">
        <v>418256.35041981417</v>
      </c>
      <c r="F982" s="4">
        <v>448174.74825680646</v>
      </c>
    </row>
    <row r="983" spans="1:6" x14ac:dyDescent="0.25">
      <c r="A983" t="s">
        <v>22</v>
      </c>
      <c r="B983" t="s">
        <v>97</v>
      </c>
      <c r="C983">
        <v>4.09</v>
      </c>
      <c r="D983" s="1">
        <v>674443</v>
      </c>
      <c r="E983" s="4">
        <v>393984.3051259442</v>
      </c>
      <c r="F983" s="4">
        <v>427237.01488564524</v>
      </c>
    </row>
    <row r="984" spans="1:6" x14ac:dyDescent="0.25">
      <c r="A984" t="s">
        <v>23</v>
      </c>
      <c r="B984" t="s">
        <v>97</v>
      </c>
      <c r="C984">
        <v>2.44</v>
      </c>
      <c r="D984" s="1">
        <v>400832</v>
      </c>
      <c r="E984" s="4">
        <v>590305.3915377832</v>
      </c>
      <c r="F984" s="4">
        <v>445628.28578028333</v>
      </c>
    </row>
    <row r="985" spans="1:6" x14ac:dyDescent="0.25">
      <c r="A985" t="s">
        <v>24</v>
      </c>
      <c r="B985" t="s">
        <v>97</v>
      </c>
      <c r="C985">
        <v>1.65</v>
      </c>
      <c r="D985" s="1">
        <v>237067</v>
      </c>
      <c r="E985" s="4">
        <v>457674.01746133494</v>
      </c>
      <c r="F985" s="4">
        <v>196434.51513445468</v>
      </c>
    </row>
    <row r="986" spans="1:6" x14ac:dyDescent="0.25">
      <c r="A986" t="s">
        <v>25</v>
      </c>
      <c r="B986" t="s">
        <v>97</v>
      </c>
      <c r="C986">
        <v>1.44</v>
      </c>
      <c r="D986" s="1">
        <v>236326</v>
      </c>
      <c r="E986" s="4">
        <v>303249.10523840046</v>
      </c>
      <c r="F986" s="4">
        <v>233255.72646380667</v>
      </c>
    </row>
    <row r="987" spans="1:6" x14ac:dyDescent="0.25">
      <c r="A987" t="s">
        <v>26</v>
      </c>
      <c r="B987" t="s">
        <v>97</v>
      </c>
      <c r="C987">
        <v>1.72</v>
      </c>
      <c r="D987" s="1">
        <v>301554</v>
      </c>
      <c r="E987" s="4">
        <v>256402.93157152011</v>
      </c>
      <c r="F987" s="4">
        <v>172284.96187882629</v>
      </c>
    </row>
    <row r="988" spans="1:6" x14ac:dyDescent="0.25">
      <c r="A988" t="s">
        <v>27</v>
      </c>
      <c r="B988" t="s">
        <v>97</v>
      </c>
      <c r="C988">
        <v>0.86</v>
      </c>
      <c r="D988" s="1">
        <v>144708</v>
      </c>
      <c r="E988" s="4">
        <v>288008.67947145604</v>
      </c>
      <c r="F988" s="4">
        <v>135627.89431402503</v>
      </c>
    </row>
    <row r="989" spans="1:6" x14ac:dyDescent="0.25">
      <c r="A989" t="s">
        <v>28</v>
      </c>
      <c r="B989" t="s">
        <v>97</v>
      </c>
      <c r="C989">
        <v>0.63</v>
      </c>
      <c r="D989" s="1">
        <v>96694</v>
      </c>
      <c r="E989" s="4">
        <v>187698.2038414368</v>
      </c>
      <c r="F989" s="4">
        <v>94960.352660051896</v>
      </c>
    </row>
    <row r="990" spans="1:6" x14ac:dyDescent="0.25">
      <c r="A990" t="s">
        <v>29</v>
      </c>
      <c r="B990" t="s">
        <v>97</v>
      </c>
      <c r="C990">
        <v>0.82</v>
      </c>
      <c r="D990" s="1">
        <v>133548</v>
      </c>
      <c r="E990" s="4">
        <v>123995.26115243105</v>
      </c>
      <c r="F990" s="4">
        <v>101415.75951502481</v>
      </c>
    </row>
    <row r="991" spans="1:6" x14ac:dyDescent="0.25">
      <c r="A991" t="s">
        <v>30</v>
      </c>
      <c r="B991" t="s">
        <v>97</v>
      </c>
      <c r="C991">
        <v>0.18</v>
      </c>
      <c r="D991" s="1">
        <v>28034</v>
      </c>
      <c r="E991" s="4">
        <v>130682.17834572931</v>
      </c>
      <c r="F991" s="4">
        <v>98163.307254263156</v>
      </c>
    </row>
    <row r="992" spans="1:6" x14ac:dyDescent="0.25">
      <c r="A992" t="s">
        <v>31</v>
      </c>
      <c r="B992" t="s">
        <v>97</v>
      </c>
      <c r="C992">
        <v>3.41</v>
      </c>
      <c r="D992" s="1">
        <v>544195</v>
      </c>
      <c r="E992" s="4">
        <v>58828.453503718789</v>
      </c>
      <c r="F992" s="4">
        <v>79392.838581323536</v>
      </c>
    </row>
    <row r="993" spans="1:6" x14ac:dyDescent="0.25">
      <c r="A993" t="s">
        <v>32</v>
      </c>
      <c r="B993" t="s">
        <v>97</v>
      </c>
      <c r="C993">
        <v>1.5</v>
      </c>
      <c r="D993" s="1">
        <v>251101</v>
      </c>
      <c r="E993" s="4">
        <v>398585.03605111566</v>
      </c>
      <c r="F993" s="4">
        <v>286477.79890415777</v>
      </c>
    </row>
    <row r="994" spans="1:6" x14ac:dyDescent="0.25">
      <c r="A994" t="s">
        <v>33</v>
      </c>
      <c r="B994" t="s">
        <v>97</v>
      </c>
      <c r="C994">
        <v>2</v>
      </c>
      <c r="D994" s="1">
        <v>306323</v>
      </c>
      <c r="E994" s="4">
        <v>295346.21081533469</v>
      </c>
      <c r="F994" s="4">
        <v>298813.69550571707</v>
      </c>
    </row>
    <row r="995" spans="1:6" x14ac:dyDescent="0.25">
      <c r="A995" t="s">
        <v>34</v>
      </c>
      <c r="B995" t="s">
        <v>97</v>
      </c>
      <c r="C995">
        <v>2.0299999999999998</v>
      </c>
      <c r="D995" s="1">
        <v>323325</v>
      </c>
      <c r="E995" s="4">
        <v>303029.9632446004</v>
      </c>
      <c r="F995" s="4">
        <v>292946.36326379958</v>
      </c>
    </row>
    <row r="996" spans="1:6" x14ac:dyDescent="0.25">
      <c r="A996" t="s">
        <v>35</v>
      </c>
      <c r="B996" t="s">
        <v>97</v>
      </c>
      <c r="C996">
        <v>4.2699999999999996</v>
      </c>
      <c r="D996" s="1">
        <v>693382</v>
      </c>
      <c r="E996" s="4">
        <v>317236.48897338012</v>
      </c>
      <c r="F996" s="4">
        <v>86185.68966217534</v>
      </c>
    </row>
    <row r="997" spans="1:6" x14ac:dyDescent="0.25">
      <c r="A997" t="s">
        <v>36</v>
      </c>
      <c r="B997" t="s">
        <v>97</v>
      </c>
      <c r="C997">
        <v>2.76</v>
      </c>
      <c r="D997" s="1">
        <v>448808</v>
      </c>
      <c r="E997" s="4">
        <v>580538.34669201402</v>
      </c>
      <c r="F997" s="4">
        <v>217575.9054392931</v>
      </c>
    </row>
    <row r="998" spans="1:6" x14ac:dyDescent="0.25">
      <c r="A998" t="s">
        <v>37</v>
      </c>
      <c r="B998" t="s">
        <v>97</v>
      </c>
      <c r="C998">
        <v>1.58</v>
      </c>
      <c r="D998" s="1">
        <v>242656</v>
      </c>
      <c r="E998" s="4">
        <v>488327.10400760418</v>
      </c>
      <c r="F998" s="4">
        <v>230398.36387004302</v>
      </c>
    </row>
    <row r="999" spans="1:6" x14ac:dyDescent="0.25">
      <c r="A999" t="s">
        <v>38</v>
      </c>
      <c r="B999" t="s">
        <v>97</v>
      </c>
      <c r="C999">
        <v>2</v>
      </c>
      <c r="D999" s="1">
        <v>310405</v>
      </c>
      <c r="E999" s="4">
        <v>316357.33120228123</v>
      </c>
      <c r="F999" s="4">
        <v>270303.91602132481</v>
      </c>
    </row>
    <row r="1000" spans="1:6" x14ac:dyDescent="0.25">
      <c r="A1000" t="s">
        <v>39</v>
      </c>
      <c r="B1000" t="s">
        <v>97</v>
      </c>
      <c r="C1000">
        <v>3.62</v>
      </c>
      <c r="D1000" s="1">
        <v>560170</v>
      </c>
      <c r="E1000" s="4">
        <v>312190.69936068438</v>
      </c>
      <c r="F1000" s="4">
        <v>160978.88663906098</v>
      </c>
    </row>
    <row r="1001" spans="1:6" x14ac:dyDescent="0.25">
      <c r="A1001" t="s">
        <v>40</v>
      </c>
      <c r="B1001" t="s">
        <v>97</v>
      </c>
      <c r="C1001">
        <v>6.41</v>
      </c>
      <c r="D1001" s="1">
        <v>1042981</v>
      </c>
      <c r="E1001" s="4">
        <v>485776.20980820531</v>
      </c>
      <c r="F1001" s="4">
        <v>201563.43512371881</v>
      </c>
    </row>
    <row r="1002" spans="1:6" x14ac:dyDescent="0.25">
      <c r="A1002" t="s">
        <v>41</v>
      </c>
      <c r="B1002" t="s">
        <v>97</v>
      </c>
      <c r="C1002">
        <v>3.66</v>
      </c>
      <c r="D1002" s="1">
        <v>553196</v>
      </c>
      <c r="E1002" s="4">
        <v>875819.56294246158</v>
      </c>
      <c r="F1002" s="4">
        <v>352139.33890104154</v>
      </c>
    </row>
    <row r="1003" spans="1:6" x14ac:dyDescent="0.25">
      <c r="A1003" t="s">
        <v>42</v>
      </c>
      <c r="B1003" t="s">
        <v>97</v>
      </c>
      <c r="C1003">
        <v>7.31</v>
      </c>
      <c r="D1003" s="1">
        <v>1105927</v>
      </c>
      <c r="E1003" s="4">
        <v>649983.06888273847</v>
      </c>
      <c r="F1003" s="4">
        <v>398353.64318819973</v>
      </c>
    </row>
    <row r="1004" spans="1:6" x14ac:dyDescent="0.25">
      <c r="A1004" t="s">
        <v>43</v>
      </c>
      <c r="B1004" t="s">
        <v>97</v>
      </c>
      <c r="C1004">
        <v>5.97</v>
      </c>
      <c r="D1004" s="1">
        <v>895770</v>
      </c>
      <c r="E1004" s="4">
        <v>969143.82066482143</v>
      </c>
      <c r="F1004" s="4">
        <v>455502.65637755708</v>
      </c>
    </row>
    <row r="1005" spans="1:6" x14ac:dyDescent="0.25">
      <c r="A1005" t="s">
        <v>44</v>
      </c>
      <c r="B1005" t="s">
        <v>97</v>
      </c>
      <c r="C1005">
        <v>6.98</v>
      </c>
      <c r="D1005" s="1">
        <v>1088094</v>
      </c>
      <c r="E1005" s="4">
        <v>917782.1461994464</v>
      </c>
      <c r="F1005" s="4">
        <v>325245.82971823221</v>
      </c>
    </row>
    <row r="1006" spans="1:6" x14ac:dyDescent="0.25">
      <c r="A1006" t="s">
        <v>45</v>
      </c>
      <c r="B1006" t="s">
        <v>97</v>
      </c>
      <c r="C1006">
        <v>4.67</v>
      </c>
      <c r="D1006" s="1">
        <v>712781</v>
      </c>
      <c r="E1006" s="4">
        <v>1037000.4438598338</v>
      </c>
      <c r="F1006" s="4">
        <v>284179.93913868297</v>
      </c>
    </row>
    <row r="1007" spans="1:6" x14ac:dyDescent="0.25">
      <c r="A1007" t="s">
        <v>46</v>
      </c>
      <c r="B1007" t="s">
        <v>97</v>
      </c>
      <c r="C1007">
        <v>6.33</v>
      </c>
      <c r="D1007" s="1">
        <v>1015829</v>
      </c>
      <c r="E1007" s="4">
        <v>810046.83315795008</v>
      </c>
      <c r="F1007" s="4">
        <v>215644.84141037273</v>
      </c>
    </row>
    <row r="1008" spans="1:6" x14ac:dyDescent="0.25">
      <c r="A1008" t="s">
        <v>47</v>
      </c>
      <c r="B1008" t="s">
        <v>97</v>
      </c>
      <c r="C1008">
        <v>4.0599999999999996</v>
      </c>
      <c r="D1008" s="1">
        <v>637643</v>
      </c>
      <c r="E1008" s="4">
        <v>954094.34994738491</v>
      </c>
      <c r="F1008" s="4">
        <v>242535.68501148466</v>
      </c>
    </row>
    <row r="1009" spans="1:6" x14ac:dyDescent="0.25">
      <c r="A1009" t="s">
        <v>48</v>
      </c>
      <c r="B1009" t="s">
        <v>97</v>
      </c>
      <c r="C1009">
        <v>6.3</v>
      </c>
      <c r="D1009" s="1">
        <v>989636</v>
      </c>
      <c r="E1009" s="4">
        <v>732578.40498421551</v>
      </c>
      <c r="F1009" s="4">
        <v>287289.63599505374</v>
      </c>
    </row>
    <row r="1010" spans="1:6" x14ac:dyDescent="0.25">
      <c r="A1010" t="s">
        <v>49</v>
      </c>
      <c r="B1010" t="s">
        <v>97</v>
      </c>
      <c r="C1010">
        <v>3.63</v>
      </c>
      <c r="D1010" s="1">
        <v>557199</v>
      </c>
      <c r="E1010" s="4">
        <v>912518.72149526456</v>
      </c>
      <c r="F1010" s="4">
        <v>263670.4788361353</v>
      </c>
    </row>
    <row r="1011" spans="1:6" x14ac:dyDescent="0.25">
      <c r="A1011" t="s">
        <v>50</v>
      </c>
      <c r="B1011" t="s">
        <v>97</v>
      </c>
      <c r="C1011">
        <v>4.25</v>
      </c>
      <c r="D1011" s="1">
        <v>692529</v>
      </c>
      <c r="E1011" s="4">
        <v>663794.9164485794</v>
      </c>
      <c r="F1011" s="4">
        <v>312235.04422272107</v>
      </c>
    </row>
    <row r="1012" spans="1:6" x14ac:dyDescent="0.25">
      <c r="A1012" t="s">
        <v>51</v>
      </c>
      <c r="B1012" t="s">
        <v>97</v>
      </c>
      <c r="C1012">
        <v>3.92</v>
      </c>
      <c r="D1012" s="1">
        <v>637968</v>
      </c>
      <c r="E1012" s="4">
        <v>683908.7749345738</v>
      </c>
      <c r="F1012" s="4">
        <v>253742.88771399512</v>
      </c>
    </row>
    <row r="1013" spans="1:6" x14ac:dyDescent="0.25">
      <c r="A1013" t="s">
        <v>52</v>
      </c>
      <c r="B1013" t="s">
        <v>97</v>
      </c>
      <c r="C1013">
        <v>4.9400000000000004</v>
      </c>
      <c r="D1013" s="1">
        <v>818022</v>
      </c>
      <c r="E1013" s="4">
        <v>651750.23248037207</v>
      </c>
      <c r="F1013" s="4">
        <v>207515.70771277498</v>
      </c>
    </row>
    <row r="1014" spans="1:6" x14ac:dyDescent="0.25">
      <c r="A1014" t="s">
        <v>53</v>
      </c>
      <c r="B1014" t="s">
        <v>97</v>
      </c>
      <c r="C1014">
        <v>3.32</v>
      </c>
      <c r="D1014" s="1">
        <v>538021</v>
      </c>
      <c r="E1014" s="4">
        <v>768140.46974411153</v>
      </c>
      <c r="F1014" s="4">
        <v>100966.17095712533</v>
      </c>
    </row>
    <row r="1015" spans="1:6" x14ac:dyDescent="0.25">
      <c r="A1015" t="s">
        <v>54</v>
      </c>
      <c r="B1015" t="s">
        <v>97</v>
      </c>
      <c r="C1015">
        <v>2.98</v>
      </c>
      <c r="D1015" s="1">
        <v>508407</v>
      </c>
      <c r="E1015" s="4">
        <v>607056.84092323342</v>
      </c>
      <c r="F1015" s="4">
        <v>166043.99600808759</v>
      </c>
    </row>
    <row r="1016" spans="1:6" x14ac:dyDescent="0.25">
      <c r="A1016" t="s">
        <v>55</v>
      </c>
      <c r="B1016" t="s">
        <v>97</v>
      </c>
      <c r="C1016">
        <v>2.72</v>
      </c>
      <c r="D1016" s="1">
        <v>443535</v>
      </c>
      <c r="E1016" s="4">
        <v>538001.95227697003</v>
      </c>
      <c r="F1016" s="4">
        <v>173525.27399353244</v>
      </c>
    </row>
    <row r="1017" spans="1:6" x14ac:dyDescent="0.25">
      <c r="A1017" t="s">
        <v>56</v>
      </c>
      <c r="B1017" t="s">
        <v>97</v>
      </c>
      <c r="C1017">
        <v>2.94</v>
      </c>
      <c r="D1017" s="1">
        <v>495527</v>
      </c>
      <c r="E1017" s="4">
        <v>471875.08568309096</v>
      </c>
      <c r="F1017" s="4">
        <v>154500.01784464801</v>
      </c>
    </row>
    <row r="1018" spans="1:6" x14ac:dyDescent="0.25">
      <c r="A1018" t="s">
        <v>57</v>
      </c>
      <c r="B1018" t="s">
        <v>97</v>
      </c>
      <c r="C1018">
        <v>3.66</v>
      </c>
      <c r="D1018" s="1">
        <v>592323</v>
      </c>
      <c r="E1018" s="4">
        <v>488431.42570492724</v>
      </c>
      <c r="F1018" s="4">
        <v>80031.67963903003</v>
      </c>
    </row>
    <row r="1019" spans="1:6" x14ac:dyDescent="0.25">
      <c r="A1019" t="s">
        <v>58</v>
      </c>
      <c r="B1019" t="s">
        <v>97</v>
      </c>
      <c r="C1019">
        <v>4.42</v>
      </c>
      <c r="D1019" s="1">
        <v>715070</v>
      </c>
      <c r="E1019" s="4">
        <v>561155.52771147818</v>
      </c>
      <c r="F1019" s="4">
        <v>82212.888958813026</v>
      </c>
    </row>
    <row r="1020" spans="1:6" x14ac:dyDescent="0.25">
      <c r="A1020" t="s">
        <v>59</v>
      </c>
      <c r="B1020" t="s">
        <v>97</v>
      </c>
      <c r="C1020">
        <v>1.19</v>
      </c>
      <c r="D1020" s="1">
        <v>196117</v>
      </c>
      <c r="E1020" s="4">
        <v>668895.65831344342</v>
      </c>
      <c r="F1020" s="4">
        <v>108077.96112100003</v>
      </c>
    </row>
    <row r="1021" spans="1:6" x14ac:dyDescent="0.25">
      <c r="A1021" t="s">
        <v>60</v>
      </c>
      <c r="B1021" t="s">
        <v>97</v>
      </c>
      <c r="C1021">
        <v>12.5</v>
      </c>
      <c r="D1021" s="1">
        <v>1779870</v>
      </c>
      <c r="E1021" s="4">
        <v>337950.59749403305</v>
      </c>
      <c r="F1021" s="4">
        <v>293259.14805056097</v>
      </c>
    </row>
    <row r="1022" spans="1:6" x14ac:dyDescent="0.25">
      <c r="A1022" t="s">
        <v>61</v>
      </c>
      <c r="B1022" t="s">
        <v>97</v>
      </c>
      <c r="C1022">
        <v>22.41</v>
      </c>
      <c r="D1022" s="1">
        <v>2938755</v>
      </c>
      <c r="E1022" s="4">
        <v>1347294.1792482098</v>
      </c>
      <c r="F1022" s="4">
        <v>880594.66420135251</v>
      </c>
    </row>
    <row r="1023" spans="1:6" x14ac:dyDescent="0.25">
      <c r="A1023" t="s">
        <v>62</v>
      </c>
      <c r="B1023" t="s">
        <v>97</v>
      </c>
      <c r="C1023">
        <v>5.09</v>
      </c>
      <c r="D1023" s="1">
        <v>852337</v>
      </c>
      <c r="E1023" s="4">
        <v>2461316.7537744627</v>
      </c>
      <c r="F1023" s="4">
        <v>1269566.6934125971</v>
      </c>
    </row>
    <row r="1024" spans="1:6" x14ac:dyDescent="0.25">
      <c r="A1024" t="s">
        <v>63</v>
      </c>
      <c r="B1024" t="s">
        <v>97</v>
      </c>
      <c r="C1024">
        <v>3.12</v>
      </c>
      <c r="D1024" s="1">
        <v>548019</v>
      </c>
      <c r="E1024" s="4">
        <v>1335030.9261323386</v>
      </c>
      <c r="F1024" s="4">
        <v>1549268.1019723751</v>
      </c>
    </row>
    <row r="1025" spans="1:6" x14ac:dyDescent="0.25">
      <c r="A1025" t="s">
        <v>64</v>
      </c>
      <c r="B1025" t="s">
        <v>97</v>
      </c>
      <c r="C1025">
        <v>4.1900000000000004</v>
      </c>
      <c r="D1025" s="1">
        <v>698838</v>
      </c>
      <c r="E1025" s="4">
        <v>784122.57783970155</v>
      </c>
      <c r="F1025" s="4">
        <v>1383347.5297165478</v>
      </c>
    </row>
    <row r="1026" spans="1:6" x14ac:dyDescent="0.25">
      <c r="A1026" t="s">
        <v>65</v>
      </c>
      <c r="B1026" t="s">
        <v>97</v>
      </c>
      <c r="C1026">
        <v>1.97</v>
      </c>
      <c r="D1026" s="1">
        <v>327303</v>
      </c>
      <c r="E1026" s="4">
        <v>724423.37335191038</v>
      </c>
      <c r="F1026" s="4">
        <v>1035290.1492090612</v>
      </c>
    </row>
    <row r="1027" spans="1:6" x14ac:dyDescent="0.25">
      <c r="A1027" t="s">
        <v>66</v>
      </c>
      <c r="B1027" t="s">
        <v>97</v>
      </c>
      <c r="C1027">
        <v>2.36</v>
      </c>
      <c r="D1027" s="1">
        <v>391874</v>
      </c>
      <c r="E1027" s="4">
        <v>446439.11200557312</v>
      </c>
      <c r="F1027" s="4">
        <v>511326.97367502871</v>
      </c>
    </row>
    <row r="1028" spans="1:6" x14ac:dyDescent="0.25">
      <c r="A1028" t="s">
        <v>67</v>
      </c>
      <c r="B1028" t="s">
        <v>97</v>
      </c>
      <c r="C1028">
        <v>3.43</v>
      </c>
      <c r="D1028" s="1">
        <v>611679</v>
      </c>
      <c r="E1028" s="4">
        <v>408243.53360167192</v>
      </c>
      <c r="F1028" s="4">
        <v>236611.77879713816</v>
      </c>
    </row>
    <row r="1029" spans="1:6" x14ac:dyDescent="0.25">
      <c r="A1029" t="s">
        <v>68</v>
      </c>
      <c r="B1029" t="s">
        <v>97</v>
      </c>
      <c r="C1029">
        <v>4.7</v>
      </c>
      <c r="D1029" s="1">
        <v>816008</v>
      </c>
      <c r="E1029" s="4">
        <v>550648.36008050153</v>
      </c>
      <c r="F1029" s="4">
        <v>259530.30097212584</v>
      </c>
    </row>
    <row r="1030" spans="1:6" x14ac:dyDescent="0.25">
      <c r="A1030" t="s">
        <v>69</v>
      </c>
      <c r="B1030" t="s">
        <v>97</v>
      </c>
      <c r="C1030">
        <v>5.53</v>
      </c>
      <c r="D1030" s="1">
        <v>908352</v>
      </c>
      <c r="E1030" s="4">
        <v>736400.10802415037</v>
      </c>
      <c r="F1030" s="4">
        <v>195600.85116983505</v>
      </c>
    </row>
    <row r="1031" spans="1:6" x14ac:dyDescent="0.25">
      <c r="A1031" t="s">
        <v>70</v>
      </c>
      <c r="B1031" t="s">
        <v>97</v>
      </c>
      <c r="C1031">
        <v>1.45</v>
      </c>
      <c r="D1031" s="1">
        <v>233607</v>
      </c>
      <c r="E1031" s="4">
        <v>856766.43240724504</v>
      </c>
      <c r="F1031" s="4">
        <v>217078.46556870121</v>
      </c>
    </row>
    <row r="1032" spans="1:6" x14ac:dyDescent="0.25">
      <c r="A1032" t="s">
        <v>71</v>
      </c>
      <c r="B1032" t="s">
        <v>97</v>
      </c>
      <c r="C1032">
        <v>0.98</v>
      </c>
      <c r="D1032" s="1">
        <v>171639</v>
      </c>
      <c r="E1032" s="4">
        <v>420554.82972217351</v>
      </c>
      <c r="F1032" s="4">
        <v>403448.00154435431</v>
      </c>
    </row>
    <row r="1033" spans="1:6" x14ac:dyDescent="0.25">
      <c r="A1033" t="s">
        <v>72</v>
      </c>
      <c r="B1033" t="s">
        <v>97</v>
      </c>
      <c r="C1033">
        <v>1.0900000000000001</v>
      </c>
      <c r="D1033" s="1">
        <v>180253</v>
      </c>
      <c r="E1033" s="4">
        <v>246313.74891665205</v>
      </c>
      <c r="F1033" s="4">
        <v>399939.2544034957</v>
      </c>
    </row>
    <row r="1034" spans="1:6" x14ac:dyDescent="0.25">
      <c r="A1034" t="s">
        <v>73</v>
      </c>
      <c r="B1034" t="s">
        <v>97</v>
      </c>
      <c r="C1034">
        <v>4.75</v>
      </c>
      <c r="D1034" s="1">
        <v>752623</v>
      </c>
      <c r="E1034" s="4">
        <v>200071.22467499561</v>
      </c>
      <c r="F1034" s="4">
        <v>389294.57185693661</v>
      </c>
    </row>
    <row r="1035" spans="1:6" x14ac:dyDescent="0.25">
      <c r="A1035" t="s">
        <v>74</v>
      </c>
      <c r="B1035" t="s">
        <v>97</v>
      </c>
      <c r="C1035">
        <v>1.4</v>
      </c>
      <c r="D1035" s="1">
        <v>226190</v>
      </c>
      <c r="E1035" s="4">
        <v>586857.4674024987</v>
      </c>
      <c r="F1035" s="4">
        <v>351964.28665823524</v>
      </c>
    </row>
    <row r="1036" spans="1:6" x14ac:dyDescent="0.25">
      <c r="A1036" t="s">
        <v>75</v>
      </c>
      <c r="B1036" t="s">
        <v>97</v>
      </c>
      <c r="C1036">
        <v>1.47</v>
      </c>
      <c r="D1036" s="1">
        <v>260463</v>
      </c>
      <c r="E1036" s="4">
        <v>334390.24022074963</v>
      </c>
      <c r="F1036" s="4">
        <v>382865.73321238678</v>
      </c>
    </row>
    <row r="1037" spans="1:6" x14ac:dyDescent="0.25">
      <c r="A1037" t="s">
        <v>76</v>
      </c>
      <c r="B1037" t="s">
        <v>97</v>
      </c>
      <c r="C1037">
        <v>3.42</v>
      </c>
      <c r="D1037" s="1">
        <v>586328</v>
      </c>
      <c r="E1037" s="4">
        <v>282641.17206622486</v>
      </c>
      <c r="F1037" s="4">
        <v>383344.80706191174</v>
      </c>
    </row>
    <row r="1038" spans="1:6" x14ac:dyDescent="0.25">
      <c r="A1038" t="s">
        <v>77</v>
      </c>
      <c r="B1038" t="s">
        <v>97</v>
      </c>
      <c r="C1038">
        <v>3.05</v>
      </c>
      <c r="D1038" s="1">
        <v>513298</v>
      </c>
      <c r="E1038" s="4">
        <v>495221.95161986741</v>
      </c>
      <c r="F1038" s="4">
        <v>275543.06883538625</v>
      </c>
    </row>
    <row r="1039" spans="1:6" x14ac:dyDescent="0.25">
      <c r="A1039" t="s">
        <v>78</v>
      </c>
      <c r="B1039" t="s">
        <v>97</v>
      </c>
      <c r="C1039">
        <v>1.1599999999999999</v>
      </c>
      <c r="D1039" s="1">
        <v>189713</v>
      </c>
      <c r="E1039" s="4">
        <v>507875.18548596022</v>
      </c>
      <c r="F1039" s="4">
        <v>180755.51612807068</v>
      </c>
    </row>
    <row r="1040" spans="1:6" x14ac:dyDescent="0.25">
      <c r="A1040" t="s">
        <v>79</v>
      </c>
      <c r="B1040" t="s">
        <v>97</v>
      </c>
      <c r="C1040">
        <v>0.94</v>
      </c>
      <c r="D1040" s="1">
        <v>165576</v>
      </c>
      <c r="E1040" s="4">
        <v>285161.65564578807</v>
      </c>
      <c r="F1040" s="4">
        <v>254151.92914129258</v>
      </c>
    </row>
    <row r="1041" spans="1:6" x14ac:dyDescent="0.25">
      <c r="A1041" t="s">
        <v>80</v>
      </c>
      <c r="B1041" t="s">
        <v>97</v>
      </c>
      <c r="C1041">
        <v>3.35</v>
      </c>
      <c r="D1041" s="1">
        <v>580892</v>
      </c>
      <c r="E1041" s="4">
        <v>201451.69669373642</v>
      </c>
      <c r="F1041" s="4">
        <v>196515.1807829584</v>
      </c>
    </row>
    <row r="1042" spans="1:6" x14ac:dyDescent="0.25">
      <c r="A1042" t="s">
        <v>81</v>
      </c>
      <c r="B1042" t="s">
        <v>97</v>
      </c>
      <c r="C1042">
        <v>2.82</v>
      </c>
      <c r="D1042" s="1">
        <v>465915</v>
      </c>
      <c r="E1042" s="4">
        <v>467059.90900812089</v>
      </c>
      <c r="F1042" s="4">
        <v>294110.43792119133</v>
      </c>
    </row>
    <row r="1043" spans="1:6" x14ac:dyDescent="0.25">
      <c r="A1043" t="s">
        <v>82</v>
      </c>
      <c r="B1043" t="s">
        <v>97</v>
      </c>
      <c r="C1043">
        <v>1.88</v>
      </c>
      <c r="D1043" s="1">
        <v>298107</v>
      </c>
      <c r="E1043" s="4">
        <v>466258.47270243627</v>
      </c>
      <c r="F1043" s="4">
        <v>229693.26185590727</v>
      </c>
    </row>
    <row r="1044" spans="1:6" x14ac:dyDescent="0.25">
      <c r="A1044" t="s">
        <v>83</v>
      </c>
      <c r="B1044" t="s">
        <v>97</v>
      </c>
      <c r="C1044">
        <v>1.19</v>
      </c>
      <c r="D1044" s="1">
        <v>205076</v>
      </c>
      <c r="E1044" s="4">
        <v>348552.44181073084</v>
      </c>
      <c r="F1044" s="4">
        <v>239618.56658850145</v>
      </c>
    </row>
    <row r="1045" spans="1:6" x14ac:dyDescent="0.25">
      <c r="A1045" t="s">
        <v>84</v>
      </c>
      <c r="B1045" t="s">
        <v>97</v>
      </c>
      <c r="C1045">
        <v>1.24</v>
      </c>
      <c r="D1045" s="1">
        <v>212687</v>
      </c>
      <c r="E1045" s="4">
        <v>248118.93254321924</v>
      </c>
      <c r="F1045" s="4">
        <v>127621.46886176463</v>
      </c>
    </row>
    <row r="1046" spans="1:6" x14ac:dyDescent="0.25">
      <c r="A1046" t="s">
        <v>7</v>
      </c>
      <c r="B1046" t="s">
        <v>98</v>
      </c>
      <c r="C1046">
        <v>4.41</v>
      </c>
      <c r="D1046" s="1">
        <v>1029704</v>
      </c>
      <c r="E1046" s="4">
        <v>223316.57976296576</v>
      </c>
      <c r="F1046" s="4">
        <v>129248.89292938313</v>
      </c>
    </row>
    <row r="1047" spans="1:6" x14ac:dyDescent="0.25">
      <c r="A1047" t="s">
        <v>10</v>
      </c>
      <c r="B1047" t="s">
        <v>98</v>
      </c>
      <c r="C1047">
        <v>2.27</v>
      </c>
      <c r="D1047" s="1">
        <v>545009</v>
      </c>
      <c r="E1047" s="4">
        <v>787787.77392888966</v>
      </c>
      <c r="F1047" s="4">
        <v>473322.15340609703</v>
      </c>
    </row>
    <row r="1048" spans="1:6" x14ac:dyDescent="0.25">
      <c r="A1048" t="s">
        <v>11</v>
      </c>
      <c r="B1048" t="s">
        <v>98</v>
      </c>
      <c r="C1048">
        <v>4.2300000000000004</v>
      </c>
      <c r="D1048" s="1">
        <v>1026063</v>
      </c>
      <c r="E1048" s="4">
        <v>617842.63217866689</v>
      </c>
      <c r="F1048" s="4">
        <v>486640.73895455338</v>
      </c>
    </row>
    <row r="1049" spans="1:6" x14ac:dyDescent="0.25">
      <c r="A1049" t="s">
        <v>12</v>
      </c>
      <c r="B1049" t="s">
        <v>98</v>
      </c>
      <c r="C1049">
        <v>8.48</v>
      </c>
      <c r="D1049" s="1">
        <v>2065354</v>
      </c>
      <c r="E1049" s="4">
        <v>903596.88965360005</v>
      </c>
      <c r="F1049" s="4">
        <v>540322.76566608425</v>
      </c>
    </row>
    <row r="1050" spans="1:6" x14ac:dyDescent="0.25">
      <c r="A1050" t="s">
        <v>13</v>
      </c>
      <c r="B1050" t="s">
        <v>98</v>
      </c>
      <c r="C1050">
        <v>6.75</v>
      </c>
      <c r="D1050" s="1">
        <v>1713241</v>
      </c>
      <c r="E1050" s="4">
        <v>1716826.8668960799</v>
      </c>
      <c r="F1050" s="4">
        <v>724629.78713616624</v>
      </c>
    </row>
    <row r="1051" spans="1:6" x14ac:dyDescent="0.25">
      <c r="A1051" t="s">
        <v>14</v>
      </c>
      <c r="B1051" t="s">
        <v>98</v>
      </c>
      <c r="C1051">
        <v>6.23</v>
      </c>
      <c r="D1051" s="1">
        <v>1605513</v>
      </c>
      <c r="E1051" s="4">
        <v>1714316.7600688238</v>
      </c>
      <c r="F1051" s="4">
        <v>710946.85937979887</v>
      </c>
    </row>
    <row r="1052" spans="1:6" x14ac:dyDescent="0.25">
      <c r="A1052" t="s">
        <v>15</v>
      </c>
      <c r="B1052" t="s">
        <v>98</v>
      </c>
      <c r="C1052">
        <v>6.72</v>
      </c>
      <c r="D1052" s="1">
        <v>1809295</v>
      </c>
      <c r="E1052" s="4">
        <v>1638154.128020647</v>
      </c>
      <c r="F1052" s="4">
        <v>673679.12740090338</v>
      </c>
    </row>
    <row r="1053" spans="1:6" x14ac:dyDescent="0.25">
      <c r="A1053" t="s">
        <v>16</v>
      </c>
      <c r="B1053" t="s">
        <v>98</v>
      </c>
      <c r="C1053">
        <v>6.16</v>
      </c>
      <c r="D1053" s="1">
        <v>1507896</v>
      </c>
      <c r="E1053" s="4">
        <v>1757952.7384061941</v>
      </c>
      <c r="F1053" s="4">
        <v>117104.39033666198</v>
      </c>
    </row>
    <row r="1054" spans="1:6" x14ac:dyDescent="0.25">
      <c r="A1054" t="s">
        <v>17</v>
      </c>
      <c r="B1054" t="s">
        <v>98</v>
      </c>
      <c r="C1054">
        <v>3.69</v>
      </c>
      <c r="D1054" s="1">
        <v>973285</v>
      </c>
      <c r="E1054" s="4">
        <v>1582913.0215218582</v>
      </c>
      <c r="F1054" s="4">
        <v>185881.52919652101</v>
      </c>
    </row>
    <row r="1055" spans="1:6" x14ac:dyDescent="0.25">
      <c r="A1055" t="s">
        <v>18</v>
      </c>
      <c r="B1055" t="s">
        <v>98</v>
      </c>
      <c r="C1055">
        <v>2.62</v>
      </c>
      <c r="D1055" s="1">
        <v>699669</v>
      </c>
      <c r="E1055" s="4">
        <v>1156173.4064565576</v>
      </c>
      <c r="F1055" s="4">
        <v>393049.57071123243</v>
      </c>
    </row>
    <row r="1056" spans="1:6" x14ac:dyDescent="0.25">
      <c r="A1056" t="s">
        <v>19</v>
      </c>
      <c r="B1056" t="s">
        <v>98</v>
      </c>
      <c r="C1056">
        <v>5.44</v>
      </c>
      <c r="D1056" s="1">
        <v>1396673</v>
      </c>
      <c r="E1056" s="4">
        <v>836620.32193696732</v>
      </c>
      <c r="F1056" s="4">
        <v>462807.00447063713</v>
      </c>
    </row>
    <row r="1057" spans="1:6" x14ac:dyDescent="0.25">
      <c r="A1057" t="s">
        <v>20</v>
      </c>
      <c r="B1057" t="s">
        <v>98</v>
      </c>
      <c r="C1057">
        <v>4.6100000000000003</v>
      </c>
      <c r="D1057" s="1">
        <v>1137040</v>
      </c>
      <c r="E1057" s="4">
        <v>1228657.1965810901</v>
      </c>
      <c r="F1057" s="4">
        <v>545802.65052015637</v>
      </c>
    </row>
    <row r="1058" spans="1:6" x14ac:dyDescent="0.25">
      <c r="A1058" t="s">
        <v>21</v>
      </c>
      <c r="B1058" t="s">
        <v>98</v>
      </c>
      <c r="C1058">
        <v>2.84</v>
      </c>
      <c r="D1058" s="1">
        <v>732920</v>
      </c>
      <c r="E1058" s="4">
        <v>1164525.1589743271</v>
      </c>
      <c r="F1058" s="4">
        <v>420495.33728259377</v>
      </c>
    </row>
    <row r="1059" spans="1:6" x14ac:dyDescent="0.25">
      <c r="A1059" t="s">
        <v>22</v>
      </c>
      <c r="B1059" t="s">
        <v>98</v>
      </c>
      <c r="C1059">
        <v>2.59</v>
      </c>
      <c r="D1059" s="1">
        <v>670851</v>
      </c>
      <c r="E1059" s="4">
        <v>862401.54769229807</v>
      </c>
      <c r="F1059" s="4">
        <v>411637.27000366367</v>
      </c>
    </row>
    <row r="1060" spans="1:6" x14ac:dyDescent="0.25">
      <c r="A1060" t="s">
        <v>23</v>
      </c>
      <c r="B1060" t="s">
        <v>98</v>
      </c>
      <c r="C1060">
        <v>9.27</v>
      </c>
      <c r="D1060" s="1">
        <v>2375811</v>
      </c>
      <c r="E1060" s="4">
        <v>728316.16430768929</v>
      </c>
      <c r="F1060" s="4">
        <v>277709.88236158231</v>
      </c>
    </row>
    <row r="1061" spans="1:6" x14ac:dyDescent="0.25">
      <c r="A1061" t="s">
        <v>24</v>
      </c>
      <c r="B1061" t="s">
        <v>98</v>
      </c>
      <c r="C1061">
        <v>4.25</v>
      </c>
      <c r="D1061" s="1">
        <v>1071710</v>
      </c>
      <c r="E1061" s="4">
        <v>1881562.5492923066</v>
      </c>
      <c r="F1061" s="4">
        <v>989480.31127579079</v>
      </c>
    </row>
    <row r="1062" spans="1:6" x14ac:dyDescent="0.25">
      <c r="A1062" t="s">
        <v>25</v>
      </c>
      <c r="B1062" t="s">
        <v>98</v>
      </c>
      <c r="C1062">
        <v>4.55</v>
      </c>
      <c r="D1062" s="1">
        <v>1182964</v>
      </c>
      <c r="E1062" s="4">
        <v>1314665.7647876921</v>
      </c>
      <c r="F1062" s="4">
        <v>1065644.092798545</v>
      </c>
    </row>
    <row r="1063" spans="1:6" x14ac:dyDescent="0.25">
      <c r="A1063" t="s">
        <v>26</v>
      </c>
      <c r="B1063" t="s">
        <v>98</v>
      </c>
      <c r="C1063">
        <v>4.49</v>
      </c>
      <c r="D1063" s="1">
        <v>1157391</v>
      </c>
      <c r="E1063" s="4">
        <v>1222474.5294363075</v>
      </c>
      <c r="F1063" s="4">
        <v>1062614.0315398742</v>
      </c>
    </row>
    <row r="1064" spans="1:6" x14ac:dyDescent="0.25">
      <c r="A1064" t="s">
        <v>27</v>
      </c>
      <c r="B1064" t="s">
        <v>98</v>
      </c>
      <c r="C1064">
        <v>3.27</v>
      </c>
      <c r="D1064" s="1">
        <v>908512</v>
      </c>
      <c r="E1064" s="4">
        <v>1176916.0588308922</v>
      </c>
      <c r="F1064" s="4">
        <v>475199.03628105391</v>
      </c>
    </row>
    <row r="1065" spans="1:6" x14ac:dyDescent="0.25">
      <c r="A1065" t="s">
        <v>28</v>
      </c>
      <c r="B1065" t="s">
        <v>98</v>
      </c>
      <c r="C1065">
        <v>3.22</v>
      </c>
      <c r="D1065" s="1">
        <v>838926</v>
      </c>
      <c r="E1065" s="4">
        <v>989033.21764926752</v>
      </c>
      <c r="F1065" s="4">
        <v>176655.93626121213</v>
      </c>
    </row>
    <row r="1066" spans="1:6" x14ac:dyDescent="0.25">
      <c r="A1066" t="s">
        <v>29</v>
      </c>
      <c r="B1066" t="s">
        <v>98</v>
      </c>
      <c r="C1066">
        <v>4.01</v>
      </c>
      <c r="D1066" s="1">
        <v>1069502</v>
      </c>
      <c r="E1066" s="4">
        <v>883958.16529478016</v>
      </c>
      <c r="F1066" s="4">
        <v>181483.49915000383</v>
      </c>
    </row>
    <row r="1067" spans="1:6" x14ac:dyDescent="0.25">
      <c r="A1067" t="s">
        <v>30</v>
      </c>
      <c r="B1067" t="s">
        <v>98</v>
      </c>
      <c r="C1067">
        <v>3.61</v>
      </c>
      <c r="D1067" s="1">
        <v>963460</v>
      </c>
      <c r="E1067" s="4">
        <v>1013838.849588434</v>
      </c>
      <c r="F1067" s="4">
        <v>207363.95555031541</v>
      </c>
    </row>
    <row r="1068" spans="1:6" x14ac:dyDescent="0.25">
      <c r="A1068" t="s">
        <v>31</v>
      </c>
      <c r="B1068" t="s">
        <v>98</v>
      </c>
      <c r="C1068">
        <v>2.87</v>
      </c>
      <c r="D1068" s="1">
        <v>777351</v>
      </c>
      <c r="E1068" s="4">
        <v>978573.65487653017</v>
      </c>
      <c r="F1068" s="4">
        <v>140826.98590040259</v>
      </c>
    </row>
    <row r="1069" spans="1:6" x14ac:dyDescent="0.25">
      <c r="A1069" t="s">
        <v>32</v>
      </c>
      <c r="B1069" t="s">
        <v>98</v>
      </c>
      <c r="C1069">
        <v>2.2999999999999998</v>
      </c>
      <c r="D1069" s="1">
        <v>618360</v>
      </c>
      <c r="E1069" s="4">
        <v>837717.79646295891</v>
      </c>
      <c r="F1069" s="4">
        <v>160680.94672210017</v>
      </c>
    </row>
    <row r="1070" spans="1:6" x14ac:dyDescent="0.25">
      <c r="A1070" t="s">
        <v>33</v>
      </c>
      <c r="B1070" t="s">
        <v>98</v>
      </c>
      <c r="C1070">
        <v>3.08</v>
      </c>
      <c r="D1070" s="1">
        <v>830408</v>
      </c>
      <c r="E1070" s="4">
        <v>684167.3389388877</v>
      </c>
      <c r="F1070" s="4">
        <v>174304.7409859125</v>
      </c>
    </row>
    <row r="1071" spans="1:6" x14ac:dyDescent="0.25">
      <c r="A1071" t="s">
        <v>34</v>
      </c>
      <c r="B1071" t="s">
        <v>98</v>
      </c>
      <c r="C1071">
        <v>3.5</v>
      </c>
      <c r="D1071" s="1">
        <v>936791</v>
      </c>
      <c r="E1071" s="4">
        <v>786535.80168166629</v>
      </c>
      <c r="F1071" s="4">
        <v>191480.83511780424</v>
      </c>
    </row>
    <row r="1072" spans="1:6" x14ac:dyDescent="0.25">
      <c r="A1072" t="s">
        <v>35</v>
      </c>
      <c r="B1072" t="s">
        <v>98</v>
      </c>
      <c r="C1072">
        <v>2.4700000000000002</v>
      </c>
      <c r="D1072" s="1">
        <v>651784</v>
      </c>
      <c r="E1072" s="4">
        <v>891714.44050449983</v>
      </c>
      <c r="F1072" s="4">
        <v>175195.88887714405</v>
      </c>
    </row>
    <row r="1073" spans="1:6" x14ac:dyDescent="0.25">
      <c r="A1073" t="s">
        <v>36</v>
      </c>
      <c r="B1073" t="s">
        <v>98</v>
      </c>
      <c r="C1073">
        <v>4.2300000000000004</v>
      </c>
      <c r="D1073" s="1">
        <v>1136437</v>
      </c>
      <c r="E1073" s="4">
        <v>723763.13215134991</v>
      </c>
      <c r="F1073" s="4">
        <v>183965.18860005031</v>
      </c>
    </row>
    <row r="1074" spans="1:6" x14ac:dyDescent="0.25">
      <c r="A1074" t="s">
        <v>37</v>
      </c>
      <c r="B1074" t="s">
        <v>98</v>
      </c>
      <c r="C1074">
        <v>3.4</v>
      </c>
      <c r="D1074" s="1">
        <v>868469</v>
      </c>
      <c r="E1074" s="4">
        <v>1012634.8396454048</v>
      </c>
      <c r="F1074" s="4">
        <v>288930.76570205664</v>
      </c>
    </row>
    <row r="1075" spans="1:6" x14ac:dyDescent="0.25">
      <c r="A1075" t="s">
        <v>38</v>
      </c>
      <c r="B1075" t="s">
        <v>98</v>
      </c>
      <c r="C1075">
        <v>4.18</v>
      </c>
      <c r="D1075" s="1">
        <v>1063192</v>
      </c>
      <c r="E1075" s="4">
        <v>911718.7518936214</v>
      </c>
      <c r="F1075" s="4">
        <v>287894.73007016123</v>
      </c>
    </row>
    <row r="1076" spans="1:6" x14ac:dyDescent="0.25">
      <c r="A1076" t="s">
        <v>39</v>
      </c>
      <c r="B1076" t="s">
        <v>98</v>
      </c>
      <c r="C1076">
        <v>3.23</v>
      </c>
      <c r="D1076" s="1">
        <v>803016</v>
      </c>
      <c r="E1076" s="4">
        <v>1017750.0255680863</v>
      </c>
      <c r="F1076" s="4">
        <v>267100.26545458304</v>
      </c>
    </row>
    <row r="1077" spans="1:6" x14ac:dyDescent="0.25">
      <c r="A1077" t="s">
        <v>40</v>
      </c>
      <c r="B1077" t="s">
        <v>98</v>
      </c>
      <c r="C1077">
        <v>3.32</v>
      </c>
      <c r="D1077" s="1">
        <v>815427</v>
      </c>
      <c r="E1077" s="4">
        <v>867436.20767042576</v>
      </c>
      <c r="F1077" s="4">
        <v>173049.73846579166</v>
      </c>
    </row>
    <row r="1078" spans="1:6" x14ac:dyDescent="0.25">
      <c r="A1078" t="s">
        <v>41</v>
      </c>
      <c r="B1078" t="s">
        <v>98</v>
      </c>
      <c r="C1078">
        <v>3.28</v>
      </c>
      <c r="D1078" s="1">
        <v>861018</v>
      </c>
      <c r="E1078" s="4">
        <v>831029.76230112766</v>
      </c>
      <c r="F1078" s="4">
        <v>154660.70855378616</v>
      </c>
    </row>
    <row r="1079" spans="1:6" x14ac:dyDescent="0.25">
      <c r="A1079" t="s">
        <v>42</v>
      </c>
      <c r="B1079" t="s">
        <v>98</v>
      </c>
      <c r="C1079">
        <v>3.49</v>
      </c>
      <c r="D1079" s="1">
        <v>885647</v>
      </c>
      <c r="E1079" s="4">
        <v>852021.52869033825</v>
      </c>
      <c r="F1079" s="4">
        <v>128730.92586148453</v>
      </c>
    </row>
    <row r="1080" spans="1:6" x14ac:dyDescent="0.25">
      <c r="A1080" t="s">
        <v>43</v>
      </c>
      <c r="B1080" t="s">
        <v>98</v>
      </c>
      <c r="C1080">
        <v>3.62</v>
      </c>
      <c r="D1080" s="1">
        <v>933731</v>
      </c>
      <c r="E1080" s="4">
        <v>875559.35860710137</v>
      </c>
      <c r="F1080" s="4">
        <v>39727.926380932709</v>
      </c>
    </row>
    <row r="1081" spans="1:6" x14ac:dyDescent="0.25">
      <c r="A1081" t="s">
        <v>44</v>
      </c>
      <c r="B1081" t="s">
        <v>98</v>
      </c>
      <c r="C1081">
        <v>1.94</v>
      </c>
      <c r="D1081" s="1">
        <v>494547</v>
      </c>
      <c r="E1081" s="4">
        <v>916279.50758213038</v>
      </c>
      <c r="F1081" s="4">
        <v>42481.001963328468</v>
      </c>
    </row>
    <row r="1082" spans="1:6" x14ac:dyDescent="0.25">
      <c r="A1082" t="s">
        <v>45</v>
      </c>
      <c r="B1082" t="s">
        <v>98</v>
      </c>
      <c r="C1082">
        <v>3.96</v>
      </c>
      <c r="D1082" s="1">
        <v>1043748</v>
      </c>
      <c r="E1082" s="4">
        <v>621066.75227463909</v>
      </c>
      <c r="F1082" s="4">
        <v>246558.25554667096</v>
      </c>
    </row>
    <row r="1083" spans="1:6" x14ac:dyDescent="0.25">
      <c r="A1083" t="s">
        <v>46</v>
      </c>
      <c r="B1083" t="s">
        <v>98</v>
      </c>
      <c r="C1083">
        <v>3.01</v>
      </c>
      <c r="D1083" s="1">
        <v>771040</v>
      </c>
      <c r="E1083" s="4">
        <v>916943.62568239169</v>
      </c>
      <c r="F1083" s="4">
        <v>346362.85645380797</v>
      </c>
    </row>
    <row r="1084" spans="1:6" x14ac:dyDescent="0.25">
      <c r="A1084" t="s">
        <v>47</v>
      </c>
      <c r="B1084" t="s">
        <v>98</v>
      </c>
      <c r="C1084">
        <v>2.2799999999999998</v>
      </c>
      <c r="D1084" s="1">
        <v>592548</v>
      </c>
      <c r="E1084" s="4">
        <v>814811.08770471741</v>
      </c>
      <c r="F1084" s="4">
        <v>354873.50474849815</v>
      </c>
    </row>
    <row r="1085" spans="1:6" x14ac:dyDescent="0.25">
      <c r="A1085" t="s">
        <v>48</v>
      </c>
      <c r="B1085" t="s">
        <v>98</v>
      </c>
      <c r="C1085">
        <v>3.08</v>
      </c>
      <c r="D1085" s="1">
        <v>777620</v>
      </c>
      <c r="E1085" s="4">
        <v>659226.92631141515</v>
      </c>
      <c r="F1085" s="4">
        <v>288298.5636002894</v>
      </c>
    </row>
    <row r="1086" spans="1:6" x14ac:dyDescent="0.25">
      <c r="A1086" t="s">
        <v>49</v>
      </c>
      <c r="B1086" t="s">
        <v>98</v>
      </c>
      <c r="C1086">
        <v>3.67</v>
      </c>
      <c r="D1086" s="1">
        <v>877015</v>
      </c>
      <c r="E1086" s="4">
        <v>742102.07789342455</v>
      </c>
      <c r="F1086" s="4">
        <v>168033.39751443567</v>
      </c>
    </row>
    <row r="1087" spans="1:6" x14ac:dyDescent="0.25">
      <c r="A1087" t="s">
        <v>50</v>
      </c>
      <c r="B1087" t="s">
        <v>98</v>
      </c>
      <c r="C1087">
        <v>4.34</v>
      </c>
      <c r="D1087" s="1">
        <v>1000652</v>
      </c>
      <c r="E1087" s="4">
        <v>836541.12336802739</v>
      </c>
      <c r="F1087" s="4">
        <v>164943.72434742755</v>
      </c>
    </row>
    <row r="1088" spans="1:6" x14ac:dyDescent="0.25">
      <c r="A1088" t="s">
        <v>51</v>
      </c>
      <c r="B1088" t="s">
        <v>98</v>
      </c>
      <c r="C1088">
        <v>3.66</v>
      </c>
      <c r="D1088" s="1">
        <v>909281</v>
      </c>
      <c r="E1088" s="4">
        <v>951418.73701040808</v>
      </c>
      <c r="F1088" s="4">
        <v>140416.9936031962</v>
      </c>
    </row>
    <row r="1089" spans="1:6" x14ac:dyDescent="0.25">
      <c r="A1089" t="s">
        <v>52</v>
      </c>
      <c r="B1089" t="s">
        <v>98</v>
      </c>
      <c r="C1089">
        <v>3.76</v>
      </c>
      <c r="D1089" s="1">
        <v>1009010</v>
      </c>
      <c r="E1089" s="4">
        <v>921922.32110312232</v>
      </c>
      <c r="F1089" s="4">
        <v>125045.94523695114</v>
      </c>
    </row>
    <row r="1090" spans="1:6" x14ac:dyDescent="0.25">
      <c r="A1090" t="s">
        <v>53</v>
      </c>
      <c r="B1090" t="s">
        <v>98</v>
      </c>
      <c r="C1090">
        <v>4.32</v>
      </c>
      <c r="D1090" s="1">
        <v>1059565</v>
      </c>
      <c r="E1090" s="4">
        <v>982883.69633093663</v>
      </c>
      <c r="F1090" s="4">
        <v>109988.23046871656</v>
      </c>
    </row>
    <row r="1091" spans="1:6" x14ac:dyDescent="0.25">
      <c r="A1091" t="s">
        <v>54</v>
      </c>
      <c r="B1091" t="s">
        <v>98</v>
      </c>
      <c r="C1091">
        <v>3.81</v>
      </c>
      <c r="D1091" s="1">
        <v>926982</v>
      </c>
      <c r="E1091" s="4">
        <v>1036560.6088992809</v>
      </c>
      <c r="F1091" s="4">
        <v>71273.826491896965</v>
      </c>
    </row>
    <row r="1092" spans="1:6" x14ac:dyDescent="0.25">
      <c r="A1092" t="s">
        <v>55</v>
      </c>
      <c r="B1092" t="s">
        <v>98</v>
      </c>
      <c r="C1092">
        <v>3.68</v>
      </c>
      <c r="D1092" s="1">
        <v>915635</v>
      </c>
      <c r="E1092" s="4">
        <v>959855.58266978408</v>
      </c>
      <c r="F1092" s="4">
        <v>92144.37526030252</v>
      </c>
    </row>
    <row r="1093" spans="1:6" x14ac:dyDescent="0.25">
      <c r="A1093" t="s">
        <v>56</v>
      </c>
      <c r="B1093" t="s">
        <v>98</v>
      </c>
      <c r="C1093">
        <v>3.03</v>
      </c>
      <c r="D1093" s="1">
        <v>798636</v>
      </c>
      <c r="E1093" s="4">
        <v>928901.1748009352</v>
      </c>
      <c r="F1093" s="4">
        <v>81328.457078573032</v>
      </c>
    </row>
    <row r="1094" spans="1:6" x14ac:dyDescent="0.25">
      <c r="A1094" t="s">
        <v>57</v>
      </c>
      <c r="B1094" t="s">
        <v>98</v>
      </c>
      <c r="C1094">
        <v>3.8</v>
      </c>
      <c r="D1094" s="1">
        <v>983493</v>
      </c>
      <c r="E1094" s="4">
        <v>837715.55244028056</v>
      </c>
      <c r="F1094" s="4">
        <v>101541.36632570815</v>
      </c>
    </row>
    <row r="1095" spans="1:6" x14ac:dyDescent="0.25">
      <c r="A1095" t="s">
        <v>58</v>
      </c>
      <c r="B1095" t="s">
        <v>98</v>
      </c>
      <c r="C1095">
        <v>4.24</v>
      </c>
      <c r="D1095" s="1">
        <v>1072446</v>
      </c>
      <c r="E1095" s="4">
        <v>939759.76573208417</v>
      </c>
      <c r="F1095" s="4">
        <v>115723.14651010856</v>
      </c>
    </row>
    <row r="1096" spans="1:6" x14ac:dyDescent="0.25">
      <c r="A1096" t="s">
        <v>59</v>
      </c>
      <c r="B1096" t="s">
        <v>98</v>
      </c>
      <c r="C1096">
        <v>5.38</v>
      </c>
      <c r="D1096" s="1">
        <v>1244447</v>
      </c>
      <c r="E1096" s="4">
        <v>1032640.1297196252</v>
      </c>
      <c r="F1096" s="4">
        <v>136413.24073948394</v>
      </c>
    </row>
    <row r="1097" spans="1:6" x14ac:dyDescent="0.25">
      <c r="A1097" t="s">
        <v>60</v>
      </c>
      <c r="B1097" t="s">
        <v>98</v>
      </c>
      <c r="C1097">
        <v>25.28</v>
      </c>
      <c r="D1097" s="1">
        <v>3795742</v>
      </c>
      <c r="E1097" s="4">
        <v>1180904.9389158874</v>
      </c>
      <c r="F1097" s="4">
        <v>167051.73976864622</v>
      </c>
    </row>
    <row r="1098" spans="1:6" x14ac:dyDescent="0.25">
      <c r="A1098" t="s">
        <v>61</v>
      </c>
      <c r="B1098" t="s">
        <v>98</v>
      </c>
      <c r="C1098">
        <v>15.69</v>
      </c>
      <c r="D1098" s="1">
        <v>2906925</v>
      </c>
      <c r="E1098" s="4">
        <v>3011290.8816747661</v>
      </c>
      <c r="F1098" s="4">
        <v>1516557.5759024303</v>
      </c>
    </row>
    <row r="1099" spans="1:6" x14ac:dyDescent="0.25">
      <c r="A1099" t="s">
        <v>62</v>
      </c>
      <c r="B1099" t="s">
        <v>98</v>
      </c>
      <c r="C1099">
        <v>9.1</v>
      </c>
      <c r="D1099" s="1">
        <v>2165658</v>
      </c>
      <c r="E1099" s="4">
        <v>2938234.7645024294</v>
      </c>
      <c r="F1099" s="4">
        <v>1515819.6070745268</v>
      </c>
    </row>
    <row r="1100" spans="1:6" x14ac:dyDescent="0.25">
      <c r="A1100" t="s">
        <v>63</v>
      </c>
      <c r="B1100" t="s">
        <v>98</v>
      </c>
      <c r="C1100">
        <v>3.16</v>
      </c>
      <c r="D1100" s="1">
        <v>779515</v>
      </c>
      <c r="E1100" s="4">
        <v>2397431.0293507287</v>
      </c>
      <c r="F1100" s="4">
        <v>1575345.4595025384</v>
      </c>
    </row>
    <row r="1101" spans="1:6" x14ac:dyDescent="0.25">
      <c r="A1101" t="s">
        <v>64</v>
      </c>
      <c r="B1101" t="s">
        <v>98</v>
      </c>
      <c r="C1101">
        <v>4.91</v>
      </c>
      <c r="D1101" s="1">
        <v>1184020</v>
      </c>
      <c r="E1101" s="4">
        <v>1264889.8088052184</v>
      </c>
      <c r="F1101" s="4">
        <v>1036889.4785747131</v>
      </c>
    </row>
    <row r="1102" spans="1:6" x14ac:dyDescent="0.25">
      <c r="A1102" t="s">
        <v>65</v>
      </c>
      <c r="B1102" t="s">
        <v>98</v>
      </c>
      <c r="C1102">
        <v>3.15</v>
      </c>
      <c r="D1102" s="1">
        <v>797707</v>
      </c>
      <c r="E1102" s="4">
        <v>1208280.9426415656</v>
      </c>
      <c r="F1102" s="4">
        <v>1036189.6642756838</v>
      </c>
    </row>
    <row r="1103" spans="1:6" x14ac:dyDescent="0.25">
      <c r="A1103" t="s">
        <v>66</v>
      </c>
      <c r="B1103" t="s">
        <v>98</v>
      </c>
      <c r="C1103">
        <v>3.06</v>
      </c>
      <c r="D1103" s="1">
        <v>797101</v>
      </c>
      <c r="E1103" s="4">
        <v>920879.18279246963</v>
      </c>
      <c r="F1103" s="4">
        <v>964842.50293030741</v>
      </c>
    </row>
    <row r="1104" spans="1:6" x14ac:dyDescent="0.25">
      <c r="A1104" t="s">
        <v>67</v>
      </c>
      <c r="B1104" t="s">
        <v>98</v>
      </c>
      <c r="C1104">
        <v>2.59</v>
      </c>
      <c r="D1104" s="1">
        <v>636261</v>
      </c>
      <c r="E1104" s="4">
        <v>834234.45483774086</v>
      </c>
      <c r="F1104" s="4">
        <v>251947.03602664734</v>
      </c>
    </row>
    <row r="1105" spans="1:6" x14ac:dyDescent="0.25">
      <c r="A1105" t="s">
        <v>68</v>
      </c>
      <c r="B1105" t="s">
        <v>98</v>
      </c>
      <c r="C1105">
        <v>3.27</v>
      </c>
      <c r="D1105" s="1">
        <v>828678</v>
      </c>
      <c r="E1105" s="4">
        <v>695653.03645132226</v>
      </c>
      <c r="F1105" s="4">
        <v>272693.65579470102</v>
      </c>
    </row>
    <row r="1106" spans="1:6" x14ac:dyDescent="0.25">
      <c r="A1106" t="s">
        <v>69</v>
      </c>
      <c r="B1106" t="s">
        <v>98</v>
      </c>
      <c r="C1106">
        <v>3.23</v>
      </c>
      <c r="D1106" s="1">
        <v>816146</v>
      </c>
      <c r="E1106" s="4">
        <v>788770.51093539665</v>
      </c>
      <c r="F1106" s="4">
        <v>155145.27416040757</v>
      </c>
    </row>
    <row r="1107" spans="1:6" x14ac:dyDescent="0.25">
      <c r="A1107" t="s">
        <v>70</v>
      </c>
      <c r="B1107" t="s">
        <v>98</v>
      </c>
      <c r="C1107">
        <v>3.17</v>
      </c>
      <c r="D1107" s="1">
        <v>829620</v>
      </c>
      <c r="E1107" s="4">
        <v>807933.3532806189</v>
      </c>
      <c r="F1107" s="4">
        <v>138610.421865318</v>
      </c>
    </row>
    <row r="1108" spans="1:6" x14ac:dyDescent="0.25">
      <c r="A1108" t="s">
        <v>71</v>
      </c>
      <c r="B1108" t="s">
        <v>98</v>
      </c>
      <c r="C1108">
        <v>2.78</v>
      </c>
      <c r="D1108" s="1">
        <v>754382</v>
      </c>
      <c r="E1108" s="4">
        <v>823114.00598418573</v>
      </c>
      <c r="F1108" s="4">
        <v>79404.804587179533</v>
      </c>
    </row>
    <row r="1109" spans="1:6" x14ac:dyDescent="0.25">
      <c r="A1109" t="s">
        <v>72</v>
      </c>
      <c r="B1109" t="s">
        <v>98</v>
      </c>
      <c r="C1109">
        <v>5.53</v>
      </c>
      <c r="D1109" s="1">
        <v>1290404</v>
      </c>
      <c r="E1109" s="4">
        <v>775001.60179525567</v>
      </c>
      <c r="F1109" s="4">
        <v>44511.484263680395</v>
      </c>
    </row>
    <row r="1110" spans="1:6" x14ac:dyDescent="0.25">
      <c r="A1110" t="s">
        <v>73</v>
      </c>
      <c r="B1110" t="s">
        <v>98</v>
      </c>
      <c r="C1110">
        <v>4.43</v>
      </c>
      <c r="D1110" s="1">
        <v>1077685</v>
      </c>
      <c r="E1110" s="4">
        <v>1135783.2805385767</v>
      </c>
      <c r="F1110" s="4">
        <v>300462.9934882404</v>
      </c>
    </row>
    <row r="1111" spans="1:6" x14ac:dyDescent="0.25">
      <c r="A1111" t="s">
        <v>74</v>
      </c>
      <c r="B1111" t="s">
        <v>98</v>
      </c>
      <c r="C1111">
        <v>3.22</v>
      </c>
      <c r="D1111" s="1">
        <v>831611</v>
      </c>
      <c r="E1111" s="4">
        <v>1095114.484161573</v>
      </c>
      <c r="F1111" s="4">
        <v>302070.1524057787</v>
      </c>
    </row>
    <row r="1112" spans="1:6" x14ac:dyDescent="0.25">
      <c r="A1112" t="s">
        <v>75</v>
      </c>
      <c r="B1112" t="s">
        <v>98</v>
      </c>
      <c r="C1112">
        <v>3.19</v>
      </c>
      <c r="D1112" s="1">
        <v>855218</v>
      </c>
      <c r="E1112" s="4">
        <v>910662.0452484719</v>
      </c>
      <c r="F1112" s="4">
        <v>335881.49122472218</v>
      </c>
    </row>
    <row r="1113" spans="1:6" x14ac:dyDescent="0.25">
      <c r="A1113" t="s">
        <v>76</v>
      </c>
      <c r="B1113" t="s">
        <v>98</v>
      </c>
      <c r="C1113">
        <v>3.38</v>
      </c>
      <c r="D1113" s="1">
        <v>945490</v>
      </c>
      <c r="E1113" s="4">
        <v>871851.2135745415</v>
      </c>
      <c r="F1113" s="4">
        <v>159042.48753120669</v>
      </c>
    </row>
    <row r="1114" spans="1:6" x14ac:dyDescent="0.25">
      <c r="A1114" t="s">
        <v>77</v>
      </c>
      <c r="B1114" t="s">
        <v>98</v>
      </c>
      <c r="C1114">
        <v>3.45</v>
      </c>
      <c r="D1114" s="1">
        <v>942938</v>
      </c>
      <c r="E1114" s="4">
        <v>923398.36407236243</v>
      </c>
      <c r="F1114" s="4">
        <v>161173.61155497018</v>
      </c>
    </row>
    <row r="1115" spans="1:6" x14ac:dyDescent="0.25">
      <c r="A1115" t="s">
        <v>78</v>
      </c>
      <c r="B1115" t="s">
        <v>98</v>
      </c>
      <c r="C1115">
        <v>3.46</v>
      </c>
      <c r="D1115" s="1">
        <v>912979</v>
      </c>
      <c r="E1115" s="4">
        <v>937076.10922170873</v>
      </c>
      <c r="F1115" s="4">
        <v>54401.318586695779</v>
      </c>
    </row>
    <row r="1116" spans="1:6" x14ac:dyDescent="0.25">
      <c r="A1116" t="s">
        <v>79</v>
      </c>
      <c r="B1116" t="s">
        <v>98</v>
      </c>
      <c r="C1116">
        <v>3.62</v>
      </c>
      <c r="D1116" s="1">
        <v>1055545</v>
      </c>
      <c r="E1116" s="4">
        <v>920208.13276651246</v>
      </c>
      <c r="F1116" s="4">
        <v>46134.365033894472</v>
      </c>
    </row>
    <row r="1117" spans="1:6" x14ac:dyDescent="0.25">
      <c r="A1117" t="s">
        <v>80</v>
      </c>
      <c r="B1117" t="s">
        <v>98</v>
      </c>
      <c r="C1117">
        <v>2.17</v>
      </c>
      <c r="D1117" s="1">
        <v>661093</v>
      </c>
      <c r="E1117" s="4">
        <v>1014943.9398299537</v>
      </c>
      <c r="F1117" s="4">
        <v>80163.449022610919</v>
      </c>
    </row>
    <row r="1118" spans="1:6" x14ac:dyDescent="0.25">
      <c r="A1118" t="s">
        <v>81</v>
      </c>
      <c r="B1118" t="s">
        <v>98</v>
      </c>
      <c r="C1118">
        <v>3.06</v>
      </c>
      <c r="D1118" s="1">
        <v>842098</v>
      </c>
      <c r="E1118" s="4">
        <v>767248.281948986</v>
      </c>
      <c r="F1118" s="4">
        <v>219170.5773470815</v>
      </c>
    </row>
    <row r="1119" spans="1:6" x14ac:dyDescent="0.25">
      <c r="A1119" t="s">
        <v>82</v>
      </c>
      <c r="B1119" t="s">
        <v>98</v>
      </c>
      <c r="C1119">
        <v>3.16</v>
      </c>
      <c r="D1119" s="1">
        <v>855073</v>
      </c>
      <c r="E1119" s="4">
        <v>819643.08458469575</v>
      </c>
      <c r="F1119" s="4">
        <v>222956.67407475712</v>
      </c>
    </row>
    <row r="1120" spans="1:6" x14ac:dyDescent="0.25">
      <c r="A1120" t="s">
        <v>83</v>
      </c>
      <c r="B1120" t="s">
        <v>98</v>
      </c>
      <c r="C1120">
        <v>2.59</v>
      </c>
      <c r="D1120" s="1">
        <v>730911</v>
      </c>
      <c r="E1120" s="4">
        <v>844444.0253754087</v>
      </c>
      <c r="F1120" s="4">
        <v>209815.98828274378</v>
      </c>
    </row>
    <row r="1121" spans="1:6" x14ac:dyDescent="0.25">
      <c r="A1121" t="s">
        <v>84</v>
      </c>
      <c r="B1121" t="s">
        <v>98</v>
      </c>
      <c r="C1121">
        <v>1.77</v>
      </c>
      <c r="D1121" s="1">
        <v>525897</v>
      </c>
      <c r="E1121" s="4">
        <v>764970.90761262248</v>
      </c>
      <c r="F1121" s="4">
        <v>81132.621983073899</v>
      </c>
    </row>
    <row r="1122" spans="1:6" x14ac:dyDescent="0.25">
      <c r="A1122" t="s">
        <v>33</v>
      </c>
      <c r="B1122" t="s">
        <v>99</v>
      </c>
      <c r="C1122">
        <v>8.5399999999999991</v>
      </c>
      <c r="D1122" s="1">
        <v>78957</v>
      </c>
      <c r="E1122" s="4">
        <v>597619.1722837867</v>
      </c>
      <c r="F1122" s="4">
        <v>154165.88474583425</v>
      </c>
    </row>
    <row r="1123" spans="1:6" x14ac:dyDescent="0.25">
      <c r="A1123" t="s">
        <v>34</v>
      </c>
      <c r="B1123" t="s">
        <v>99</v>
      </c>
      <c r="C1123">
        <v>7.06</v>
      </c>
      <c r="D1123" s="1">
        <v>65752</v>
      </c>
      <c r="E1123" s="4">
        <v>234555.65168513599</v>
      </c>
      <c r="F1123" s="4">
        <v>336182.75293367758</v>
      </c>
    </row>
    <row r="1124" spans="1:6" x14ac:dyDescent="0.25">
      <c r="A1124" t="s">
        <v>35</v>
      </c>
      <c r="B1124" t="s">
        <v>99</v>
      </c>
      <c r="C1124">
        <v>5.56</v>
      </c>
      <c r="D1124" s="1">
        <v>45588</v>
      </c>
      <c r="E1124" s="4">
        <v>116393.09550554078</v>
      </c>
      <c r="F1124" s="4">
        <v>343832.05933592148</v>
      </c>
    </row>
    <row r="1125" spans="1:6" x14ac:dyDescent="0.25">
      <c r="A1125" t="s">
        <v>36</v>
      </c>
      <c r="B1125" t="s">
        <v>99</v>
      </c>
      <c r="C1125">
        <v>2.1800000000000002</v>
      </c>
      <c r="D1125" s="1">
        <v>20973</v>
      </c>
      <c r="E1125" s="4">
        <v>66829.528651662229</v>
      </c>
      <c r="F1125" s="4">
        <v>317552.34913838585</v>
      </c>
    </row>
    <row r="1126" spans="1:6" x14ac:dyDescent="0.25">
      <c r="A1126" t="s">
        <v>37</v>
      </c>
      <c r="B1126" t="s">
        <v>99</v>
      </c>
      <c r="C1126">
        <v>8.31</v>
      </c>
      <c r="D1126" s="1">
        <v>77656</v>
      </c>
      <c r="E1126" s="4">
        <v>34729.958595498669</v>
      </c>
      <c r="F1126" s="4">
        <v>108950.83844218636</v>
      </c>
    </row>
    <row r="1127" spans="1:6" x14ac:dyDescent="0.25">
      <c r="A1127" t="s">
        <v>38</v>
      </c>
      <c r="B1127" t="s">
        <v>99</v>
      </c>
      <c r="C1127">
        <v>6.09</v>
      </c>
      <c r="D1127" s="1">
        <v>54380</v>
      </c>
      <c r="E1127" s="4">
        <v>64778.187578649595</v>
      </c>
      <c r="F1127" s="4">
        <v>54646.829124815747</v>
      </c>
    </row>
    <row r="1128" spans="1:6" x14ac:dyDescent="0.25">
      <c r="A1128" t="s">
        <v>39</v>
      </c>
      <c r="B1128" t="s">
        <v>99</v>
      </c>
      <c r="C1128">
        <v>2.96</v>
      </c>
      <c r="D1128" s="1">
        <v>27223</v>
      </c>
      <c r="E1128" s="4">
        <v>57499.456273594878</v>
      </c>
      <c r="F1128" s="4">
        <v>36758.620556102047</v>
      </c>
    </row>
    <row r="1129" spans="1:6" x14ac:dyDescent="0.25">
      <c r="A1129" t="s">
        <v>40</v>
      </c>
      <c r="B1129" t="s">
        <v>99</v>
      </c>
      <c r="C1129">
        <v>3.62</v>
      </c>
      <c r="D1129" s="1">
        <v>36899</v>
      </c>
      <c r="E1129" s="4">
        <v>36305.936882078458</v>
      </c>
      <c r="F1129" s="4">
        <v>30916.18314124308</v>
      </c>
    </row>
    <row r="1130" spans="1:6" x14ac:dyDescent="0.25">
      <c r="A1130" t="s">
        <v>41</v>
      </c>
      <c r="B1130" t="s">
        <v>99</v>
      </c>
      <c r="C1130">
        <v>3.33</v>
      </c>
      <c r="D1130" s="1">
        <v>34731</v>
      </c>
      <c r="E1130" s="4">
        <v>36721.081064623533</v>
      </c>
      <c r="F1130" s="4">
        <v>18485.470269642625</v>
      </c>
    </row>
    <row r="1131" spans="1:6" x14ac:dyDescent="0.25">
      <c r="A1131" t="s">
        <v>42</v>
      </c>
      <c r="B1131" t="s">
        <v>99</v>
      </c>
      <c r="C1131">
        <v>4.22</v>
      </c>
      <c r="D1131" s="1">
        <v>41433</v>
      </c>
      <c r="E1131" s="4">
        <v>35328.024319387056</v>
      </c>
      <c r="F1131" s="4">
        <v>17521.186708216184</v>
      </c>
    </row>
    <row r="1132" spans="1:6" x14ac:dyDescent="0.25">
      <c r="A1132" t="s">
        <v>43</v>
      </c>
      <c r="B1132" t="s">
        <v>99</v>
      </c>
      <c r="C1132">
        <v>2.63</v>
      </c>
      <c r="D1132" s="1">
        <v>27415</v>
      </c>
      <c r="E1132" s="4">
        <v>39601.507295816118</v>
      </c>
      <c r="F1132" s="4">
        <v>3723.0307800002333</v>
      </c>
    </row>
    <row r="1133" spans="1:6" x14ac:dyDescent="0.25">
      <c r="A1133" t="s">
        <v>44</v>
      </c>
      <c r="B1133" t="s">
        <v>99</v>
      </c>
      <c r="C1133">
        <v>2.4700000000000002</v>
      </c>
      <c r="D1133" s="1">
        <v>26148</v>
      </c>
      <c r="E1133" s="4">
        <v>31070.952188744835</v>
      </c>
      <c r="F1133" s="4">
        <v>7952.8215281460134</v>
      </c>
    </row>
    <row r="1134" spans="1:6" x14ac:dyDescent="0.25">
      <c r="A1134" t="s">
        <v>45</v>
      </c>
      <c r="B1134" t="s">
        <v>99</v>
      </c>
      <c r="C1134">
        <v>1.68</v>
      </c>
      <c r="D1134" s="1">
        <v>18879</v>
      </c>
      <c r="E1134" s="4">
        <v>27624.885656623446</v>
      </c>
      <c r="F1134" s="4">
        <v>8366.9418225243753</v>
      </c>
    </row>
    <row r="1135" spans="1:6" x14ac:dyDescent="0.25">
      <c r="A1135" t="s">
        <v>46</v>
      </c>
      <c r="B1135" t="s">
        <v>99</v>
      </c>
      <c r="C1135">
        <v>6.25</v>
      </c>
      <c r="D1135" s="1">
        <v>62813</v>
      </c>
      <c r="E1135" s="4">
        <v>21502.765696987033</v>
      </c>
      <c r="F1135" s="4">
        <v>9114.7670338189619</v>
      </c>
    </row>
    <row r="1136" spans="1:6" x14ac:dyDescent="0.25">
      <c r="A1136" t="s">
        <v>47</v>
      </c>
      <c r="B1136" t="s">
        <v>99</v>
      </c>
      <c r="C1136">
        <v>0.52</v>
      </c>
      <c r="D1136" s="1">
        <v>6017</v>
      </c>
      <c r="E1136" s="4">
        <v>50419.929709096104</v>
      </c>
      <c r="F1136" s="4">
        <v>24544.255487732284</v>
      </c>
    </row>
    <row r="1137" spans="1:6" x14ac:dyDescent="0.25">
      <c r="A1137" t="s">
        <v>48</v>
      </c>
      <c r="B1137" t="s">
        <v>99</v>
      </c>
      <c r="C1137">
        <v>1.61</v>
      </c>
      <c r="D1137" s="1">
        <v>16406</v>
      </c>
      <c r="E1137" s="4">
        <v>19337.878912728833</v>
      </c>
      <c r="F1137" s="4">
        <v>35377.234397464759</v>
      </c>
    </row>
    <row r="1138" spans="1:6" x14ac:dyDescent="0.25">
      <c r="A1138" t="s">
        <v>49</v>
      </c>
      <c r="B1138" t="s">
        <v>99</v>
      </c>
      <c r="C1138">
        <v>3.16</v>
      </c>
      <c r="D1138" s="1">
        <v>35361</v>
      </c>
      <c r="E1138" s="4">
        <v>17285.563673818648</v>
      </c>
      <c r="F1138" s="4">
        <v>35055.915044776026</v>
      </c>
    </row>
    <row r="1139" spans="1:6" x14ac:dyDescent="0.25">
      <c r="A1139" t="s">
        <v>50</v>
      </c>
      <c r="B1139" t="s">
        <v>99</v>
      </c>
      <c r="C1139">
        <v>4.2300000000000004</v>
      </c>
      <c r="D1139" s="1">
        <v>43349</v>
      </c>
      <c r="E1139" s="4">
        <v>29938.369102145592</v>
      </c>
      <c r="F1139" s="4">
        <v>27730.473484908678</v>
      </c>
    </row>
    <row r="1140" spans="1:6" x14ac:dyDescent="0.25">
      <c r="A1140" t="s">
        <v>51</v>
      </c>
      <c r="B1140" t="s">
        <v>99</v>
      </c>
      <c r="C1140">
        <v>1.03</v>
      </c>
      <c r="D1140" s="1">
        <v>11933</v>
      </c>
      <c r="E1140" s="4">
        <v>39325.810730643672</v>
      </c>
      <c r="F1140" s="4">
        <v>13104.227478428831</v>
      </c>
    </row>
    <row r="1141" spans="1:6" x14ac:dyDescent="0.25">
      <c r="A1141" t="s">
        <v>52</v>
      </c>
      <c r="B1141" t="s">
        <v>99</v>
      </c>
      <c r="C1141">
        <v>0.52</v>
      </c>
      <c r="D1141" s="1">
        <v>5542</v>
      </c>
      <c r="E1141" s="4">
        <v>20150.843219193102</v>
      </c>
      <c r="F1141" s="4">
        <v>20468.939877980905</v>
      </c>
    </row>
    <row r="1142" spans="1:6" x14ac:dyDescent="0.25">
      <c r="A1142" t="s">
        <v>53</v>
      </c>
      <c r="B1142" t="s">
        <v>99</v>
      </c>
      <c r="C1142">
        <v>0.24</v>
      </c>
      <c r="D1142" s="1">
        <v>2789</v>
      </c>
      <c r="E1142" s="4">
        <v>9924.6529657579304</v>
      </c>
      <c r="F1142" s="4">
        <v>19524.594754704627</v>
      </c>
    </row>
    <row r="1143" spans="1:6" x14ac:dyDescent="0.25">
      <c r="A1143" t="s">
        <v>54</v>
      </c>
      <c r="B1143" t="s">
        <v>99</v>
      </c>
      <c r="C1143">
        <v>3.7</v>
      </c>
      <c r="D1143" s="1">
        <v>39983</v>
      </c>
      <c r="E1143" s="4">
        <v>4929.6958897273789</v>
      </c>
      <c r="F1143" s="4">
        <v>18391.138474598403</v>
      </c>
    </row>
    <row r="1144" spans="1:6" x14ac:dyDescent="0.25">
      <c r="A1144" t="s">
        <v>55</v>
      </c>
      <c r="B1144" t="s">
        <v>99</v>
      </c>
      <c r="C1144">
        <v>1.5</v>
      </c>
      <c r="D1144" s="1">
        <v>18086</v>
      </c>
      <c r="E1144" s="4">
        <v>29467.00876691821</v>
      </c>
      <c r="F1144" s="4">
        <v>22308.96660163016</v>
      </c>
    </row>
    <row r="1145" spans="1:6" x14ac:dyDescent="0.25">
      <c r="A1145" t="s">
        <v>56</v>
      </c>
      <c r="B1145" t="s">
        <v>99</v>
      </c>
      <c r="C1145">
        <v>1.8</v>
      </c>
      <c r="D1145" s="1">
        <v>19854</v>
      </c>
      <c r="E1145" s="4">
        <v>21500.302630075461</v>
      </c>
      <c r="F1145" s="4">
        <v>21673.171071224246</v>
      </c>
    </row>
    <row r="1146" spans="1:6" x14ac:dyDescent="0.25">
      <c r="A1146" t="s">
        <v>57</v>
      </c>
      <c r="B1146" t="s">
        <v>99</v>
      </c>
      <c r="C1146">
        <v>0.97</v>
      </c>
      <c r="D1146" s="1">
        <v>11925</v>
      </c>
      <c r="E1146" s="4">
        <v>20347.890789022636</v>
      </c>
      <c r="F1146" s="4">
        <v>21299.231613290012</v>
      </c>
    </row>
    <row r="1147" spans="1:6" x14ac:dyDescent="0.25">
      <c r="A1147" t="s">
        <v>58</v>
      </c>
      <c r="B1147" t="s">
        <v>99</v>
      </c>
      <c r="C1147">
        <v>2.76</v>
      </c>
      <c r="D1147" s="1">
        <v>30715</v>
      </c>
      <c r="E1147" s="4">
        <v>14451.867236706792</v>
      </c>
      <c r="F1147" s="4">
        <v>8229.6772343809644</v>
      </c>
    </row>
    <row r="1148" spans="1:6" x14ac:dyDescent="0.25">
      <c r="A1148" t="s">
        <v>59</v>
      </c>
      <c r="B1148" t="s">
        <v>99</v>
      </c>
      <c r="C1148">
        <v>1.28</v>
      </c>
      <c r="D1148" s="1">
        <v>15265</v>
      </c>
      <c r="E1148" s="4">
        <v>25836.060171012039</v>
      </c>
      <c r="F1148" s="4">
        <v>10616.730332672998</v>
      </c>
    </row>
    <row r="1149" spans="1:6" x14ac:dyDescent="0.25">
      <c r="A1149" t="s">
        <v>60</v>
      </c>
      <c r="B1149" t="s">
        <v>99</v>
      </c>
      <c r="C1149">
        <v>8.3800000000000008</v>
      </c>
      <c r="D1149" s="1">
        <v>67301</v>
      </c>
      <c r="E1149" s="4">
        <v>18436.318051303613</v>
      </c>
      <c r="F1149" s="4">
        <v>12209.038860061295</v>
      </c>
    </row>
    <row r="1150" spans="1:6" x14ac:dyDescent="0.25">
      <c r="A1150" t="s">
        <v>61</v>
      </c>
      <c r="B1150" t="s">
        <v>99</v>
      </c>
      <c r="C1150">
        <v>3.73</v>
      </c>
      <c r="D1150" s="1">
        <v>37007</v>
      </c>
      <c r="E1150" s="4">
        <v>52641.595415391079</v>
      </c>
      <c r="F1150" s="4">
        <v>30353.439905898158</v>
      </c>
    </row>
    <row r="1151" spans="1:6" x14ac:dyDescent="0.25">
      <c r="A1151" t="s">
        <v>62</v>
      </c>
      <c r="B1151" t="s">
        <v>99</v>
      </c>
      <c r="C1151">
        <v>1.35</v>
      </c>
      <c r="D1151" s="1">
        <v>15528</v>
      </c>
      <c r="E1151" s="4">
        <v>41697.378624617319</v>
      </c>
      <c r="F1151" s="4">
        <v>30243.153654391379</v>
      </c>
    </row>
    <row r="1152" spans="1:6" x14ac:dyDescent="0.25">
      <c r="A1152" t="s">
        <v>63</v>
      </c>
      <c r="B1152" t="s">
        <v>99</v>
      </c>
      <c r="C1152">
        <v>1.59</v>
      </c>
      <c r="D1152" s="1">
        <v>18867</v>
      </c>
      <c r="E1152" s="4">
        <v>23378.813587385193</v>
      </c>
      <c r="F1152" s="4">
        <v>33251.737264634263</v>
      </c>
    </row>
    <row r="1153" spans="1:6" x14ac:dyDescent="0.25">
      <c r="A1153" t="s">
        <v>64</v>
      </c>
      <c r="B1153" t="s">
        <v>99</v>
      </c>
      <c r="C1153">
        <v>3.42</v>
      </c>
      <c r="D1153" s="1">
        <v>37850</v>
      </c>
      <c r="E1153" s="4">
        <v>20220.544076215556</v>
      </c>
      <c r="F1153" s="4">
        <v>17791.696689269211</v>
      </c>
    </row>
    <row r="1154" spans="1:6" x14ac:dyDescent="0.25">
      <c r="A1154" t="s">
        <v>65</v>
      </c>
      <c r="B1154" t="s">
        <v>99</v>
      </c>
      <c r="C1154">
        <v>3.36</v>
      </c>
      <c r="D1154" s="1">
        <v>41312</v>
      </c>
      <c r="E1154" s="4">
        <v>32561.163222864667</v>
      </c>
      <c r="F1154" s="4">
        <v>18402.812788760941</v>
      </c>
    </row>
    <row r="1155" spans="1:6" x14ac:dyDescent="0.25">
      <c r="A1155" t="s">
        <v>66</v>
      </c>
      <c r="B1155" t="s">
        <v>99</v>
      </c>
      <c r="C1155">
        <v>4.2</v>
      </c>
      <c r="D1155" s="1">
        <v>48765</v>
      </c>
      <c r="E1155" s="4">
        <v>38686.748966859399</v>
      </c>
      <c r="F1155" s="4">
        <v>11658.063337107589</v>
      </c>
    </row>
    <row r="1156" spans="1:6" x14ac:dyDescent="0.25">
      <c r="A1156" t="s">
        <v>67</v>
      </c>
      <c r="B1156" t="s">
        <v>99</v>
      </c>
      <c r="C1156">
        <v>0</v>
      </c>
      <c r="D1156">
        <v>0</v>
      </c>
      <c r="E1156" s="4">
        <v>45741.52469005782</v>
      </c>
      <c r="F1156" s="4">
        <v>12766.440437800486</v>
      </c>
    </row>
    <row r="1157" spans="1:6" x14ac:dyDescent="0.25">
      <c r="A1157" t="s">
        <v>68</v>
      </c>
      <c r="B1157" t="s">
        <v>99</v>
      </c>
      <c r="C1157">
        <v>5.33</v>
      </c>
      <c r="D1157" s="1">
        <v>58231</v>
      </c>
      <c r="E1157" s="4">
        <v>13722.457407017346</v>
      </c>
      <c r="F1157" s="4">
        <v>27510.212462273186</v>
      </c>
    </row>
    <row r="1158" spans="1:6" x14ac:dyDescent="0.25">
      <c r="A1158" t="s">
        <v>69</v>
      </c>
      <c r="B1158" t="s">
        <v>99</v>
      </c>
      <c r="C1158">
        <v>2.56</v>
      </c>
      <c r="D1158" s="1">
        <v>29517</v>
      </c>
      <c r="E1158" s="4">
        <v>44878.437222105204</v>
      </c>
      <c r="F1158" s="4">
        <v>37304.461701917637</v>
      </c>
    </row>
    <row r="1159" spans="1:6" x14ac:dyDescent="0.25">
      <c r="A1159" t="s">
        <v>70</v>
      </c>
      <c r="B1159" t="s">
        <v>99</v>
      </c>
      <c r="C1159">
        <v>3.9</v>
      </c>
      <c r="D1159" s="1">
        <v>42966</v>
      </c>
      <c r="E1159" s="4">
        <v>34125.431166631563</v>
      </c>
      <c r="F1159" s="4">
        <v>37900.181170416581</v>
      </c>
    </row>
    <row r="1160" spans="1:6" x14ac:dyDescent="0.25">
      <c r="A1160" t="s">
        <v>71</v>
      </c>
      <c r="B1160" t="s">
        <v>99</v>
      </c>
      <c r="C1160">
        <v>0.69</v>
      </c>
      <c r="D1160" s="1">
        <v>8505</v>
      </c>
      <c r="E1160" s="4">
        <v>40313.829349989464</v>
      </c>
      <c r="F1160" s="4">
        <v>27659.475619140936</v>
      </c>
    </row>
    <row r="1161" spans="1:6" x14ac:dyDescent="0.25">
      <c r="A1161" t="s">
        <v>72</v>
      </c>
      <c r="B1161" t="s">
        <v>99</v>
      </c>
      <c r="C1161">
        <v>1.32</v>
      </c>
      <c r="D1161" s="1">
        <v>14842</v>
      </c>
      <c r="E1161" s="4">
        <v>18047.648804996839</v>
      </c>
      <c r="F1161" s="4">
        <v>21023.249316276459</v>
      </c>
    </row>
    <row r="1162" spans="1:6" x14ac:dyDescent="0.25">
      <c r="A1162" t="s">
        <v>73</v>
      </c>
      <c r="B1162" t="s">
        <v>99</v>
      </c>
      <c r="C1162">
        <v>5.98</v>
      </c>
      <c r="D1162" s="1">
        <v>63838</v>
      </c>
      <c r="E1162" s="4">
        <v>15803.694641499053</v>
      </c>
      <c r="F1162" s="4">
        <v>19150.574109542638</v>
      </c>
    </row>
    <row r="1163" spans="1:6" x14ac:dyDescent="0.25">
      <c r="A1163" t="s">
        <v>74</v>
      </c>
      <c r="B1163" t="s">
        <v>99</v>
      </c>
      <c r="C1163">
        <v>2.78</v>
      </c>
      <c r="D1163" s="1">
        <v>35220</v>
      </c>
      <c r="E1163" s="4">
        <v>49427.708392449713</v>
      </c>
      <c r="F1163" s="4">
        <v>33313.522280256511</v>
      </c>
    </row>
    <row r="1164" spans="1:6" x14ac:dyDescent="0.25">
      <c r="A1164" t="s">
        <v>75</v>
      </c>
      <c r="B1164" t="s">
        <v>99</v>
      </c>
      <c r="C1164">
        <v>0</v>
      </c>
      <c r="D1164">
        <v>0</v>
      </c>
      <c r="E1164" s="4">
        <v>39482.312517734914</v>
      </c>
      <c r="F1164" s="4">
        <v>28979.473501656172</v>
      </c>
    </row>
    <row r="1165" spans="1:6" x14ac:dyDescent="0.25">
      <c r="A1165" t="s">
        <v>76</v>
      </c>
      <c r="B1165" t="s">
        <v>99</v>
      </c>
      <c r="C1165">
        <v>0</v>
      </c>
      <c r="D1165">
        <v>0</v>
      </c>
      <c r="E1165" s="4">
        <v>11844.693755320473</v>
      </c>
      <c r="F1165" s="4">
        <v>36823.934566106531</v>
      </c>
    </row>
    <row r="1166" spans="1:6" x14ac:dyDescent="0.25">
      <c r="A1166" t="s">
        <v>77</v>
      </c>
      <c r="B1166" t="s">
        <v>99</v>
      </c>
      <c r="C1166">
        <v>1.1000000000000001</v>
      </c>
      <c r="D1166" s="1">
        <v>14015</v>
      </c>
      <c r="E1166" s="4">
        <v>3553.4081265961418</v>
      </c>
      <c r="F1166" s="4">
        <v>25172.794505645052</v>
      </c>
    </row>
    <row r="1167" spans="1:6" x14ac:dyDescent="0.25">
      <c r="A1167" t="s">
        <v>78</v>
      </c>
      <c r="B1167" t="s">
        <v>99</v>
      </c>
      <c r="C1167">
        <v>1.72</v>
      </c>
      <c r="D1167" s="1">
        <v>18679</v>
      </c>
      <c r="E1167" s="4">
        <v>10876.522437978841</v>
      </c>
      <c r="F1167" s="4">
        <v>24553.307152880545</v>
      </c>
    </row>
    <row r="1168" spans="1:6" x14ac:dyDescent="0.25">
      <c r="A1168" t="s">
        <v>79</v>
      </c>
      <c r="B1168" t="s">
        <v>99</v>
      </c>
      <c r="C1168">
        <v>0.41</v>
      </c>
      <c r="D1168" s="1">
        <v>4918</v>
      </c>
      <c r="E1168" s="4">
        <v>16338.256731393652</v>
      </c>
      <c r="F1168" s="4">
        <v>10175.466095611888</v>
      </c>
    </row>
    <row r="1169" spans="1:6" x14ac:dyDescent="0.25">
      <c r="A1169" t="s">
        <v>80</v>
      </c>
      <c r="B1169" t="s">
        <v>99</v>
      </c>
      <c r="C1169">
        <v>2.0299999999999998</v>
      </c>
      <c r="D1169" s="1">
        <v>22659</v>
      </c>
      <c r="E1169" s="4">
        <v>8344.077019418095</v>
      </c>
      <c r="F1169" s="4">
        <v>10012.422691211408</v>
      </c>
    </row>
    <row r="1170" spans="1:6" x14ac:dyDescent="0.25">
      <c r="A1170" t="s">
        <v>81</v>
      </c>
      <c r="B1170" t="s">
        <v>99</v>
      </c>
      <c r="C1170">
        <v>0.91</v>
      </c>
      <c r="D1170" s="1">
        <v>10958</v>
      </c>
      <c r="E1170" s="4">
        <v>18364.523105825429</v>
      </c>
      <c r="F1170" s="4">
        <v>11492.286396488988</v>
      </c>
    </row>
    <row r="1171" spans="1:6" x14ac:dyDescent="0.25">
      <c r="A1171" t="s">
        <v>82</v>
      </c>
      <c r="B1171" t="s">
        <v>99</v>
      </c>
      <c r="C1171">
        <v>0.83</v>
      </c>
      <c r="D1171" s="1">
        <v>10973</v>
      </c>
      <c r="E1171" s="4">
        <v>13179.956931747627</v>
      </c>
      <c r="F1171" s="4">
        <v>11404.617022183895</v>
      </c>
    </row>
    <row r="1172" spans="1:6" x14ac:dyDescent="0.25">
      <c r="A1172" t="s">
        <v>83</v>
      </c>
      <c r="B1172" t="s">
        <v>99</v>
      </c>
      <c r="C1172">
        <v>1.89</v>
      </c>
      <c r="D1172" s="1">
        <v>22463</v>
      </c>
      <c r="E1172" s="4">
        <v>11635.087079524288</v>
      </c>
      <c r="F1172" s="4">
        <v>9392.2709954463226</v>
      </c>
    </row>
    <row r="1173" spans="1:6" x14ac:dyDescent="0.25">
      <c r="A1173" t="s">
        <v>84</v>
      </c>
      <c r="B1173" t="s">
        <v>99</v>
      </c>
      <c r="C1173">
        <v>0.89</v>
      </c>
      <c r="D1173" s="1">
        <v>10394</v>
      </c>
      <c r="E1173" s="4">
        <v>19214.626123857284</v>
      </c>
      <c r="F1173" s="4">
        <v>7680.5152090451093</v>
      </c>
    </row>
    <row r="1174" spans="1:6" x14ac:dyDescent="0.25">
      <c r="A1174" t="s">
        <v>7</v>
      </c>
      <c r="B1174" t="s">
        <v>100</v>
      </c>
      <c r="C1174">
        <v>6.07</v>
      </c>
      <c r="D1174" s="1">
        <v>771333</v>
      </c>
      <c r="E1174" s="4">
        <v>13040.187837157184</v>
      </c>
      <c r="F1174" s="4">
        <v>8163.2877839113198</v>
      </c>
    </row>
    <row r="1175" spans="1:6" x14ac:dyDescent="0.25">
      <c r="A1175" t="s">
        <v>10</v>
      </c>
      <c r="B1175" t="s">
        <v>100</v>
      </c>
      <c r="C1175">
        <v>9.08</v>
      </c>
      <c r="D1175" s="1">
        <v>1052388</v>
      </c>
      <c r="E1175" s="4">
        <v>543845.1563511471</v>
      </c>
      <c r="F1175" s="4">
        <v>437874.80559373845</v>
      </c>
    </row>
    <row r="1176" spans="1:6" x14ac:dyDescent="0.25">
      <c r="A1176" t="s">
        <v>11</v>
      </c>
      <c r="B1176" t="s">
        <v>100</v>
      </c>
      <c r="C1176">
        <v>12.17</v>
      </c>
      <c r="D1176" s="1">
        <v>1559354</v>
      </c>
      <c r="E1176" s="4">
        <v>899825.1469053441</v>
      </c>
      <c r="F1176" s="4">
        <v>527162.72511420702</v>
      </c>
    </row>
    <row r="1177" spans="1:6" x14ac:dyDescent="0.25">
      <c r="A1177" t="s">
        <v>12</v>
      </c>
      <c r="B1177" t="s">
        <v>100</v>
      </c>
      <c r="C1177">
        <v>7.12</v>
      </c>
      <c r="D1177" s="1">
        <v>811062</v>
      </c>
      <c r="E1177" s="4">
        <v>1361495.3440716034</v>
      </c>
      <c r="F1177" s="4">
        <v>650282.53369045828</v>
      </c>
    </row>
    <row r="1178" spans="1:6" x14ac:dyDescent="0.25">
      <c r="A1178" t="s">
        <v>13</v>
      </c>
      <c r="B1178" t="s">
        <v>100</v>
      </c>
      <c r="C1178">
        <v>6.79</v>
      </c>
      <c r="D1178" s="1">
        <v>841981</v>
      </c>
      <c r="E1178" s="4">
        <v>976192.00322148087</v>
      </c>
      <c r="F1178" s="4">
        <v>576359.55159855494</v>
      </c>
    </row>
    <row r="1179" spans="1:6" x14ac:dyDescent="0.25">
      <c r="A1179" t="s">
        <v>14</v>
      </c>
      <c r="B1179" t="s">
        <v>100</v>
      </c>
      <c r="C1179">
        <v>9.57</v>
      </c>
      <c r="D1179" s="1">
        <v>1117791</v>
      </c>
      <c r="E1179" s="4">
        <v>882244.30096644419</v>
      </c>
      <c r="F1179" s="4">
        <v>501985.31443191197</v>
      </c>
    </row>
    <row r="1180" spans="1:6" x14ac:dyDescent="0.25">
      <c r="A1180" t="s">
        <v>15</v>
      </c>
      <c r="B1180" t="s">
        <v>100</v>
      </c>
      <c r="C1180">
        <v>8.7200000000000006</v>
      </c>
      <c r="D1180" s="1">
        <v>1069016</v>
      </c>
      <c r="E1180" s="4">
        <v>1047126.9902899333</v>
      </c>
      <c r="F1180" s="4">
        <v>354246.48061162583</v>
      </c>
    </row>
    <row r="1181" spans="1:6" x14ac:dyDescent="0.25">
      <c r="A1181" t="s">
        <v>16</v>
      </c>
      <c r="B1181" t="s">
        <v>100</v>
      </c>
      <c r="C1181">
        <v>10.87</v>
      </c>
      <c r="D1181" s="1">
        <v>1239998</v>
      </c>
      <c r="E1181" s="4">
        <v>1062449.29708698</v>
      </c>
      <c r="F1181" s="4">
        <v>157028.6274934269</v>
      </c>
    </row>
    <row r="1182" spans="1:6" x14ac:dyDescent="0.25">
      <c r="A1182" t="s">
        <v>17</v>
      </c>
      <c r="B1182" t="s">
        <v>100</v>
      </c>
      <c r="C1182">
        <v>4.7300000000000004</v>
      </c>
      <c r="D1182" s="1">
        <v>563481</v>
      </c>
      <c r="E1182" s="4">
        <v>1186733.3891260941</v>
      </c>
      <c r="F1182" s="4">
        <v>170767.7936827158</v>
      </c>
    </row>
    <row r="1183" spans="1:6" x14ac:dyDescent="0.25">
      <c r="A1183" t="s">
        <v>18</v>
      </c>
      <c r="B1183" t="s">
        <v>100</v>
      </c>
      <c r="C1183">
        <v>2.79</v>
      </c>
      <c r="D1183" s="1">
        <v>320522</v>
      </c>
      <c r="E1183" s="4">
        <v>750456.71673782822</v>
      </c>
      <c r="F1183" s="4">
        <v>374364.44418221107</v>
      </c>
    </row>
    <row r="1184" spans="1:6" x14ac:dyDescent="0.25">
      <c r="A1184" t="s">
        <v>19</v>
      </c>
      <c r="B1184" t="s">
        <v>100</v>
      </c>
      <c r="C1184">
        <v>4.95</v>
      </c>
      <c r="D1184" s="1">
        <v>618760</v>
      </c>
      <c r="E1184" s="4">
        <v>449502.41502134845</v>
      </c>
      <c r="F1184" s="4">
        <v>449002.948436465</v>
      </c>
    </row>
    <row r="1185" spans="1:6" x14ac:dyDescent="0.25">
      <c r="A1185" t="s">
        <v>20</v>
      </c>
      <c r="B1185" t="s">
        <v>100</v>
      </c>
      <c r="C1185">
        <v>6.95</v>
      </c>
      <c r="D1185" s="1">
        <v>805848</v>
      </c>
      <c r="E1185" s="4">
        <v>567982.72450640448</v>
      </c>
      <c r="F1185" s="4">
        <v>447934.34462378756</v>
      </c>
    </row>
    <row r="1186" spans="1:6" x14ac:dyDescent="0.25">
      <c r="A1186" t="s">
        <v>21</v>
      </c>
      <c r="B1186" t="s">
        <v>100</v>
      </c>
      <c r="C1186">
        <v>4.71</v>
      </c>
      <c r="D1186" s="1">
        <v>536182</v>
      </c>
      <c r="E1186" s="4">
        <v>734488.41735192132</v>
      </c>
      <c r="F1186" s="4">
        <v>300039.9306841708</v>
      </c>
    </row>
    <row r="1187" spans="1:6" x14ac:dyDescent="0.25">
      <c r="A1187" t="s">
        <v>22</v>
      </c>
      <c r="B1187" t="s">
        <v>100</v>
      </c>
      <c r="C1187">
        <v>2.7</v>
      </c>
      <c r="D1187" s="1">
        <v>306774</v>
      </c>
      <c r="E1187" s="4">
        <v>595673.92520557635</v>
      </c>
      <c r="F1187" s="4">
        <v>203759.21616899027</v>
      </c>
    </row>
    <row r="1188" spans="1:6" x14ac:dyDescent="0.25">
      <c r="A1188" t="s">
        <v>23</v>
      </c>
      <c r="B1188" t="s">
        <v>100</v>
      </c>
      <c r="C1188">
        <v>1.51</v>
      </c>
      <c r="D1188" s="1">
        <v>183126</v>
      </c>
      <c r="E1188" s="4">
        <v>393443.97756167292</v>
      </c>
      <c r="F1188" s="4">
        <v>244518.90944763768</v>
      </c>
    </row>
    <row r="1189" spans="1:6" x14ac:dyDescent="0.25">
      <c r="A1189" t="s">
        <v>24</v>
      </c>
      <c r="B1189" t="s">
        <v>100</v>
      </c>
      <c r="C1189">
        <v>2.36</v>
      </c>
      <c r="D1189" s="1">
        <v>262671</v>
      </c>
      <c r="E1189" s="4">
        <v>246221.39326850185</v>
      </c>
      <c r="F1189" s="4">
        <v>235953.56438105524</v>
      </c>
    </row>
    <row r="1190" spans="1:6" x14ac:dyDescent="0.25">
      <c r="A1190" t="s">
        <v>25</v>
      </c>
      <c r="B1190" t="s">
        <v>100</v>
      </c>
      <c r="C1190">
        <v>7.5</v>
      </c>
      <c r="D1190" s="1">
        <v>816469</v>
      </c>
      <c r="E1190" s="4">
        <v>257736.11798055054</v>
      </c>
      <c r="F1190" s="4">
        <v>206532.81259164037</v>
      </c>
    </row>
    <row r="1191" spans="1:6" x14ac:dyDescent="0.25">
      <c r="A1191" t="s">
        <v>26</v>
      </c>
      <c r="B1191" t="s">
        <v>100</v>
      </c>
      <c r="C1191">
        <v>2.76</v>
      </c>
      <c r="D1191" s="1">
        <v>332592</v>
      </c>
      <c r="E1191" s="4">
        <v>648849.13539416506</v>
      </c>
      <c r="F1191" s="4">
        <v>344812.35220382951</v>
      </c>
    </row>
    <row r="1192" spans="1:6" x14ac:dyDescent="0.25">
      <c r="A1192" t="s">
        <v>27</v>
      </c>
      <c r="B1192" t="s">
        <v>100</v>
      </c>
      <c r="C1192">
        <v>3.35</v>
      </c>
      <c r="D1192" s="1">
        <v>400982</v>
      </c>
      <c r="E1192" s="4">
        <v>427469.14061824954</v>
      </c>
      <c r="F1192" s="4">
        <v>370797.15869960689</v>
      </c>
    </row>
    <row r="1193" spans="1:6" x14ac:dyDescent="0.25">
      <c r="A1193" t="s">
        <v>28</v>
      </c>
      <c r="B1193" t="s">
        <v>100</v>
      </c>
      <c r="C1193">
        <v>2.81</v>
      </c>
      <c r="D1193" s="1">
        <v>323704</v>
      </c>
      <c r="E1193" s="4">
        <v>408928.1421854748</v>
      </c>
      <c r="F1193" s="4">
        <v>370990.82547309005</v>
      </c>
    </row>
    <row r="1194" spans="1:6" x14ac:dyDescent="0.25">
      <c r="A1194" t="s">
        <v>29</v>
      </c>
      <c r="B1194" t="s">
        <v>100</v>
      </c>
      <c r="C1194">
        <v>4.47</v>
      </c>
      <c r="D1194" s="1">
        <v>515705</v>
      </c>
      <c r="E1194" s="4">
        <v>349271.24265564245</v>
      </c>
      <c r="F1194" s="4">
        <v>189721.98846127826</v>
      </c>
    </row>
    <row r="1195" spans="1:6" x14ac:dyDescent="0.25">
      <c r="A1195" t="s">
        <v>30</v>
      </c>
      <c r="B1195" t="s">
        <v>100</v>
      </c>
      <c r="C1195">
        <v>10.02</v>
      </c>
      <c r="D1195" s="1">
        <v>1183624</v>
      </c>
      <c r="E1195" s="4">
        <v>465774.87279669271</v>
      </c>
      <c r="F1195" s="4">
        <v>109033.50954812231</v>
      </c>
    </row>
    <row r="1196" spans="1:6" x14ac:dyDescent="0.25">
      <c r="A1196" t="s">
        <v>31</v>
      </c>
      <c r="B1196" t="s">
        <v>100</v>
      </c>
      <c r="C1196">
        <v>1.79</v>
      </c>
      <c r="D1196" s="1">
        <v>221944</v>
      </c>
      <c r="E1196" s="4">
        <v>968269.26183900773</v>
      </c>
      <c r="F1196" s="4">
        <v>428279.78371681314</v>
      </c>
    </row>
    <row r="1197" spans="1:6" x14ac:dyDescent="0.25">
      <c r="A1197" t="s">
        <v>32</v>
      </c>
      <c r="B1197" t="s">
        <v>100</v>
      </c>
      <c r="C1197">
        <v>3.04</v>
      </c>
      <c r="D1197" s="1">
        <v>337005</v>
      </c>
      <c r="E1197" s="4">
        <v>445841.57855170232</v>
      </c>
      <c r="F1197" s="4">
        <v>605532.53737774049</v>
      </c>
    </row>
    <row r="1198" spans="1:6" x14ac:dyDescent="0.25">
      <c r="A1198" t="s">
        <v>33</v>
      </c>
      <c r="B1198" t="s">
        <v>100</v>
      </c>
      <c r="C1198">
        <v>5.72</v>
      </c>
      <c r="D1198" s="1">
        <v>656166</v>
      </c>
      <c r="E1198" s="4">
        <v>369655.97356551065</v>
      </c>
      <c r="F1198" s="4">
        <v>601152.82768928073</v>
      </c>
    </row>
    <row r="1199" spans="1:6" x14ac:dyDescent="0.25">
      <c r="A1199" t="s">
        <v>34</v>
      </c>
      <c r="B1199" t="s">
        <v>100</v>
      </c>
      <c r="C1199">
        <v>7.08</v>
      </c>
      <c r="D1199" s="1">
        <v>842058</v>
      </c>
      <c r="E1199" s="4">
        <v>570212.99206965312</v>
      </c>
      <c r="F1199" s="4">
        <v>465809.25729222264</v>
      </c>
    </row>
    <row r="1200" spans="1:6" x14ac:dyDescent="0.25">
      <c r="A1200" t="s">
        <v>35</v>
      </c>
      <c r="B1200" t="s">
        <v>100</v>
      </c>
      <c r="C1200">
        <v>8.1</v>
      </c>
      <c r="D1200" s="1">
        <v>928181</v>
      </c>
      <c r="E1200" s="4">
        <v>760504.49762089597</v>
      </c>
      <c r="F1200" s="4">
        <v>236525.61835523794</v>
      </c>
    </row>
    <row r="1201" spans="1:6" x14ac:dyDescent="0.25">
      <c r="A1201" t="s">
        <v>36</v>
      </c>
      <c r="B1201" t="s">
        <v>100</v>
      </c>
      <c r="C1201">
        <v>8.56</v>
      </c>
      <c r="D1201" s="1">
        <v>953317</v>
      </c>
      <c r="E1201" s="4">
        <v>877878.04928626877</v>
      </c>
      <c r="F1201" s="4">
        <v>247725.0579669807</v>
      </c>
    </row>
    <row r="1202" spans="1:6" x14ac:dyDescent="0.25">
      <c r="A1202" t="s">
        <v>37</v>
      </c>
      <c r="B1202" t="s">
        <v>100</v>
      </c>
      <c r="C1202">
        <v>8.89</v>
      </c>
      <c r="D1202" s="1">
        <v>964287</v>
      </c>
      <c r="E1202" s="4">
        <v>930685.3147858805</v>
      </c>
      <c r="F1202" s="4">
        <v>189478.36558257233</v>
      </c>
    </row>
    <row r="1203" spans="1:6" x14ac:dyDescent="0.25">
      <c r="A1203" t="s">
        <v>38</v>
      </c>
      <c r="B1203" t="s">
        <v>100</v>
      </c>
      <c r="C1203">
        <v>6.33</v>
      </c>
      <c r="D1203" s="1">
        <v>746950</v>
      </c>
      <c r="E1203" s="4">
        <v>954206.49443576403</v>
      </c>
      <c r="F1203" s="4">
        <v>107912.80119322764</v>
      </c>
    </row>
    <row r="1204" spans="1:6" x14ac:dyDescent="0.25">
      <c r="A1204" t="s">
        <v>39</v>
      </c>
      <c r="B1204" t="s">
        <v>100</v>
      </c>
      <c r="C1204">
        <v>5.69</v>
      </c>
      <c r="D1204" s="1">
        <v>667852</v>
      </c>
      <c r="E1204" s="4">
        <v>809126.94833072915</v>
      </c>
      <c r="F1204" s="4">
        <v>128809.11331607382</v>
      </c>
    </row>
    <row r="1205" spans="1:6" x14ac:dyDescent="0.25">
      <c r="A1205" t="s">
        <v>40</v>
      </c>
      <c r="B1205" t="s">
        <v>100</v>
      </c>
      <c r="C1205">
        <v>6.91</v>
      </c>
      <c r="D1205" s="1">
        <v>786237</v>
      </c>
      <c r="E1205" s="4">
        <v>710234.48449921864</v>
      </c>
      <c r="F1205" s="4">
        <v>146108.33738574589</v>
      </c>
    </row>
    <row r="1206" spans="1:6" x14ac:dyDescent="0.25">
      <c r="A1206" t="s">
        <v>41</v>
      </c>
      <c r="B1206" t="s">
        <v>100</v>
      </c>
      <c r="C1206">
        <v>6</v>
      </c>
      <c r="D1206" s="1">
        <v>674215</v>
      </c>
      <c r="E1206" s="4">
        <v>763436.24534976552</v>
      </c>
      <c r="F1206" s="4">
        <v>151316.71847937425</v>
      </c>
    </row>
    <row r="1207" spans="1:6" x14ac:dyDescent="0.25">
      <c r="A1207" t="s">
        <v>42</v>
      </c>
      <c r="B1207" t="s">
        <v>100</v>
      </c>
      <c r="C1207">
        <v>5.6</v>
      </c>
      <c r="D1207" s="1">
        <v>594634</v>
      </c>
      <c r="E1207" s="4">
        <v>700981.37360492954</v>
      </c>
      <c r="F1207" s="4">
        <v>105980.22458625596</v>
      </c>
    </row>
    <row r="1208" spans="1:6" x14ac:dyDescent="0.25">
      <c r="A1208" t="s">
        <v>43</v>
      </c>
      <c r="B1208" t="s">
        <v>100</v>
      </c>
      <c r="C1208">
        <v>3.8</v>
      </c>
      <c r="D1208" s="1">
        <v>441315</v>
      </c>
      <c r="E1208" s="4">
        <v>626538.21208147891</v>
      </c>
      <c r="F1208" s="4">
        <v>91372.090663900264</v>
      </c>
    </row>
    <row r="1209" spans="1:6" x14ac:dyDescent="0.25">
      <c r="A1209" t="s">
        <v>44</v>
      </c>
      <c r="B1209" t="s">
        <v>100</v>
      </c>
      <c r="C1209">
        <v>5.21</v>
      </c>
      <c r="D1209" s="1">
        <v>589051</v>
      </c>
      <c r="E1209" s="4">
        <v>496881.96362444363</v>
      </c>
      <c r="F1209" s="4">
        <v>133638.60817918603</v>
      </c>
    </row>
    <row r="1210" spans="1:6" x14ac:dyDescent="0.25">
      <c r="A1210" t="s">
        <v>45</v>
      </c>
      <c r="B1210" t="s">
        <v>100</v>
      </c>
      <c r="C1210">
        <v>4.24</v>
      </c>
      <c r="D1210" s="1">
        <v>483059</v>
      </c>
      <c r="E1210" s="4">
        <v>561400.28908733302</v>
      </c>
      <c r="F1210" s="4">
        <v>134303.80167471757</v>
      </c>
    </row>
    <row r="1211" spans="1:6" x14ac:dyDescent="0.25">
      <c r="A1211" t="s">
        <v>46</v>
      </c>
      <c r="B1211" t="s">
        <v>100</v>
      </c>
      <c r="C1211">
        <v>7.25</v>
      </c>
      <c r="D1211" s="1">
        <v>785485</v>
      </c>
      <c r="E1211" s="4">
        <v>506561.38672619988</v>
      </c>
      <c r="F1211" s="4">
        <v>127723.82593711614</v>
      </c>
    </row>
    <row r="1212" spans="1:6" x14ac:dyDescent="0.25">
      <c r="A1212" t="s">
        <v>47</v>
      </c>
      <c r="B1212" t="s">
        <v>100</v>
      </c>
      <c r="C1212">
        <v>2.94</v>
      </c>
      <c r="D1212" s="1">
        <v>354930</v>
      </c>
      <c r="E1212" s="4">
        <v>701807.91601785994</v>
      </c>
      <c r="F1212" s="4">
        <v>175528.60249731012</v>
      </c>
    </row>
    <row r="1213" spans="1:6" x14ac:dyDescent="0.25">
      <c r="A1213" t="s">
        <v>48</v>
      </c>
      <c r="B1213" t="s">
        <v>100</v>
      </c>
      <c r="C1213">
        <v>7.31</v>
      </c>
      <c r="D1213" s="1">
        <v>805168</v>
      </c>
      <c r="E1213" s="4">
        <v>458993.37480535795</v>
      </c>
      <c r="F1213" s="4">
        <v>260934.23707802378</v>
      </c>
    </row>
    <row r="1214" spans="1:6" x14ac:dyDescent="0.25">
      <c r="A1214" t="s">
        <v>49</v>
      </c>
      <c r="B1214" t="s">
        <v>100</v>
      </c>
      <c r="C1214">
        <v>4.17</v>
      </c>
      <c r="D1214" s="1">
        <v>465195</v>
      </c>
      <c r="E1214" s="4">
        <v>701315.61244160729</v>
      </c>
      <c r="F1214" s="4">
        <v>325555.70019647782</v>
      </c>
    </row>
    <row r="1215" spans="1:6" x14ac:dyDescent="0.25">
      <c r="A1215" t="s">
        <v>50</v>
      </c>
      <c r="B1215" t="s">
        <v>100</v>
      </c>
      <c r="C1215">
        <v>4.71</v>
      </c>
      <c r="D1215" s="1">
        <v>516459</v>
      </c>
      <c r="E1215" s="4">
        <v>536031.18373248214</v>
      </c>
      <c r="F1215" s="4">
        <v>314066.92671538662</v>
      </c>
    </row>
    <row r="1216" spans="1:6" x14ac:dyDescent="0.25">
      <c r="A1216" t="s">
        <v>51</v>
      </c>
      <c r="B1216" t="s">
        <v>100</v>
      </c>
      <c r="C1216">
        <v>3.31</v>
      </c>
      <c r="D1216" s="1">
        <v>397527</v>
      </c>
      <c r="E1216" s="4">
        <v>522330.6551197446</v>
      </c>
      <c r="F1216" s="4">
        <v>242193.36979949765</v>
      </c>
    </row>
    <row r="1217" spans="1:6" x14ac:dyDescent="0.25">
      <c r="A1217" t="s">
        <v>52</v>
      </c>
      <c r="B1217" t="s">
        <v>100</v>
      </c>
      <c r="C1217">
        <v>3.68</v>
      </c>
      <c r="D1217" s="1">
        <v>431578</v>
      </c>
      <c r="E1217" s="4">
        <v>434968.09653592331</v>
      </c>
      <c r="F1217" s="4">
        <v>154609.1484217605</v>
      </c>
    </row>
    <row r="1218" spans="1:6" x14ac:dyDescent="0.25">
      <c r="A1218" t="s">
        <v>53</v>
      </c>
      <c r="B1218" t="s">
        <v>100</v>
      </c>
      <c r="C1218">
        <v>4.3099999999999996</v>
      </c>
      <c r="D1218" s="1">
        <v>481329</v>
      </c>
      <c r="E1218" s="4">
        <v>432595.02896077698</v>
      </c>
      <c r="F1218" s="4">
        <v>72962.354361293896</v>
      </c>
    </row>
    <row r="1219" spans="1:6" x14ac:dyDescent="0.25">
      <c r="A1219" t="s">
        <v>54</v>
      </c>
      <c r="B1219" t="s">
        <v>100</v>
      </c>
      <c r="C1219">
        <v>4.28</v>
      </c>
      <c r="D1219" s="1">
        <v>497401</v>
      </c>
      <c r="E1219" s="4">
        <v>466708.80868823308</v>
      </c>
      <c r="F1219" s="4">
        <v>77378.819278970768</v>
      </c>
    </row>
    <row r="1220" spans="1:6" x14ac:dyDescent="0.25">
      <c r="A1220" t="s">
        <v>55</v>
      </c>
      <c r="B1220" t="s">
        <v>100</v>
      </c>
      <c r="C1220">
        <v>4.72</v>
      </c>
      <c r="D1220" s="1">
        <v>575492</v>
      </c>
      <c r="E1220" s="4">
        <v>488193.34260646987</v>
      </c>
      <c r="F1220" s="4">
        <v>33309.174388311338</v>
      </c>
    </row>
    <row r="1221" spans="1:6" x14ac:dyDescent="0.25">
      <c r="A1221" t="s">
        <v>56</v>
      </c>
      <c r="B1221" t="s">
        <v>100</v>
      </c>
      <c r="C1221">
        <v>4.67</v>
      </c>
      <c r="D1221" s="1">
        <v>529815</v>
      </c>
      <c r="E1221" s="4">
        <v>549302.40278194088</v>
      </c>
      <c r="F1221" s="4">
        <v>60382.299071507376</v>
      </c>
    </row>
    <row r="1222" spans="1:6" x14ac:dyDescent="0.25">
      <c r="A1222" t="s">
        <v>57</v>
      </c>
      <c r="B1222" t="s">
        <v>100</v>
      </c>
      <c r="C1222">
        <v>1.81</v>
      </c>
      <c r="D1222" s="1">
        <v>202397</v>
      </c>
      <c r="E1222" s="4">
        <v>535661.22083458223</v>
      </c>
      <c r="F1222" s="4">
        <v>54598.000749162507</v>
      </c>
    </row>
    <row r="1223" spans="1:6" x14ac:dyDescent="0.25">
      <c r="A1223" t="s">
        <v>58</v>
      </c>
      <c r="B1223" t="s">
        <v>100</v>
      </c>
      <c r="C1223">
        <v>3.31</v>
      </c>
      <c r="D1223" s="1">
        <v>391992</v>
      </c>
      <c r="E1223" s="4">
        <v>302376.26625037467</v>
      </c>
      <c r="F1223" s="4">
        <v>199220.0252136481</v>
      </c>
    </row>
    <row r="1224" spans="1:6" x14ac:dyDescent="0.25">
      <c r="A1224" t="s">
        <v>59</v>
      </c>
      <c r="B1224" t="s">
        <v>100</v>
      </c>
      <c r="C1224">
        <v>15.09</v>
      </c>
      <c r="D1224" s="1">
        <v>1480956</v>
      </c>
      <c r="E1224" s="4">
        <v>365107.27987511235</v>
      </c>
      <c r="F1224" s="4">
        <v>199562.67143527497</v>
      </c>
    </row>
    <row r="1225" spans="1:6" x14ac:dyDescent="0.25">
      <c r="A1225" t="s">
        <v>60</v>
      </c>
      <c r="B1225" t="s">
        <v>100</v>
      </c>
      <c r="C1225">
        <v>24.48</v>
      </c>
      <c r="D1225" s="1">
        <v>1361688</v>
      </c>
      <c r="E1225" s="4">
        <v>1146201.3839625337</v>
      </c>
      <c r="F1225" s="4">
        <v>674342.73848153185</v>
      </c>
    </row>
    <row r="1226" spans="1:6" x14ac:dyDescent="0.25">
      <c r="A1226" t="s">
        <v>61</v>
      </c>
      <c r="B1226" t="s">
        <v>100</v>
      </c>
      <c r="C1226">
        <v>12.08</v>
      </c>
      <c r="D1226" s="1">
        <v>1163957</v>
      </c>
      <c r="E1226" s="4">
        <v>1297042.0151887601</v>
      </c>
      <c r="F1226" s="4">
        <v>658175.21163469134</v>
      </c>
    </row>
    <row r="1227" spans="1:6" x14ac:dyDescent="0.25">
      <c r="A1227" t="s">
        <v>62</v>
      </c>
      <c r="B1227" t="s">
        <v>100</v>
      </c>
      <c r="C1227">
        <v>4.22</v>
      </c>
      <c r="D1227" s="1">
        <v>449328</v>
      </c>
      <c r="E1227" s="4">
        <v>1203882.5045566279</v>
      </c>
      <c r="F1227" s="4">
        <v>660622.04755907168</v>
      </c>
    </row>
    <row r="1228" spans="1:6" x14ac:dyDescent="0.25">
      <c r="A1228" t="s">
        <v>63</v>
      </c>
      <c r="B1228" t="s">
        <v>100</v>
      </c>
      <c r="C1228">
        <v>2.27</v>
      </c>
      <c r="D1228" s="1">
        <v>255177</v>
      </c>
      <c r="E1228" s="4">
        <v>675694.35136698838</v>
      </c>
      <c r="F1228" s="4">
        <v>459528.23754577158</v>
      </c>
    </row>
    <row r="1229" spans="1:6" x14ac:dyDescent="0.25">
      <c r="A1229" t="s">
        <v>64</v>
      </c>
      <c r="B1229" t="s">
        <v>100</v>
      </c>
      <c r="C1229">
        <v>1.48</v>
      </c>
      <c r="D1229" s="1">
        <v>174390</v>
      </c>
      <c r="E1229" s="4">
        <v>381332.2054100965</v>
      </c>
      <c r="F1229" s="4">
        <v>504611.7201754229</v>
      </c>
    </row>
    <row r="1230" spans="1:6" x14ac:dyDescent="0.25">
      <c r="A1230" t="s">
        <v>65</v>
      </c>
      <c r="B1230" t="s">
        <v>100</v>
      </c>
      <c r="C1230">
        <v>2.0299999999999998</v>
      </c>
      <c r="D1230" s="1">
        <v>226595</v>
      </c>
      <c r="E1230" s="4">
        <v>236472.66162302892</v>
      </c>
      <c r="F1230" s="4">
        <v>512839.29241280514</v>
      </c>
    </row>
    <row r="1231" spans="1:6" x14ac:dyDescent="0.25">
      <c r="A1231" t="s">
        <v>66</v>
      </c>
      <c r="B1231" t="s">
        <v>100</v>
      </c>
      <c r="C1231">
        <v>2.57</v>
      </c>
      <c r="D1231" s="1">
        <v>301797</v>
      </c>
      <c r="E1231" s="4">
        <v>229558.29848690866</v>
      </c>
      <c r="F1231" s="4">
        <v>270651.98279946198</v>
      </c>
    </row>
    <row r="1232" spans="1:6" x14ac:dyDescent="0.25">
      <c r="A1232" t="s">
        <v>67</v>
      </c>
      <c r="B1232" t="s">
        <v>100</v>
      </c>
      <c r="C1232">
        <v>1.9</v>
      </c>
      <c r="D1232" s="1">
        <v>221625</v>
      </c>
      <c r="E1232" s="4">
        <v>280125.38954607258</v>
      </c>
      <c r="F1232" s="4">
        <v>126676.85210201998</v>
      </c>
    </row>
    <row r="1233" spans="1:6" x14ac:dyDescent="0.25">
      <c r="A1233" t="s">
        <v>68</v>
      </c>
      <c r="B1233" t="s">
        <v>100</v>
      </c>
      <c r="C1233">
        <v>0</v>
      </c>
      <c r="D1233">
        <v>0</v>
      </c>
      <c r="E1233" s="4">
        <v>239175.11686382175</v>
      </c>
      <c r="F1233" s="4">
        <v>53970.034193302738</v>
      </c>
    </row>
    <row r="1234" spans="1:6" x14ac:dyDescent="0.25">
      <c r="A1234" t="s">
        <v>69</v>
      </c>
      <c r="B1234" t="s">
        <v>100</v>
      </c>
      <c r="C1234">
        <v>2.81</v>
      </c>
      <c r="D1234" s="1">
        <v>319238</v>
      </c>
      <c r="E1234" s="4">
        <v>71752.535059146525</v>
      </c>
      <c r="F1234" s="4">
        <v>148150.21892228458</v>
      </c>
    </row>
    <row r="1235" spans="1:6" x14ac:dyDescent="0.25">
      <c r="A1235" t="s">
        <v>70</v>
      </c>
      <c r="B1235" t="s">
        <v>100</v>
      </c>
      <c r="C1235">
        <v>2.33</v>
      </c>
      <c r="D1235" s="1">
        <v>273615</v>
      </c>
      <c r="E1235" s="4">
        <v>244992.36051774395</v>
      </c>
      <c r="F1235" s="4">
        <v>201557.34292491508</v>
      </c>
    </row>
    <row r="1236" spans="1:6" x14ac:dyDescent="0.25">
      <c r="A1236" t="s">
        <v>71</v>
      </c>
      <c r="B1236" t="s">
        <v>100</v>
      </c>
      <c r="C1236">
        <v>1.57</v>
      </c>
      <c r="D1236" s="1">
        <v>181970</v>
      </c>
      <c r="E1236" s="4">
        <v>265028.20815532317</v>
      </c>
      <c r="F1236" s="4">
        <v>199393.28589059395</v>
      </c>
    </row>
    <row r="1237" spans="1:6" x14ac:dyDescent="0.25">
      <c r="A1237" t="s">
        <v>72</v>
      </c>
      <c r="B1237" t="s">
        <v>100</v>
      </c>
      <c r="C1237">
        <v>2.09</v>
      </c>
      <c r="D1237" s="1">
        <v>260053</v>
      </c>
      <c r="E1237" s="4">
        <v>206887.46244659694</v>
      </c>
      <c r="F1237" s="4">
        <v>151621.21310455937</v>
      </c>
    </row>
    <row r="1238" spans="1:6" x14ac:dyDescent="0.25">
      <c r="A1238" t="s">
        <v>73</v>
      </c>
      <c r="B1238" t="s">
        <v>100</v>
      </c>
      <c r="C1238">
        <v>6.67</v>
      </c>
      <c r="D1238" s="1">
        <v>710050</v>
      </c>
      <c r="E1238" s="4">
        <v>244103.33873397906</v>
      </c>
      <c r="F1238" s="4">
        <v>59286.018071285871</v>
      </c>
    </row>
    <row r="1239" spans="1:6" x14ac:dyDescent="0.25">
      <c r="A1239" t="s">
        <v>74</v>
      </c>
      <c r="B1239" t="s">
        <v>100</v>
      </c>
      <c r="C1239">
        <v>3.23</v>
      </c>
      <c r="D1239" s="1">
        <v>362471</v>
      </c>
      <c r="E1239" s="4">
        <v>570266.00162019371</v>
      </c>
      <c r="F1239" s="4">
        <v>274973.6541745211</v>
      </c>
    </row>
    <row r="1240" spans="1:6" x14ac:dyDescent="0.25">
      <c r="A1240" t="s">
        <v>75</v>
      </c>
      <c r="B1240" t="s">
        <v>100</v>
      </c>
      <c r="C1240">
        <v>1.03</v>
      </c>
      <c r="D1240" s="1">
        <v>126119</v>
      </c>
      <c r="E1240" s="4">
        <v>424809.50048605807</v>
      </c>
      <c r="F1240" s="4">
        <v>296148.40211546567</v>
      </c>
    </row>
    <row r="1241" spans="1:6" x14ac:dyDescent="0.25">
      <c r="A1241" t="s">
        <v>76</v>
      </c>
      <c r="B1241" t="s">
        <v>100</v>
      </c>
      <c r="C1241">
        <v>2.35</v>
      </c>
      <c r="D1241" s="1">
        <v>278631</v>
      </c>
      <c r="E1241" s="4">
        <v>215726.1501458174</v>
      </c>
      <c r="F1241" s="4">
        <v>341321.48527153512</v>
      </c>
    </row>
    <row r="1242" spans="1:6" x14ac:dyDescent="0.25">
      <c r="A1242" t="s">
        <v>77</v>
      </c>
      <c r="B1242" t="s">
        <v>100</v>
      </c>
      <c r="C1242">
        <v>2.89</v>
      </c>
      <c r="D1242" s="1">
        <v>322006</v>
      </c>
      <c r="E1242" s="4">
        <v>259759.54504374519</v>
      </c>
      <c r="F1242" s="4">
        <v>213191.46161304976</v>
      </c>
    </row>
    <row r="1243" spans="1:6" x14ac:dyDescent="0.25">
      <c r="A1243" t="s">
        <v>78</v>
      </c>
      <c r="B1243" t="s">
        <v>100</v>
      </c>
      <c r="C1243">
        <v>1.01</v>
      </c>
      <c r="D1243" s="1">
        <v>120288</v>
      </c>
      <c r="E1243" s="4">
        <v>303332.06351312355</v>
      </c>
      <c r="F1243" s="4">
        <v>179858.88576919609</v>
      </c>
    </row>
    <row r="1244" spans="1:6" x14ac:dyDescent="0.25">
      <c r="A1244" t="s">
        <v>79</v>
      </c>
      <c r="B1244" t="s">
        <v>100</v>
      </c>
      <c r="C1244">
        <v>0.46</v>
      </c>
      <c r="D1244" s="1">
        <v>58841</v>
      </c>
      <c r="E1244" s="4">
        <v>175201.21905393706</v>
      </c>
      <c r="F1244" s="4">
        <v>117383.65939260133</v>
      </c>
    </row>
    <row r="1245" spans="1:6" x14ac:dyDescent="0.25">
      <c r="A1245" t="s">
        <v>80</v>
      </c>
      <c r="B1245" t="s">
        <v>100</v>
      </c>
      <c r="C1245">
        <v>1.59</v>
      </c>
      <c r="D1245" s="1">
        <v>194780</v>
      </c>
      <c r="E1245" s="4">
        <v>93749.065716181125</v>
      </c>
      <c r="F1245" s="4">
        <v>130281.04354343303</v>
      </c>
    </row>
    <row r="1246" spans="1:6" x14ac:dyDescent="0.25">
      <c r="A1246" t="s">
        <v>81</v>
      </c>
      <c r="B1246" t="s">
        <v>100</v>
      </c>
      <c r="C1246">
        <v>1.48</v>
      </c>
      <c r="D1246" s="1">
        <v>173708</v>
      </c>
      <c r="E1246" s="4">
        <v>164470.71971485435</v>
      </c>
      <c r="F1246" s="4">
        <v>138144.94736560577</v>
      </c>
    </row>
    <row r="1247" spans="1:6" x14ac:dyDescent="0.25">
      <c r="A1247" t="s">
        <v>82</v>
      </c>
      <c r="B1247" t="s">
        <v>100</v>
      </c>
      <c r="C1247">
        <v>0.92</v>
      </c>
      <c r="D1247" s="1">
        <v>117204</v>
      </c>
      <c r="E1247" s="4">
        <v>170936.8159144563</v>
      </c>
      <c r="F1247" s="4">
        <v>89129.638930432659</v>
      </c>
    </row>
    <row r="1248" spans="1:6" x14ac:dyDescent="0.25">
      <c r="A1248" t="s">
        <v>83</v>
      </c>
      <c r="B1248" t="s">
        <v>100</v>
      </c>
      <c r="C1248">
        <v>11.35</v>
      </c>
      <c r="D1248" s="1">
        <v>1248283</v>
      </c>
      <c r="E1248" s="4">
        <v>133323.84477433687</v>
      </c>
      <c r="F1248" s="4">
        <v>66281.703195337701</v>
      </c>
    </row>
    <row r="1249" spans="1:6" x14ac:dyDescent="0.25">
      <c r="A1249" t="s">
        <v>84</v>
      </c>
      <c r="B1249" t="s">
        <v>100</v>
      </c>
      <c r="C1249">
        <v>1.18</v>
      </c>
      <c r="D1249" s="1">
        <v>146998</v>
      </c>
      <c r="E1249" s="4">
        <v>913795.25343230099</v>
      </c>
      <c r="F1249" s="4">
        <v>644491.13277445175</v>
      </c>
    </row>
    <row r="1250" spans="1:6" x14ac:dyDescent="0.25">
      <c r="A1250" t="s">
        <v>7</v>
      </c>
      <c r="B1250" t="s">
        <v>101</v>
      </c>
      <c r="C1250">
        <v>3.59</v>
      </c>
      <c r="D1250" s="1">
        <v>6364</v>
      </c>
      <c r="E1250" s="4">
        <v>377037.17602969025</v>
      </c>
      <c r="F1250" s="4">
        <v>781877.90206206788</v>
      </c>
    </row>
    <row r="1251" spans="1:6" x14ac:dyDescent="0.25">
      <c r="A1251" t="s">
        <v>10</v>
      </c>
      <c r="B1251" t="s">
        <v>101</v>
      </c>
      <c r="C1251">
        <v>6.19</v>
      </c>
      <c r="D1251" s="1">
        <v>11060</v>
      </c>
      <c r="E1251" s="4">
        <v>117565.95280890708</v>
      </c>
      <c r="F1251" s="4">
        <v>810043.32170585846</v>
      </c>
    </row>
    <row r="1252" spans="1:6" x14ac:dyDescent="0.25">
      <c r="A1252" t="s">
        <v>11</v>
      </c>
      <c r="B1252" t="s">
        <v>101</v>
      </c>
      <c r="C1252">
        <v>7.77</v>
      </c>
      <c r="D1252" s="1">
        <v>12904</v>
      </c>
      <c r="E1252" s="4">
        <v>43011.785842672121</v>
      </c>
      <c r="F1252" s="4">
        <v>495553.61273461668</v>
      </c>
    </row>
    <row r="1253" spans="1:6" x14ac:dyDescent="0.25">
      <c r="A1253" t="s">
        <v>12</v>
      </c>
      <c r="B1253" t="s">
        <v>101</v>
      </c>
      <c r="C1253">
        <v>3.05</v>
      </c>
      <c r="D1253" s="1">
        <v>5727</v>
      </c>
      <c r="E1253" s="4">
        <v>21936.335752801635</v>
      </c>
      <c r="F1253" s="4">
        <v>223344.72621190996</v>
      </c>
    </row>
    <row r="1254" spans="1:6" x14ac:dyDescent="0.25">
      <c r="A1254" t="s">
        <v>13</v>
      </c>
      <c r="B1254" t="s">
        <v>101</v>
      </c>
      <c r="C1254">
        <v>3.09</v>
      </c>
      <c r="D1254" s="1">
        <v>5305</v>
      </c>
      <c r="E1254" s="4">
        <v>10589.80072584049</v>
      </c>
      <c r="F1254" s="4">
        <v>64582.606837105406</v>
      </c>
    </row>
    <row r="1255" spans="1:6" x14ac:dyDescent="0.25">
      <c r="A1255" t="s">
        <v>14</v>
      </c>
      <c r="B1255" t="s">
        <v>101</v>
      </c>
      <c r="C1255">
        <v>3.68</v>
      </c>
      <c r="D1255" s="1">
        <v>6297</v>
      </c>
      <c r="E1255" s="4">
        <v>6890.4402177521461</v>
      </c>
      <c r="F1255" s="4">
        <v>19976.239657879436</v>
      </c>
    </row>
    <row r="1256" spans="1:6" x14ac:dyDescent="0.25">
      <c r="A1256" t="s">
        <v>15</v>
      </c>
      <c r="B1256" t="s">
        <v>101</v>
      </c>
      <c r="C1256">
        <v>6.29</v>
      </c>
      <c r="D1256" s="1">
        <v>10438</v>
      </c>
      <c r="E1256" s="4">
        <v>6475.032065325644</v>
      </c>
      <c r="F1256" s="4">
        <v>9849.2614875590752</v>
      </c>
    </row>
    <row r="1257" spans="1:6" x14ac:dyDescent="0.25">
      <c r="A1257" t="s">
        <v>16</v>
      </c>
      <c r="B1257" t="s">
        <v>101</v>
      </c>
      <c r="C1257">
        <v>3.33</v>
      </c>
      <c r="D1257" s="1">
        <v>6345</v>
      </c>
      <c r="E1257" s="4">
        <v>9249.1096195976934</v>
      </c>
      <c r="F1257" s="4">
        <v>3829.1167325788952</v>
      </c>
    </row>
    <row r="1258" spans="1:6" x14ac:dyDescent="0.25">
      <c r="A1258" t="s">
        <v>17</v>
      </c>
      <c r="B1258" t="s">
        <v>101</v>
      </c>
      <c r="C1258">
        <v>2.2200000000000002</v>
      </c>
      <c r="D1258" s="1">
        <v>4227</v>
      </c>
      <c r="E1258" s="4">
        <v>7216.232885879308</v>
      </c>
      <c r="F1258" s="4">
        <v>2857.2211923442155</v>
      </c>
    </row>
    <row r="1259" spans="1:6" x14ac:dyDescent="0.25">
      <c r="A1259" t="s">
        <v>18</v>
      </c>
      <c r="B1259" t="s">
        <v>101</v>
      </c>
      <c r="C1259">
        <v>2.71</v>
      </c>
      <c r="D1259" s="1">
        <v>5244</v>
      </c>
      <c r="E1259" s="4">
        <v>5123.769865763792</v>
      </c>
      <c r="F1259" s="4">
        <v>3320.365480883057</v>
      </c>
    </row>
    <row r="1260" spans="1:6" x14ac:dyDescent="0.25">
      <c r="A1260" t="s">
        <v>19</v>
      </c>
      <c r="B1260" t="s">
        <v>101</v>
      </c>
      <c r="C1260">
        <v>2.73</v>
      </c>
      <c r="D1260" s="1">
        <v>4689</v>
      </c>
      <c r="E1260" s="4">
        <v>5207.9309597291376</v>
      </c>
      <c r="F1260" s="4">
        <v>2407.1990094880434</v>
      </c>
    </row>
    <row r="1261" spans="1:6" x14ac:dyDescent="0.25">
      <c r="A1261" t="s">
        <v>20</v>
      </c>
      <c r="B1261" t="s">
        <v>101</v>
      </c>
      <c r="C1261">
        <v>2.38</v>
      </c>
      <c r="D1261" s="1">
        <v>4864</v>
      </c>
      <c r="E1261" s="4">
        <v>4844.6792879187415</v>
      </c>
      <c r="F1261" s="4">
        <v>1753.0219500590208</v>
      </c>
    </row>
    <row r="1262" spans="1:6" x14ac:dyDescent="0.25">
      <c r="A1262" t="s">
        <v>21</v>
      </c>
      <c r="B1262" t="s">
        <v>101</v>
      </c>
      <c r="C1262">
        <v>0.64</v>
      </c>
      <c r="D1262" s="1">
        <v>1178</v>
      </c>
      <c r="E1262" s="4">
        <v>4858.2037863756223</v>
      </c>
      <c r="F1262" s="4">
        <v>307.74335414388577</v>
      </c>
    </row>
    <row r="1263" spans="1:6" x14ac:dyDescent="0.25">
      <c r="A1263" t="s">
        <v>22</v>
      </c>
      <c r="B1263" t="s">
        <v>101</v>
      </c>
      <c r="C1263">
        <v>1</v>
      </c>
      <c r="D1263" s="1">
        <v>1933</v>
      </c>
      <c r="E1263" s="4">
        <v>2282.0611359126865</v>
      </c>
      <c r="F1263" s="4">
        <v>2145.8147279556542</v>
      </c>
    </row>
    <row r="1264" spans="1:6" x14ac:dyDescent="0.25">
      <c r="A1264" t="s">
        <v>23</v>
      </c>
      <c r="B1264" t="s">
        <v>101</v>
      </c>
      <c r="C1264">
        <v>2.2200000000000002</v>
      </c>
      <c r="D1264" s="1">
        <v>3693</v>
      </c>
      <c r="E1264" s="4">
        <v>2037.7183407738057</v>
      </c>
      <c r="F1264" s="4">
        <v>2134.3318139231496</v>
      </c>
    </row>
    <row r="1265" spans="1:6" x14ac:dyDescent="0.25">
      <c r="A1265" t="s">
        <v>24</v>
      </c>
      <c r="B1265" t="s">
        <v>101</v>
      </c>
      <c r="C1265">
        <v>6.58</v>
      </c>
      <c r="D1265" s="1">
        <v>12404</v>
      </c>
      <c r="E1265" s="4">
        <v>3196.4155022321415</v>
      </c>
      <c r="F1265" s="4">
        <v>2338.4967363122223</v>
      </c>
    </row>
    <row r="1266" spans="1:6" x14ac:dyDescent="0.25">
      <c r="A1266" t="s">
        <v>25</v>
      </c>
      <c r="B1266" t="s">
        <v>101</v>
      </c>
      <c r="C1266">
        <v>1.33</v>
      </c>
      <c r="D1266" s="1">
        <v>2454</v>
      </c>
      <c r="E1266" s="4">
        <v>9641.7246506696411</v>
      </c>
      <c r="F1266" s="4">
        <v>5404.9795969861671</v>
      </c>
    </row>
    <row r="1267" spans="1:6" x14ac:dyDescent="0.25">
      <c r="A1267" t="s">
        <v>26</v>
      </c>
      <c r="B1267" t="s">
        <v>101</v>
      </c>
      <c r="C1267">
        <v>0.57999999999999996</v>
      </c>
      <c r="D1267" s="1">
        <v>1062</v>
      </c>
      <c r="E1267" s="4">
        <v>4610.317395200892</v>
      </c>
      <c r="F1267" s="4">
        <v>6811.3374924643012</v>
      </c>
    </row>
    <row r="1268" spans="1:6" x14ac:dyDescent="0.25">
      <c r="A1268" t="s">
        <v>27</v>
      </c>
      <c r="B1268" t="s">
        <v>101</v>
      </c>
      <c r="C1268">
        <v>3.76</v>
      </c>
      <c r="D1268" s="1">
        <v>5959</v>
      </c>
      <c r="E1268" s="4">
        <v>2126.4952185602674</v>
      </c>
      <c r="F1268" s="4">
        <v>7048.2516573134226</v>
      </c>
    </row>
    <row r="1269" spans="1:6" x14ac:dyDescent="0.25">
      <c r="A1269" t="s">
        <v>28</v>
      </c>
      <c r="B1269" t="s">
        <v>101</v>
      </c>
      <c r="C1269">
        <v>5.92</v>
      </c>
      <c r="D1269" s="1">
        <v>10699</v>
      </c>
      <c r="E1269" s="4">
        <v>4809.2485655680803</v>
      </c>
      <c r="F1269" s="4">
        <v>5129.7184747536803</v>
      </c>
    </row>
    <row r="1270" spans="1:6" x14ac:dyDescent="0.25">
      <c r="A1270" t="s">
        <v>29</v>
      </c>
      <c r="B1270" t="s">
        <v>101</v>
      </c>
      <c r="C1270">
        <v>4.5199999999999996</v>
      </c>
      <c r="D1270" s="1">
        <v>7558</v>
      </c>
      <c r="E1270" s="4">
        <v>8932.0745696704234</v>
      </c>
      <c r="F1270" s="4">
        <v>4544.8806803639527</v>
      </c>
    </row>
    <row r="1271" spans="1:6" x14ac:dyDescent="0.25">
      <c r="A1271" t="s">
        <v>30</v>
      </c>
      <c r="B1271" t="s">
        <v>101</v>
      </c>
      <c r="C1271">
        <v>1.67</v>
      </c>
      <c r="D1271" s="1">
        <v>3178</v>
      </c>
      <c r="E1271" s="4">
        <v>7970.2223709011269</v>
      </c>
      <c r="F1271" s="4">
        <v>4133.8176778923635</v>
      </c>
    </row>
    <row r="1272" spans="1:6" x14ac:dyDescent="0.25">
      <c r="A1272" t="s">
        <v>31</v>
      </c>
      <c r="B1272" t="s">
        <v>101</v>
      </c>
      <c r="C1272">
        <v>3.08</v>
      </c>
      <c r="D1272" s="1">
        <v>4664</v>
      </c>
      <c r="E1272" s="4">
        <v>4615.6667112703381</v>
      </c>
      <c r="F1272" s="4">
        <v>4455.0588523824254</v>
      </c>
    </row>
    <row r="1273" spans="1:6" x14ac:dyDescent="0.25">
      <c r="A1273" t="s">
        <v>32</v>
      </c>
      <c r="B1273" t="s">
        <v>101</v>
      </c>
      <c r="C1273">
        <v>4.55</v>
      </c>
      <c r="D1273" s="1">
        <v>8411</v>
      </c>
      <c r="E1273" s="4">
        <v>4649.5000133811009</v>
      </c>
      <c r="F1273" s="4">
        <v>2878.4146262586746</v>
      </c>
    </row>
    <row r="1274" spans="1:6" x14ac:dyDescent="0.25">
      <c r="A1274" t="s">
        <v>33</v>
      </c>
      <c r="B1274" t="s">
        <v>101</v>
      </c>
      <c r="C1274">
        <v>2.35</v>
      </c>
      <c r="D1274" s="1">
        <v>4083</v>
      </c>
      <c r="E1274" s="4">
        <v>7282.5500040143297</v>
      </c>
      <c r="F1274" s="4">
        <v>3517.4144627504743</v>
      </c>
    </row>
    <row r="1275" spans="1:6" x14ac:dyDescent="0.25">
      <c r="A1275" t="s">
        <v>34</v>
      </c>
      <c r="B1275" t="s">
        <v>101</v>
      </c>
      <c r="C1275">
        <v>0</v>
      </c>
      <c r="D1275">
        <v>0</v>
      </c>
      <c r="E1275" s="4">
        <v>5042.8650012042981</v>
      </c>
      <c r="F1275" s="4">
        <v>2851.2183643910021</v>
      </c>
    </row>
    <row r="1276" spans="1:6" x14ac:dyDescent="0.25">
      <c r="A1276" t="s">
        <v>35</v>
      </c>
      <c r="B1276" t="s">
        <v>101</v>
      </c>
      <c r="C1276">
        <v>1.98</v>
      </c>
      <c r="D1276" s="1">
        <v>3030</v>
      </c>
      <c r="E1276" s="4">
        <v>1512.8595003612893</v>
      </c>
      <c r="F1276" s="4">
        <v>4074.984245282154</v>
      </c>
    </row>
    <row r="1277" spans="1:6" x14ac:dyDescent="0.25">
      <c r="A1277" t="s">
        <v>36</v>
      </c>
      <c r="B1277" t="s">
        <v>101</v>
      </c>
      <c r="C1277">
        <v>1.68</v>
      </c>
      <c r="D1277" s="1">
        <v>3244</v>
      </c>
      <c r="E1277" s="4">
        <v>2574.8578501083866</v>
      </c>
      <c r="F1277" s="4">
        <v>3557.5892091978676</v>
      </c>
    </row>
    <row r="1278" spans="1:6" x14ac:dyDescent="0.25">
      <c r="A1278" t="s">
        <v>37</v>
      </c>
      <c r="B1278" t="s">
        <v>101</v>
      </c>
      <c r="C1278">
        <v>2.0699999999999998</v>
      </c>
      <c r="D1278" s="1">
        <v>3779</v>
      </c>
      <c r="E1278" s="4">
        <v>3043.2573550325155</v>
      </c>
      <c r="F1278" s="4">
        <v>3064.8520319245863</v>
      </c>
    </row>
    <row r="1279" spans="1:6" x14ac:dyDescent="0.25">
      <c r="A1279" t="s">
        <v>38</v>
      </c>
      <c r="B1279" t="s">
        <v>101</v>
      </c>
      <c r="C1279">
        <v>0</v>
      </c>
      <c r="D1279">
        <v>0</v>
      </c>
      <c r="E1279" s="4">
        <v>3558.2772065097543</v>
      </c>
      <c r="F1279" s="4">
        <v>1047.3432662423079</v>
      </c>
    </row>
    <row r="1280" spans="1:6" x14ac:dyDescent="0.25">
      <c r="A1280" t="s">
        <v>39</v>
      </c>
      <c r="B1280" t="s">
        <v>101</v>
      </c>
      <c r="C1280">
        <v>1.63</v>
      </c>
      <c r="D1280" s="1">
        <v>2370</v>
      </c>
      <c r="E1280" s="4">
        <v>1067.4831619529261</v>
      </c>
      <c r="F1280" s="4">
        <v>2133.1045555521637</v>
      </c>
    </row>
    <row r="1281" spans="1:6" x14ac:dyDescent="0.25">
      <c r="A1281" t="s">
        <v>40</v>
      </c>
      <c r="B1281" t="s">
        <v>101</v>
      </c>
      <c r="C1281">
        <v>0</v>
      </c>
      <c r="D1281">
        <v>0</v>
      </c>
      <c r="E1281" s="4">
        <v>1979.2449485858779</v>
      </c>
      <c r="F1281" s="4">
        <v>2228.5424258460025</v>
      </c>
    </row>
    <row r="1282" spans="1:6" x14ac:dyDescent="0.25">
      <c r="A1282" t="s">
        <v>41</v>
      </c>
      <c r="B1282" t="s">
        <v>101</v>
      </c>
      <c r="C1282">
        <v>3.29</v>
      </c>
      <c r="D1282" s="1">
        <v>5539</v>
      </c>
      <c r="E1282" s="4">
        <v>593.77348457576329</v>
      </c>
      <c r="F1282" s="4">
        <v>2468.1502762369582</v>
      </c>
    </row>
    <row r="1283" spans="1:6" x14ac:dyDescent="0.25">
      <c r="A1283" t="s">
        <v>42</v>
      </c>
      <c r="B1283" t="s">
        <v>101</v>
      </c>
      <c r="C1283">
        <v>0.56000000000000005</v>
      </c>
      <c r="D1283" s="1">
        <v>1033</v>
      </c>
      <c r="E1283" s="4">
        <v>4055.4320453727287</v>
      </c>
      <c r="F1283" s="4">
        <v>3165.9240867269596</v>
      </c>
    </row>
    <row r="1284" spans="1:6" x14ac:dyDescent="0.25">
      <c r="A1284" t="s">
        <v>43</v>
      </c>
      <c r="B1284" t="s">
        <v>101</v>
      </c>
      <c r="C1284">
        <v>0</v>
      </c>
      <c r="D1284">
        <v>0</v>
      </c>
      <c r="E1284" s="4">
        <v>1939.7296136118184</v>
      </c>
      <c r="F1284" s="4">
        <v>3535.900230693434</v>
      </c>
    </row>
    <row r="1285" spans="1:6" x14ac:dyDescent="0.25">
      <c r="A1285" t="s">
        <v>44</v>
      </c>
      <c r="B1285" t="s">
        <v>101</v>
      </c>
      <c r="C1285">
        <v>0</v>
      </c>
      <c r="D1285">
        <v>0</v>
      </c>
      <c r="E1285" s="4">
        <v>581.91888408354555</v>
      </c>
      <c r="F1285" s="4">
        <v>3528.5932858895089</v>
      </c>
    </row>
    <row r="1286" spans="1:6" x14ac:dyDescent="0.25">
      <c r="A1286" t="s">
        <v>45</v>
      </c>
      <c r="B1286" t="s">
        <v>101</v>
      </c>
      <c r="C1286">
        <v>0.59</v>
      </c>
      <c r="D1286" s="1">
        <v>1054</v>
      </c>
      <c r="E1286" s="4">
        <v>174.57566522506366</v>
      </c>
      <c r="F1286" s="4">
        <v>2100.4980385987565</v>
      </c>
    </row>
    <row r="1287" spans="1:6" x14ac:dyDescent="0.25">
      <c r="A1287" t="s">
        <v>46</v>
      </c>
      <c r="B1287" t="s">
        <v>101</v>
      </c>
      <c r="C1287">
        <v>0</v>
      </c>
      <c r="D1287">
        <v>0</v>
      </c>
      <c r="E1287" s="4">
        <v>790.17269956751909</v>
      </c>
      <c r="F1287" s="4">
        <v>1274.6983593737032</v>
      </c>
    </row>
    <row r="1288" spans="1:6" x14ac:dyDescent="0.25">
      <c r="A1288" t="s">
        <v>47</v>
      </c>
      <c r="B1288" t="s">
        <v>101</v>
      </c>
      <c r="C1288">
        <v>0.9</v>
      </c>
      <c r="D1288" s="1">
        <v>1239</v>
      </c>
      <c r="E1288" s="4">
        <v>237.05180987025571</v>
      </c>
      <c r="F1288" s="4">
        <v>760.78679523004325</v>
      </c>
    </row>
    <row r="1289" spans="1:6" x14ac:dyDescent="0.25">
      <c r="A1289" t="s">
        <v>48</v>
      </c>
      <c r="B1289" t="s">
        <v>101</v>
      </c>
      <c r="C1289">
        <v>0</v>
      </c>
      <c r="D1289">
        <v>0</v>
      </c>
      <c r="E1289" s="4">
        <v>938.41554296107665</v>
      </c>
      <c r="F1289" s="4">
        <v>894.73650337970651</v>
      </c>
    </row>
    <row r="1290" spans="1:6" x14ac:dyDescent="0.25">
      <c r="A1290" t="s">
        <v>49</v>
      </c>
      <c r="B1290" t="s">
        <v>101</v>
      </c>
      <c r="C1290">
        <v>0</v>
      </c>
      <c r="D1290">
        <v>0</v>
      </c>
      <c r="E1290" s="4">
        <v>281.52466288832301</v>
      </c>
      <c r="F1290" s="4">
        <v>914.49381301297376</v>
      </c>
    </row>
    <row r="1291" spans="1:6" x14ac:dyDescent="0.25">
      <c r="A1291" t="s">
        <v>50</v>
      </c>
      <c r="B1291" t="s">
        <v>101</v>
      </c>
      <c r="C1291">
        <v>0</v>
      </c>
      <c r="D1291">
        <v>0</v>
      </c>
      <c r="E1291" s="4">
        <v>84.457398866496902</v>
      </c>
      <c r="F1291" s="4">
        <v>809.06943311221983</v>
      </c>
    </row>
    <row r="1292" spans="1:6" x14ac:dyDescent="0.25">
      <c r="A1292" t="s">
        <v>51</v>
      </c>
      <c r="B1292" t="s">
        <v>101</v>
      </c>
      <c r="C1292">
        <v>0</v>
      </c>
      <c r="D1292">
        <v>0</v>
      </c>
      <c r="E1292" s="4">
        <v>25.337219659949071</v>
      </c>
      <c r="F1292" s="4">
        <v>567.74786637162879</v>
      </c>
    </row>
    <row r="1293" spans="1:6" x14ac:dyDescent="0.25">
      <c r="A1293" t="s">
        <v>52</v>
      </c>
      <c r="B1293" t="s">
        <v>101</v>
      </c>
      <c r="C1293">
        <v>4.8499999999999996</v>
      </c>
      <c r="D1293" s="1">
        <v>8921</v>
      </c>
      <c r="E1293" s="4">
        <v>7.6011658979847212</v>
      </c>
      <c r="F1293" s="4">
        <v>170.32435991148867</v>
      </c>
    </row>
    <row r="1294" spans="1:6" x14ac:dyDescent="0.25">
      <c r="A1294" t="s">
        <v>53</v>
      </c>
      <c r="B1294" t="s">
        <v>101</v>
      </c>
      <c r="C1294">
        <v>0</v>
      </c>
      <c r="D1294">
        <v>0</v>
      </c>
      <c r="E1294" s="4">
        <v>6246.9803497693956</v>
      </c>
      <c r="F1294" s="4">
        <v>5146.40501718415</v>
      </c>
    </row>
    <row r="1295" spans="1:6" x14ac:dyDescent="0.25">
      <c r="A1295" t="s">
        <v>54</v>
      </c>
      <c r="B1295" t="s">
        <v>101</v>
      </c>
      <c r="C1295">
        <v>1.18</v>
      </c>
      <c r="D1295" s="1">
        <v>2127</v>
      </c>
      <c r="E1295" s="4">
        <v>1874.0941049308185</v>
      </c>
      <c r="F1295" s="4">
        <v>6284.2152583775651</v>
      </c>
    </row>
    <row r="1296" spans="1:6" x14ac:dyDescent="0.25">
      <c r="A1296" t="s">
        <v>55</v>
      </c>
      <c r="B1296" t="s">
        <v>101</v>
      </c>
      <c r="C1296">
        <v>0</v>
      </c>
      <c r="D1296">
        <v>0</v>
      </c>
      <c r="E1296" s="4">
        <v>2051.1282314792452</v>
      </c>
      <c r="F1296" s="4">
        <v>6285.8943584806575</v>
      </c>
    </row>
    <row r="1297" spans="1:6" x14ac:dyDescent="0.25">
      <c r="A1297" t="s">
        <v>56</v>
      </c>
      <c r="B1297" t="s">
        <v>101</v>
      </c>
      <c r="C1297">
        <v>1.99</v>
      </c>
      <c r="D1297" s="1">
        <v>3598</v>
      </c>
      <c r="E1297" s="4">
        <v>615.33846944377353</v>
      </c>
      <c r="F1297" s="4">
        <v>3798.9407253486193</v>
      </c>
    </row>
    <row r="1298" spans="1:6" x14ac:dyDescent="0.25">
      <c r="A1298" t="s">
        <v>57</v>
      </c>
      <c r="B1298" t="s">
        <v>101</v>
      </c>
      <c r="C1298">
        <v>0.57999999999999996</v>
      </c>
      <c r="D1298" s="1">
        <v>1022</v>
      </c>
      <c r="E1298" s="4">
        <v>2703.2015408331317</v>
      </c>
      <c r="F1298" s="4">
        <v>2095.0225312704024</v>
      </c>
    </row>
    <row r="1299" spans="1:6" x14ac:dyDescent="0.25">
      <c r="A1299" t="s">
        <v>58</v>
      </c>
      <c r="B1299" t="s">
        <v>101</v>
      </c>
      <c r="C1299">
        <v>1.74</v>
      </c>
      <c r="D1299" s="1">
        <v>3195</v>
      </c>
      <c r="E1299" s="4">
        <v>1526.3604622499395</v>
      </c>
      <c r="F1299" s="4">
        <v>2304.331822801777</v>
      </c>
    </row>
    <row r="1300" spans="1:6" x14ac:dyDescent="0.25">
      <c r="A1300" t="s">
        <v>59</v>
      </c>
      <c r="B1300" t="s">
        <v>101</v>
      </c>
      <c r="C1300">
        <v>2.31</v>
      </c>
      <c r="D1300" s="1">
        <v>3284</v>
      </c>
      <c r="E1300" s="4">
        <v>2694.4081386749817</v>
      </c>
      <c r="F1300" s="4">
        <v>2199.0199585044274</v>
      </c>
    </row>
    <row r="1301" spans="1:6" x14ac:dyDescent="0.25">
      <c r="A1301" t="s">
        <v>60</v>
      </c>
      <c r="B1301" t="s">
        <v>101</v>
      </c>
      <c r="C1301">
        <v>74.510000000000005</v>
      </c>
      <c r="D1301" s="1">
        <v>36823</v>
      </c>
      <c r="E1301" s="4">
        <v>3107.1224416024943</v>
      </c>
      <c r="F1301" s="4">
        <v>1409.3042125795187</v>
      </c>
    </row>
    <row r="1302" spans="1:6" x14ac:dyDescent="0.25">
      <c r="A1302" t="s">
        <v>64</v>
      </c>
      <c r="B1302" t="s">
        <v>101</v>
      </c>
      <c r="C1302">
        <v>3.28</v>
      </c>
      <c r="D1302" s="1">
        <v>5342</v>
      </c>
      <c r="E1302" s="4">
        <v>26708.236732480746</v>
      </c>
      <c r="F1302" s="4">
        <v>19492.668502138065</v>
      </c>
    </row>
    <row r="1303" spans="1:6" x14ac:dyDescent="0.25">
      <c r="A1303" t="s">
        <v>65</v>
      </c>
      <c r="B1303" t="s">
        <v>101</v>
      </c>
      <c r="C1303">
        <v>9.49</v>
      </c>
      <c r="D1303" s="1">
        <v>16566</v>
      </c>
      <c r="E1303" s="4">
        <v>11751.871019744223</v>
      </c>
      <c r="F1303" s="4">
        <v>23047.950669594629</v>
      </c>
    </row>
    <row r="1304" spans="1:6" x14ac:dyDescent="0.25">
      <c r="A1304" t="s">
        <v>66</v>
      </c>
      <c r="B1304" t="s">
        <v>101</v>
      </c>
      <c r="C1304">
        <v>7.84</v>
      </c>
      <c r="D1304" s="1">
        <v>12062</v>
      </c>
      <c r="E1304" s="4">
        <v>15121.761305923266</v>
      </c>
      <c r="F1304" s="4">
        <v>23212.441416043828</v>
      </c>
    </row>
    <row r="1305" spans="1:6" x14ac:dyDescent="0.25">
      <c r="A1305" t="s">
        <v>67</v>
      </c>
      <c r="B1305" t="s">
        <v>101</v>
      </c>
      <c r="C1305">
        <v>2.48</v>
      </c>
      <c r="D1305" s="1">
        <v>3434</v>
      </c>
      <c r="E1305" s="4">
        <v>12979.928391776979</v>
      </c>
      <c r="F1305" s="4">
        <v>12767.850891936529</v>
      </c>
    </row>
    <row r="1306" spans="1:6" x14ac:dyDescent="0.25">
      <c r="A1306" t="s">
        <v>68</v>
      </c>
      <c r="B1306" t="s">
        <v>101</v>
      </c>
      <c r="C1306">
        <v>0</v>
      </c>
      <c r="D1306">
        <v>0</v>
      </c>
      <c r="E1306" s="4">
        <v>6297.7785175330937</v>
      </c>
      <c r="F1306" s="4">
        <v>6420.3511313296458</v>
      </c>
    </row>
    <row r="1307" spans="1:6" x14ac:dyDescent="0.25">
      <c r="A1307" t="s">
        <v>69</v>
      </c>
      <c r="B1307" t="s">
        <v>101</v>
      </c>
      <c r="C1307">
        <v>8.75</v>
      </c>
      <c r="D1307" s="1">
        <v>13821</v>
      </c>
      <c r="E1307" s="4">
        <v>1889.3335552599281</v>
      </c>
      <c r="F1307" s="4">
        <v>6834.9323909375144</v>
      </c>
    </row>
    <row r="1308" spans="1:6" x14ac:dyDescent="0.25">
      <c r="A1308" t="s">
        <v>70</v>
      </c>
      <c r="B1308" t="s">
        <v>101</v>
      </c>
      <c r="C1308">
        <v>7.86</v>
      </c>
      <c r="D1308" s="1">
        <v>11467</v>
      </c>
      <c r="E1308" s="4">
        <v>10241.500066577977</v>
      </c>
      <c r="F1308" s="4">
        <v>9542.0372958359258</v>
      </c>
    </row>
    <row r="1309" spans="1:6" x14ac:dyDescent="0.25">
      <c r="A1309" t="s">
        <v>71</v>
      </c>
      <c r="B1309" t="s">
        <v>101</v>
      </c>
      <c r="C1309">
        <v>1.64</v>
      </c>
      <c r="D1309" s="1">
        <v>2338</v>
      </c>
      <c r="E1309" s="4">
        <v>11099.350019973394</v>
      </c>
      <c r="F1309" s="4">
        <v>7821.5200673367599</v>
      </c>
    </row>
    <row r="1310" spans="1:6" x14ac:dyDescent="0.25">
      <c r="A1310" t="s">
        <v>72</v>
      </c>
      <c r="B1310" t="s">
        <v>101</v>
      </c>
      <c r="C1310">
        <v>1.71</v>
      </c>
      <c r="D1310" s="1">
        <v>2686</v>
      </c>
      <c r="E1310" s="4">
        <v>4966.4050059920173</v>
      </c>
      <c r="F1310" s="4">
        <v>8575.6976083162153</v>
      </c>
    </row>
    <row r="1311" spans="1:6" x14ac:dyDescent="0.25">
      <c r="A1311" t="s">
        <v>73</v>
      </c>
      <c r="B1311" t="s">
        <v>101</v>
      </c>
      <c r="C1311">
        <v>12.62</v>
      </c>
      <c r="D1311" s="1">
        <v>19528</v>
      </c>
      <c r="E1311" s="4">
        <v>3370.1215017976047</v>
      </c>
      <c r="F1311" s="4">
        <v>5274.5726920341967</v>
      </c>
    </row>
    <row r="1312" spans="1:6" x14ac:dyDescent="0.25">
      <c r="A1312" t="s">
        <v>74</v>
      </c>
      <c r="B1312" t="s">
        <v>101</v>
      </c>
      <c r="C1312">
        <v>54.35</v>
      </c>
      <c r="D1312" s="1">
        <v>36870</v>
      </c>
      <c r="E1312" s="4">
        <v>14680.636450539279</v>
      </c>
      <c r="F1312" s="4">
        <v>10693.277307519158</v>
      </c>
    </row>
    <row r="1313" spans="1:6" x14ac:dyDescent="0.25">
      <c r="A1313" t="s">
        <v>75</v>
      </c>
      <c r="B1313" t="s">
        <v>101</v>
      </c>
      <c r="C1313">
        <v>14.29</v>
      </c>
      <c r="D1313" s="1">
        <v>19382</v>
      </c>
      <c r="E1313" s="4">
        <v>30213.190935161783</v>
      </c>
      <c r="F1313" s="4">
        <v>15902.254968862759</v>
      </c>
    </row>
    <row r="1314" spans="1:6" x14ac:dyDescent="0.25">
      <c r="A1314" t="s">
        <v>76</v>
      </c>
      <c r="B1314" t="s">
        <v>101</v>
      </c>
      <c r="C1314">
        <v>11.81</v>
      </c>
      <c r="D1314" s="1">
        <v>19208</v>
      </c>
      <c r="E1314" s="4">
        <v>22631.357280548535</v>
      </c>
      <c r="F1314" s="4">
        <v>17036.81884788294</v>
      </c>
    </row>
    <row r="1315" spans="1:6" x14ac:dyDescent="0.25">
      <c r="A1315" t="s">
        <v>77</v>
      </c>
      <c r="B1315" t="s">
        <v>101</v>
      </c>
      <c r="C1315">
        <v>11.54</v>
      </c>
      <c r="D1315" s="1">
        <v>17627</v>
      </c>
      <c r="E1315" s="4">
        <v>20235.007184164559</v>
      </c>
      <c r="F1315" s="4">
        <v>14392.149791632375</v>
      </c>
    </row>
    <row r="1316" spans="1:6" x14ac:dyDescent="0.25">
      <c r="A1316" t="s">
        <v>78</v>
      </c>
      <c r="B1316" t="s">
        <v>101</v>
      </c>
      <c r="C1316">
        <v>13.33</v>
      </c>
      <c r="D1316" s="1">
        <v>20044</v>
      </c>
      <c r="E1316" s="4">
        <v>18409.402155249365</v>
      </c>
      <c r="F1316" s="4">
        <v>6728.9368555235478</v>
      </c>
    </row>
    <row r="1317" spans="1:6" x14ac:dyDescent="0.25">
      <c r="A1317" t="s">
        <v>79</v>
      </c>
      <c r="B1317" t="s">
        <v>101</v>
      </c>
      <c r="C1317">
        <v>4</v>
      </c>
      <c r="D1317" s="1">
        <v>6100</v>
      </c>
      <c r="E1317" s="4">
        <v>19553.620646574807</v>
      </c>
      <c r="F1317" s="4">
        <v>2657.8805250927558</v>
      </c>
    </row>
    <row r="1318" spans="1:6" x14ac:dyDescent="0.25">
      <c r="A1318" t="s">
        <v>80</v>
      </c>
      <c r="B1318" t="s">
        <v>101</v>
      </c>
      <c r="C1318">
        <v>8</v>
      </c>
      <c r="D1318" s="1">
        <v>13483</v>
      </c>
      <c r="E1318" s="4">
        <v>10136.086193972442</v>
      </c>
      <c r="F1318" s="4">
        <v>7968.134873537665</v>
      </c>
    </row>
    <row r="1319" spans="1:6" x14ac:dyDescent="0.25">
      <c r="A1319" t="s">
        <v>81</v>
      </c>
      <c r="B1319" t="s">
        <v>101</v>
      </c>
      <c r="C1319">
        <v>6.94</v>
      </c>
      <c r="D1319" s="1">
        <v>11004</v>
      </c>
      <c r="E1319" s="4">
        <v>12478.925858191731</v>
      </c>
      <c r="F1319" s="4">
        <v>8059.6453735257528</v>
      </c>
    </row>
    <row r="1320" spans="1:6" x14ac:dyDescent="0.25">
      <c r="A1320" t="s">
        <v>82</v>
      </c>
      <c r="B1320" t="s">
        <v>101</v>
      </c>
      <c r="C1320">
        <v>7.46</v>
      </c>
      <c r="D1320" s="1">
        <v>11934</v>
      </c>
      <c r="E1320" s="4">
        <v>11446.477757457518</v>
      </c>
      <c r="F1320" s="4">
        <v>8049.3715451183807</v>
      </c>
    </row>
    <row r="1321" spans="1:6" x14ac:dyDescent="0.25">
      <c r="A1321" t="s">
        <v>83</v>
      </c>
      <c r="B1321" t="s">
        <v>101</v>
      </c>
      <c r="C1321">
        <v>0.95</v>
      </c>
      <c r="D1321" s="1">
        <v>1428</v>
      </c>
      <c r="E1321" s="4">
        <v>11787.743327237255</v>
      </c>
      <c r="F1321" s="4">
        <v>2130.3298844008596</v>
      </c>
    </row>
    <row r="1322" spans="1:6" x14ac:dyDescent="0.25">
      <c r="A1322" t="s">
        <v>84</v>
      </c>
      <c r="B1322" t="s">
        <v>101</v>
      </c>
      <c r="C1322">
        <v>6.36</v>
      </c>
      <c r="D1322" s="1">
        <v>11166</v>
      </c>
      <c r="E1322" s="4">
        <v>4535.922998171176</v>
      </c>
      <c r="F1322" s="4">
        <v>6048.0676261202934</v>
      </c>
    </row>
    <row r="1323" spans="1:6" x14ac:dyDescent="0.25">
      <c r="A1323" t="s">
        <v>7</v>
      </c>
      <c r="B1323" t="s">
        <v>102</v>
      </c>
      <c r="C1323">
        <v>6.76</v>
      </c>
      <c r="D1323" s="1">
        <v>422983</v>
      </c>
      <c r="E1323" s="4">
        <v>9176.9768994513524</v>
      </c>
      <c r="F1323" s="4">
        <v>7106.8014557274628</v>
      </c>
    </row>
    <row r="1324" spans="1:6" x14ac:dyDescent="0.25">
      <c r="A1324" t="s">
        <v>10</v>
      </c>
      <c r="B1324" t="s">
        <v>102</v>
      </c>
      <c r="C1324">
        <v>14.51</v>
      </c>
      <c r="D1324" s="1">
        <v>837763</v>
      </c>
      <c r="E1324" s="4">
        <v>298841.19306983537</v>
      </c>
      <c r="F1324" s="4">
        <v>239016.53147648473</v>
      </c>
    </row>
    <row r="1325" spans="1:6" x14ac:dyDescent="0.25">
      <c r="A1325" t="s">
        <v>11</v>
      </c>
      <c r="B1325" t="s">
        <v>102</v>
      </c>
      <c r="C1325">
        <v>8.35</v>
      </c>
      <c r="D1325" s="1">
        <v>507915</v>
      </c>
      <c r="E1325" s="4">
        <v>676086.4579209506</v>
      </c>
      <c r="F1325" s="4">
        <v>392307.74342779058</v>
      </c>
    </row>
    <row r="1326" spans="1:6" x14ac:dyDescent="0.25">
      <c r="A1326" t="s">
        <v>12</v>
      </c>
      <c r="B1326" t="s">
        <v>102</v>
      </c>
      <c r="C1326">
        <v>7.32</v>
      </c>
      <c r="D1326" s="1">
        <v>436674</v>
      </c>
      <c r="E1326" s="4">
        <v>558366.4373762852</v>
      </c>
      <c r="F1326" s="4">
        <v>404126.12635101244</v>
      </c>
    </row>
    <row r="1327" spans="1:6" x14ac:dyDescent="0.25">
      <c r="A1327" t="s">
        <v>13</v>
      </c>
      <c r="B1327" t="s">
        <v>102</v>
      </c>
      <c r="C1327">
        <v>2.5099999999999998</v>
      </c>
      <c r="D1327" s="1">
        <v>166305</v>
      </c>
      <c r="E1327" s="4">
        <v>473181.73121288558</v>
      </c>
      <c r="F1327" s="4">
        <v>333430.35382655886</v>
      </c>
    </row>
    <row r="1328" spans="1:6" x14ac:dyDescent="0.25">
      <c r="A1328" t="s">
        <v>14</v>
      </c>
      <c r="B1328" t="s">
        <v>102</v>
      </c>
      <c r="C1328">
        <v>11.31</v>
      </c>
      <c r="D1328" s="1">
        <v>691901</v>
      </c>
      <c r="E1328" s="4">
        <v>258368.01936386566</v>
      </c>
      <c r="F1328" s="4">
        <v>213903.41802921615</v>
      </c>
    </row>
    <row r="1329" spans="1:6" x14ac:dyDescent="0.25">
      <c r="A1329" t="s">
        <v>15</v>
      </c>
      <c r="B1329" t="s">
        <v>102</v>
      </c>
      <c r="C1329">
        <v>5.33</v>
      </c>
      <c r="D1329" s="1">
        <v>345852</v>
      </c>
      <c r="E1329" s="4">
        <v>561841.10580915969</v>
      </c>
      <c r="F1329" s="4">
        <v>314607.28046976152</v>
      </c>
    </row>
    <row r="1330" spans="1:6" x14ac:dyDescent="0.25">
      <c r="A1330" t="s">
        <v>16</v>
      </c>
      <c r="B1330" t="s">
        <v>102</v>
      </c>
      <c r="C1330">
        <v>4.2300000000000004</v>
      </c>
      <c r="D1330" s="1">
        <v>257693</v>
      </c>
      <c r="E1330" s="4">
        <v>410648.73174274788</v>
      </c>
      <c r="F1330" s="4">
        <v>331046.55628647201</v>
      </c>
    </row>
    <row r="1331" spans="1:6" x14ac:dyDescent="0.25">
      <c r="A1331" t="s">
        <v>17</v>
      </c>
      <c r="B1331" t="s">
        <v>102</v>
      </c>
      <c r="C1331">
        <v>4.24</v>
      </c>
      <c r="D1331" s="1">
        <v>274905</v>
      </c>
      <c r="E1331" s="4">
        <v>303579.71952282434</v>
      </c>
      <c r="F1331" s="4">
        <v>293256.19913905236</v>
      </c>
    </row>
    <row r="1332" spans="1:6" x14ac:dyDescent="0.25">
      <c r="A1332" t="s">
        <v>18</v>
      </c>
      <c r="B1332" t="s">
        <v>102</v>
      </c>
      <c r="C1332">
        <v>13.35</v>
      </c>
      <c r="D1332" s="1">
        <v>794303</v>
      </c>
      <c r="E1332" s="4">
        <v>283507.41585684731</v>
      </c>
      <c r="F1332" s="4">
        <v>153697.7436842763</v>
      </c>
    </row>
    <row r="1333" spans="1:6" x14ac:dyDescent="0.25">
      <c r="A1333" t="s">
        <v>19</v>
      </c>
      <c r="B1333" t="s">
        <v>102</v>
      </c>
      <c r="C1333">
        <v>4.0999999999999996</v>
      </c>
      <c r="D1333" s="1">
        <v>263807</v>
      </c>
      <c r="E1333" s="4">
        <v>641064.32475705422</v>
      </c>
      <c r="F1333" s="4">
        <v>308290.89303925098</v>
      </c>
    </row>
    <row r="1334" spans="1:6" x14ac:dyDescent="0.25">
      <c r="A1334" t="s">
        <v>20</v>
      </c>
      <c r="B1334" t="s">
        <v>102</v>
      </c>
      <c r="C1334">
        <v>4.7300000000000004</v>
      </c>
      <c r="D1334" s="1">
        <v>265586</v>
      </c>
      <c r="E1334" s="4">
        <v>376984.19742711622</v>
      </c>
      <c r="F1334" s="4">
        <v>366995.66636982997</v>
      </c>
    </row>
    <row r="1335" spans="1:6" x14ac:dyDescent="0.25">
      <c r="A1335" t="s">
        <v>21</v>
      </c>
      <c r="B1335" t="s">
        <v>102</v>
      </c>
      <c r="C1335">
        <v>4.92</v>
      </c>
      <c r="D1335" s="1">
        <v>312891</v>
      </c>
      <c r="E1335" s="4">
        <v>299005.45922813483</v>
      </c>
      <c r="F1335" s="4">
        <v>372220.71241536463</v>
      </c>
    </row>
    <row r="1336" spans="1:6" x14ac:dyDescent="0.25">
      <c r="A1336" t="s">
        <v>22</v>
      </c>
      <c r="B1336" t="s">
        <v>102</v>
      </c>
      <c r="C1336">
        <v>10.46</v>
      </c>
      <c r="D1336" s="1">
        <v>624555</v>
      </c>
      <c r="E1336" s="4">
        <v>308725.33776844043</v>
      </c>
      <c r="F1336" s="4">
        <v>227248.36318837543</v>
      </c>
    </row>
    <row r="1337" spans="1:6" x14ac:dyDescent="0.25">
      <c r="A1337" t="s">
        <v>23</v>
      </c>
      <c r="B1337" t="s">
        <v>102</v>
      </c>
      <c r="C1337">
        <v>2.4300000000000002</v>
      </c>
      <c r="D1337" s="1">
        <v>156726</v>
      </c>
      <c r="E1337" s="4">
        <v>529806.10133053211</v>
      </c>
      <c r="F1337" s="4">
        <v>193520.6639938303</v>
      </c>
    </row>
    <row r="1338" spans="1:6" x14ac:dyDescent="0.25">
      <c r="A1338" t="s">
        <v>24</v>
      </c>
      <c r="B1338" t="s">
        <v>102</v>
      </c>
      <c r="C1338">
        <v>0.93</v>
      </c>
      <c r="D1338" s="1">
        <v>57347</v>
      </c>
      <c r="E1338" s="4">
        <v>268650.03039915964</v>
      </c>
      <c r="F1338" s="4">
        <v>282329.56262532872</v>
      </c>
    </row>
    <row r="1339" spans="1:6" x14ac:dyDescent="0.25">
      <c r="A1339" t="s">
        <v>25</v>
      </c>
      <c r="B1339" t="s">
        <v>102</v>
      </c>
      <c r="C1339">
        <v>3.54</v>
      </c>
      <c r="D1339" s="1">
        <v>223085</v>
      </c>
      <c r="E1339" s="4">
        <v>120737.90911974788</v>
      </c>
      <c r="F1339" s="4">
        <v>307455.20443904737</v>
      </c>
    </row>
    <row r="1340" spans="1:6" x14ac:dyDescent="0.25">
      <c r="A1340" t="s">
        <v>26</v>
      </c>
      <c r="B1340" t="s">
        <v>102</v>
      </c>
      <c r="C1340">
        <v>10.44</v>
      </c>
      <c r="D1340" s="1">
        <v>622078</v>
      </c>
      <c r="E1340" s="4">
        <v>192380.87273592438</v>
      </c>
      <c r="F1340" s="4">
        <v>254501.25060355393</v>
      </c>
    </row>
    <row r="1341" spans="1:6" x14ac:dyDescent="0.25">
      <c r="A1341" t="s">
        <v>27</v>
      </c>
      <c r="B1341" t="s">
        <v>102</v>
      </c>
      <c r="C1341">
        <v>4.43</v>
      </c>
      <c r="D1341" s="1">
        <v>286625</v>
      </c>
      <c r="E1341" s="4">
        <v>493168.8618207773</v>
      </c>
      <c r="F1341" s="4">
        <v>282703.3302754662</v>
      </c>
    </row>
    <row r="1342" spans="1:6" x14ac:dyDescent="0.25">
      <c r="A1342" t="s">
        <v>28</v>
      </c>
      <c r="B1342" t="s">
        <v>102</v>
      </c>
      <c r="C1342">
        <v>1.38</v>
      </c>
      <c r="D1342" s="1">
        <v>88290</v>
      </c>
      <c r="E1342" s="4">
        <v>348588.1585462332</v>
      </c>
      <c r="F1342" s="4">
        <v>281528.51545713219</v>
      </c>
    </row>
    <row r="1343" spans="1:6" x14ac:dyDescent="0.25">
      <c r="A1343" t="s">
        <v>29</v>
      </c>
      <c r="B1343" t="s">
        <v>102</v>
      </c>
      <c r="C1343">
        <v>3.81</v>
      </c>
      <c r="D1343" s="1">
        <v>233431</v>
      </c>
      <c r="E1343" s="4">
        <v>166379.44756386994</v>
      </c>
      <c r="F1343" s="4">
        <v>313610.75628736516</v>
      </c>
    </row>
    <row r="1344" spans="1:6" x14ac:dyDescent="0.25">
      <c r="A1344" t="s">
        <v>30</v>
      </c>
      <c r="B1344" t="s">
        <v>102</v>
      </c>
      <c r="C1344">
        <v>9.44</v>
      </c>
      <c r="D1344" s="1">
        <v>550070</v>
      </c>
      <c r="E1344" s="4">
        <v>213315.53426916097</v>
      </c>
      <c r="F1344" s="4">
        <v>195713.57377768104</v>
      </c>
    </row>
    <row r="1345" spans="1:6" x14ac:dyDescent="0.25">
      <c r="A1345" t="s">
        <v>31</v>
      </c>
      <c r="B1345" t="s">
        <v>102</v>
      </c>
      <c r="C1345">
        <v>9.69</v>
      </c>
      <c r="D1345" s="1">
        <v>590861</v>
      </c>
      <c r="E1345" s="4">
        <v>449043.66028074827</v>
      </c>
      <c r="F1345" s="4">
        <v>248766.69941688867</v>
      </c>
    </row>
    <row r="1346" spans="1:6" x14ac:dyDescent="0.25">
      <c r="A1346" t="s">
        <v>32</v>
      </c>
      <c r="B1346" t="s">
        <v>102</v>
      </c>
      <c r="C1346">
        <v>7.44</v>
      </c>
      <c r="D1346" s="1">
        <v>452603</v>
      </c>
      <c r="E1346" s="4">
        <v>548315.79808422446</v>
      </c>
      <c r="F1346" s="4">
        <v>214485.15000562285</v>
      </c>
    </row>
    <row r="1347" spans="1:6" x14ac:dyDescent="0.25">
      <c r="A1347" t="s">
        <v>33</v>
      </c>
      <c r="B1347" t="s">
        <v>102</v>
      </c>
      <c r="C1347">
        <v>3.83</v>
      </c>
      <c r="D1347" s="1">
        <v>236807</v>
      </c>
      <c r="E1347" s="4">
        <v>481316.8394252673</v>
      </c>
      <c r="F1347" s="4">
        <v>218080.00653569019</v>
      </c>
    </row>
    <row r="1348" spans="1:6" x14ac:dyDescent="0.25">
      <c r="A1348" t="s">
        <v>34</v>
      </c>
      <c r="B1348" t="s">
        <v>102</v>
      </c>
      <c r="C1348">
        <v>10.73</v>
      </c>
      <c r="D1348" s="1">
        <v>627500</v>
      </c>
      <c r="E1348" s="4">
        <v>310159.95182758017</v>
      </c>
      <c r="F1348" s="4">
        <v>172296.41042684473</v>
      </c>
    </row>
    <row r="1349" spans="1:6" x14ac:dyDescent="0.25">
      <c r="A1349" t="s">
        <v>35</v>
      </c>
      <c r="B1349" t="s">
        <v>102</v>
      </c>
      <c r="C1349">
        <v>9.25</v>
      </c>
      <c r="D1349" s="1">
        <v>560386</v>
      </c>
      <c r="E1349" s="4">
        <v>532297.98554827401</v>
      </c>
      <c r="F1349" s="4">
        <v>237802.9348479922</v>
      </c>
    </row>
    <row r="1350" spans="1:6" x14ac:dyDescent="0.25">
      <c r="A1350" t="s">
        <v>36</v>
      </c>
      <c r="B1350" t="s">
        <v>102</v>
      </c>
      <c r="C1350">
        <v>7.9</v>
      </c>
      <c r="D1350" s="1">
        <v>478852</v>
      </c>
      <c r="E1350" s="4">
        <v>551959.5956644821</v>
      </c>
      <c r="F1350" s="4">
        <v>231861.09656838662</v>
      </c>
    </row>
    <row r="1351" spans="1:6" x14ac:dyDescent="0.25">
      <c r="A1351" t="s">
        <v>37</v>
      </c>
      <c r="B1351" t="s">
        <v>102</v>
      </c>
      <c r="C1351">
        <v>5.0999999999999996</v>
      </c>
      <c r="D1351" s="1">
        <v>317504</v>
      </c>
      <c r="E1351" s="4">
        <v>500784.27869934461</v>
      </c>
      <c r="F1351" s="4">
        <v>188713.50708923434</v>
      </c>
    </row>
    <row r="1352" spans="1:6" x14ac:dyDescent="0.25">
      <c r="A1352" t="s">
        <v>38</v>
      </c>
      <c r="B1352" t="s">
        <v>102</v>
      </c>
      <c r="C1352">
        <v>8.4600000000000009</v>
      </c>
      <c r="D1352" s="1">
        <v>501542</v>
      </c>
      <c r="E1352" s="4">
        <v>372488.08360980335</v>
      </c>
      <c r="F1352" s="4">
        <v>115072.90103783659</v>
      </c>
    </row>
    <row r="1353" spans="1:6" x14ac:dyDescent="0.25">
      <c r="A1353" t="s">
        <v>39</v>
      </c>
      <c r="B1353" t="s">
        <v>102</v>
      </c>
      <c r="C1353">
        <v>8.3800000000000008</v>
      </c>
      <c r="D1353" s="1">
        <v>524010</v>
      </c>
      <c r="E1353" s="4">
        <v>462825.82508294098</v>
      </c>
      <c r="F1353" s="4">
        <v>136126.52746568626</v>
      </c>
    </row>
    <row r="1354" spans="1:6" x14ac:dyDescent="0.25">
      <c r="A1354" t="s">
        <v>40</v>
      </c>
      <c r="B1354" t="s">
        <v>102</v>
      </c>
      <c r="C1354">
        <v>4.3</v>
      </c>
      <c r="D1354" s="1">
        <v>263964</v>
      </c>
      <c r="E1354" s="4">
        <v>505654.74752488232</v>
      </c>
      <c r="F1354" s="4">
        <v>134151.75133164006</v>
      </c>
    </row>
    <row r="1355" spans="1:6" x14ac:dyDescent="0.25">
      <c r="A1355" t="s">
        <v>41</v>
      </c>
      <c r="B1355" t="s">
        <v>102</v>
      </c>
      <c r="C1355">
        <v>8.18</v>
      </c>
      <c r="D1355" s="1">
        <v>513223</v>
      </c>
      <c r="E1355" s="4">
        <v>336471.22425746464</v>
      </c>
      <c r="F1355" s="4">
        <v>162083.14125273851</v>
      </c>
    </row>
    <row r="1356" spans="1:6" x14ac:dyDescent="0.25">
      <c r="A1356" t="s">
        <v>42</v>
      </c>
      <c r="B1356" t="s">
        <v>102</v>
      </c>
      <c r="C1356">
        <v>12.5</v>
      </c>
      <c r="D1356" s="1">
        <v>746555</v>
      </c>
      <c r="E1356" s="4">
        <v>460197.46727723937</v>
      </c>
      <c r="F1356" s="4">
        <v>176445.5637749286</v>
      </c>
    </row>
    <row r="1357" spans="1:6" x14ac:dyDescent="0.25">
      <c r="A1357" t="s">
        <v>43</v>
      </c>
      <c r="B1357" t="s">
        <v>102</v>
      </c>
      <c r="C1357">
        <v>8.0500000000000007</v>
      </c>
      <c r="D1357" s="1">
        <v>500563</v>
      </c>
      <c r="E1357" s="4">
        <v>660647.74018317182</v>
      </c>
      <c r="F1357" s="4">
        <v>239204.40646327485</v>
      </c>
    </row>
    <row r="1358" spans="1:6" x14ac:dyDescent="0.25">
      <c r="A1358" t="s">
        <v>44</v>
      </c>
      <c r="B1358" t="s">
        <v>102</v>
      </c>
      <c r="C1358">
        <v>3.67</v>
      </c>
      <c r="D1358" s="1">
        <v>224324</v>
      </c>
      <c r="E1358" s="4">
        <v>548588.42205495154</v>
      </c>
      <c r="F1358" s="4">
        <v>215150.29693582427</v>
      </c>
    </row>
    <row r="1359" spans="1:6" x14ac:dyDescent="0.25">
      <c r="A1359" t="s">
        <v>45</v>
      </c>
      <c r="B1359" t="s">
        <v>102</v>
      </c>
      <c r="C1359">
        <v>9.2100000000000009</v>
      </c>
      <c r="D1359" s="1">
        <v>577530</v>
      </c>
      <c r="E1359" s="4">
        <v>321603.32661648549</v>
      </c>
      <c r="F1359" s="4">
        <v>266317.58985417662</v>
      </c>
    </row>
    <row r="1360" spans="1:6" x14ac:dyDescent="0.25">
      <c r="A1360" t="s">
        <v>46</v>
      </c>
      <c r="B1360" t="s">
        <v>102</v>
      </c>
      <c r="C1360">
        <v>12.99</v>
      </c>
      <c r="D1360" s="1">
        <v>771858</v>
      </c>
      <c r="E1360" s="4">
        <v>500751.99798494566</v>
      </c>
      <c r="F1360" s="4">
        <v>255781.80909992894</v>
      </c>
    </row>
    <row r="1361" spans="1:6" x14ac:dyDescent="0.25">
      <c r="A1361" t="s">
        <v>47</v>
      </c>
      <c r="B1361" t="s">
        <v>102</v>
      </c>
      <c r="C1361">
        <v>9.68</v>
      </c>
      <c r="D1361" s="1">
        <v>597050</v>
      </c>
      <c r="E1361" s="4">
        <v>690526.19939548371</v>
      </c>
      <c r="F1361" s="4">
        <v>285274.33690418687</v>
      </c>
    </row>
    <row r="1362" spans="1:6" x14ac:dyDescent="0.25">
      <c r="A1362" t="s">
        <v>48</v>
      </c>
      <c r="B1362" t="s">
        <v>102</v>
      </c>
      <c r="C1362">
        <v>6.16</v>
      </c>
      <c r="D1362" s="1">
        <v>375128</v>
      </c>
      <c r="E1362" s="4">
        <v>625092.85981864505</v>
      </c>
      <c r="F1362" s="4">
        <v>221911.93923954232</v>
      </c>
    </row>
    <row r="1363" spans="1:6" x14ac:dyDescent="0.25">
      <c r="A1363" t="s">
        <v>49</v>
      </c>
      <c r="B1363" t="s">
        <v>102</v>
      </c>
      <c r="C1363">
        <v>9.17</v>
      </c>
      <c r="D1363" s="1">
        <v>558320</v>
      </c>
      <c r="E1363" s="4">
        <v>450117.45794559352</v>
      </c>
      <c r="F1363" s="4">
        <v>219635.07258341488</v>
      </c>
    </row>
    <row r="1364" spans="1:6" x14ac:dyDescent="0.25">
      <c r="A1364" t="s">
        <v>50</v>
      </c>
      <c r="B1364" t="s">
        <v>102</v>
      </c>
      <c r="C1364">
        <v>12.21</v>
      </c>
      <c r="D1364" s="1">
        <v>735681</v>
      </c>
      <c r="E1364" s="4">
        <v>525859.23738367809</v>
      </c>
      <c r="F1364" s="4">
        <v>166260.86040177415</v>
      </c>
    </row>
    <row r="1365" spans="1:6" x14ac:dyDescent="0.25">
      <c r="A1365" t="s">
        <v>51</v>
      </c>
      <c r="B1365" t="s">
        <v>102</v>
      </c>
      <c r="C1365">
        <v>9.64</v>
      </c>
      <c r="D1365" s="1">
        <v>608104</v>
      </c>
      <c r="E1365" s="4">
        <v>672734.4712151034</v>
      </c>
      <c r="F1365" s="4">
        <v>198507.25706181006</v>
      </c>
    </row>
    <row r="1366" spans="1:6" x14ac:dyDescent="0.25">
      <c r="A1366" t="s">
        <v>52</v>
      </c>
      <c r="B1366" t="s">
        <v>102</v>
      </c>
      <c r="C1366">
        <v>6.69</v>
      </c>
      <c r="D1366" s="1">
        <v>413671</v>
      </c>
      <c r="E1366" s="4">
        <v>627493.14136453101</v>
      </c>
      <c r="F1366" s="4">
        <v>141315.3211603305</v>
      </c>
    </row>
    <row r="1367" spans="1:6" x14ac:dyDescent="0.25">
      <c r="A1367" t="s">
        <v>53</v>
      </c>
      <c r="B1367" t="s">
        <v>102</v>
      </c>
      <c r="C1367">
        <v>8.85</v>
      </c>
      <c r="D1367" s="1">
        <v>553502</v>
      </c>
      <c r="E1367" s="4">
        <v>477817.64240935922</v>
      </c>
      <c r="F1367" s="4">
        <v>176938.95182107296</v>
      </c>
    </row>
    <row r="1368" spans="1:6" x14ac:dyDescent="0.25">
      <c r="A1368" t="s">
        <v>54</v>
      </c>
      <c r="B1368" t="s">
        <v>102</v>
      </c>
      <c r="C1368">
        <v>12.56</v>
      </c>
      <c r="D1368" s="1">
        <v>756353</v>
      </c>
      <c r="E1368" s="4">
        <v>530796.69272280775</v>
      </c>
      <c r="F1368" s="4">
        <v>136167.94523811122</v>
      </c>
    </row>
    <row r="1369" spans="1:6" x14ac:dyDescent="0.25">
      <c r="A1369" t="s">
        <v>55</v>
      </c>
      <c r="B1369" t="s">
        <v>102</v>
      </c>
      <c r="C1369">
        <v>7.07</v>
      </c>
      <c r="D1369" s="1">
        <v>452128</v>
      </c>
      <c r="E1369" s="4">
        <v>688686.10781684227</v>
      </c>
      <c r="F1369" s="4">
        <v>184683.22236931778</v>
      </c>
    </row>
    <row r="1370" spans="1:6" x14ac:dyDescent="0.25">
      <c r="A1370" t="s">
        <v>56</v>
      </c>
      <c r="B1370" t="s">
        <v>102</v>
      </c>
      <c r="C1370">
        <v>6.13</v>
      </c>
      <c r="D1370" s="1">
        <v>377867</v>
      </c>
      <c r="E1370" s="4">
        <v>523095.43234505266</v>
      </c>
      <c r="F1370" s="4">
        <v>193703.81867713737</v>
      </c>
    </row>
    <row r="1371" spans="1:6" x14ac:dyDescent="0.25">
      <c r="A1371" t="s">
        <v>57</v>
      </c>
      <c r="B1371" t="s">
        <v>102</v>
      </c>
      <c r="C1371">
        <v>9.69</v>
      </c>
      <c r="D1371" s="1">
        <v>599760</v>
      </c>
      <c r="E1371" s="4">
        <v>421435.52970351576</v>
      </c>
      <c r="F1371" s="4">
        <v>206499.94647925819</v>
      </c>
    </row>
    <row r="1372" spans="1:6" x14ac:dyDescent="0.25">
      <c r="A1372" t="s">
        <v>58</v>
      </c>
      <c r="B1372" t="s">
        <v>102</v>
      </c>
      <c r="C1372">
        <v>10.41</v>
      </c>
      <c r="D1372" s="1">
        <v>625622</v>
      </c>
      <c r="E1372" s="4">
        <v>546262.65891105472</v>
      </c>
      <c r="F1372" s="4">
        <v>190482.41619793326</v>
      </c>
    </row>
    <row r="1373" spans="1:6" x14ac:dyDescent="0.25">
      <c r="A1373" t="s">
        <v>59</v>
      </c>
      <c r="B1373" t="s">
        <v>102</v>
      </c>
      <c r="C1373">
        <v>10.51</v>
      </c>
      <c r="D1373" s="1">
        <v>669875</v>
      </c>
      <c r="E1373" s="4">
        <v>601814.19767331635</v>
      </c>
      <c r="F1373" s="4">
        <v>140462.11741485648</v>
      </c>
    </row>
    <row r="1374" spans="1:6" x14ac:dyDescent="0.25">
      <c r="A1374" t="s">
        <v>60</v>
      </c>
      <c r="B1374" t="s">
        <v>102</v>
      </c>
      <c r="C1374">
        <v>3.69</v>
      </c>
      <c r="D1374" s="1">
        <v>174227</v>
      </c>
      <c r="E1374" s="4">
        <v>649456.75930199481</v>
      </c>
      <c r="F1374" s="4">
        <v>119345.15007314591</v>
      </c>
    </row>
    <row r="1375" spans="1:6" x14ac:dyDescent="0.25">
      <c r="A1375" t="s">
        <v>61</v>
      </c>
      <c r="B1375" t="s">
        <v>102</v>
      </c>
      <c r="C1375">
        <v>34</v>
      </c>
      <c r="D1375" s="1">
        <v>1414197</v>
      </c>
      <c r="E1375" s="4">
        <v>316795.92779059842</v>
      </c>
      <c r="F1375" s="4">
        <v>280935.04703498958</v>
      </c>
    </row>
    <row r="1376" spans="1:6" x14ac:dyDescent="0.25">
      <c r="A1376" t="s">
        <v>62</v>
      </c>
      <c r="B1376" t="s">
        <v>102</v>
      </c>
      <c r="C1376">
        <v>20</v>
      </c>
      <c r="D1376" s="1">
        <v>1072809</v>
      </c>
      <c r="E1376" s="4">
        <v>1084976.6783371794</v>
      </c>
      <c r="F1376" s="4">
        <v>691559.76127059513</v>
      </c>
    </row>
    <row r="1377" spans="1:6" x14ac:dyDescent="0.25">
      <c r="A1377" t="s">
        <v>63</v>
      </c>
      <c r="B1377" t="s">
        <v>102</v>
      </c>
      <c r="C1377">
        <v>9.11</v>
      </c>
      <c r="D1377" s="1">
        <v>563937</v>
      </c>
      <c r="E1377" s="4">
        <v>1076459.3035011538</v>
      </c>
      <c r="F1377" s="4">
        <v>690478.21346481622</v>
      </c>
    </row>
    <row r="1378" spans="1:6" x14ac:dyDescent="0.25">
      <c r="A1378" t="s">
        <v>64</v>
      </c>
      <c r="B1378" t="s">
        <v>102</v>
      </c>
      <c r="C1378">
        <v>9.7799999999999994</v>
      </c>
      <c r="D1378" s="1">
        <v>577272</v>
      </c>
      <c r="E1378" s="4">
        <v>717693.69105034613</v>
      </c>
      <c r="F1378" s="4">
        <v>699313.06229008047</v>
      </c>
    </row>
    <row r="1379" spans="1:6" x14ac:dyDescent="0.25">
      <c r="A1379" t="s">
        <v>65</v>
      </c>
      <c r="B1379" t="s">
        <v>102</v>
      </c>
      <c r="C1379">
        <v>11.89</v>
      </c>
      <c r="D1379" s="1">
        <v>712004</v>
      </c>
      <c r="E1379" s="4">
        <v>619398.50731510378</v>
      </c>
      <c r="F1379" s="4">
        <v>306890.54253902141</v>
      </c>
    </row>
    <row r="1380" spans="1:6" x14ac:dyDescent="0.25">
      <c r="A1380" t="s">
        <v>66</v>
      </c>
      <c r="B1380" t="s">
        <v>102</v>
      </c>
      <c r="C1380">
        <v>10.95</v>
      </c>
      <c r="D1380" s="1">
        <v>640161</v>
      </c>
      <c r="E1380" s="4">
        <v>684222.35219453112</v>
      </c>
      <c r="F1380" s="4">
        <v>311433.85610162339</v>
      </c>
    </row>
    <row r="1381" spans="1:6" x14ac:dyDescent="0.25">
      <c r="A1381" t="s">
        <v>67</v>
      </c>
      <c r="B1381" t="s">
        <v>102</v>
      </c>
      <c r="C1381">
        <v>7.62</v>
      </c>
      <c r="D1381" s="1">
        <v>467960</v>
      </c>
      <c r="E1381" s="4">
        <v>653379.40565835929</v>
      </c>
      <c r="F1381" s="4">
        <v>100391.61875718135</v>
      </c>
    </row>
    <row r="1382" spans="1:6" x14ac:dyDescent="0.25">
      <c r="A1382" t="s">
        <v>68</v>
      </c>
      <c r="B1382" t="s">
        <v>102</v>
      </c>
      <c r="C1382">
        <v>1.82</v>
      </c>
      <c r="D1382" s="1">
        <v>108574</v>
      </c>
      <c r="E1382" s="4">
        <v>523585.82169750775</v>
      </c>
      <c r="F1382" s="4">
        <v>122334.97187002862</v>
      </c>
    </row>
    <row r="1383" spans="1:6" x14ac:dyDescent="0.25">
      <c r="A1383" t="s">
        <v>69</v>
      </c>
      <c r="B1383" t="s">
        <v>102</v>
      </c>
      <c r="C1383">
        <v>10.16</v>
      </c>
      <c r="D1383" s="1">
        <v>607258</v>
      </c>
      <c r="E1383" s="4">
        <v>233077.54650925231</v>
      </c>
      <c r="F1383" s="4">
        <v>263664.28837987251</v>
      </c>
    </row>
    <row r="1384" spans="1:6" x14ac:dyDescent="0.25">
      <c r="A1384" t="s">
        <v>70</v>
      </c>
      <c r="B1384" t="s">
        <v>102</v>
      </c>
      <c r="C1384">
        <v>8.36</v>
      </c>
      <c r="D1384" s="1">
        <v>494890</v>
      </c>
      <c r="E1384" s="4">
        <v>495003.86395277566</v>
      </c>
      <c r="F1384" s="4">
        <v>339914.78339819465</v>
      </c>
    </row>
    <row r="1385" spans="1:6" x14ac:dyDescent="0.25">
      <c r="A1385" t="s">
        <v>71</v>
      </c>
      <c r="B1385" t="s">
        <v>102</v>
      </c>
      <c r="C1385">
        <v>6.98</v>
      </c>
      <c r="D1385" s="1">
        <v>428318</v>
      </c>
      <c r="E1385" s="4">
        <v>494924.15918583272</v>
      </c>
      <c r="F1385" s="4">
        <v>322617.33621956594</v>
      </c>
    </row>
    <row r="1386" spans="1:6" x14ac:dyDescent="0.25">
      <c r="A1386" t="s">
        <v>72</v>
      </c>
      <c r="B1386" t="s">
        <v>102</v>
      </c>
      <c r="C1386">
        <v>2.82</v>
      </c>
      <c r="D1386" s="1">
        <v>171470</v>
      </c>
      <c r="E1386" s="4">
        <v>448299.84775574983</v>
      </c>
      <c r="F1386" s="4">
        <v>219429.11169747575</v>
      </c>
    </row>
    <row r="1387" spans="1:6" x14ac:dyDescent="0.25">
      <c r="A1387" t="s">
        <v>73</v>
      </c>
      <c r="B1387" t="s">
        <v>102</v>
      </c>
      <c r="C1387">
        <v>9.3699999999999992</v>
      </c>
      <c r="D1387" s="1">
        <v>557308</v>
      </c>
      <c r="E1387" s="4">
        <v>254518.95432672492</v>
      </c>
      <c r="F1387" s="4">
        <v>164388.92705507862</v>
      </c>
    </row>
    <row r="1388" spans="1:6" x14ac:dyDescent="0.25">
      <c r="A1388" t="s">
        <v>74</v>
      </c>
      <c r="B1388" t="s">
        <v>102</v>
      </c>
      <c r="C1388">
        <v>9.69</v>
      </c>
      <c r="D1388" s="1">
        <v>572681</v>
      </c>
      <c r="E1388" s="4">
        <v>466471.28629801748</v>
      </c>
      <c r="F1388" s="4">
        <v>239966.90829479857</v>
      </c>
    </row>
    <row r="1389" spans="1:6" x14ac:dyDescent="0.25">
      <c r="A1389" t="s">
        <v>75</v>
      </c>
      <c r="B1389" t="s">
        <v>102</v>
      </c>
      <c r="C1389">
        <v>6.55</v>
      </c>
      <c r="D1389" s="1">
        <v>406771</v>
      </c>
      <c r="E1389" s="4">
        <v>540818.08588940522</v>
      </c>
      <c r="F1389" s="4">
        <v>244674.25560859576</v>
      </c>
    </row>
    <row r="1390" spans="1:6" x14ac:dyDescent="0.25">
      <c r="A1390" t="s">
        <v>76</v>
      </c>
      <c r="B1390" t="s">
        <v>102</v>
      </c>
      <c r="C1390">
        <v>3.33</v>
      </c>
      <c r="D1390" s="1">
        <v>206668</v>
      </c>
      <c r="E1390" s="4">
        <v>446985.12576682155</v>
      </c>
      <c r="F1390" s="4">
        <v>200773.77874931056</v>
      </c>
    </row>
    <row r="1391" spans="1:6" x14ac:dyDescent="0.25">
      <c r="A1391" t="s">
        <v>77</v>
      </c>
      <c r="B1391" t="s">
        <v>102</v>
      </c>
      <c r="C1391">
        <v>11.19</v>
      </c>
      <c r="D1391" s="1">
        <v>647480</v>
      </c>
      <c r="E1391" s="4">
        <v>278763.13773004641</v>
      </c>
      <c r="F1391" s="4">
        <v>170295.2783226094</v>
      </c>
    </row>
    <row r="1392" spans="1:6" x14ac:dyDescent="0.25">
      <c r="A1392" t="s">
        <v>78</v>
      </c>
      <c r="B1392" t="s">
        <v>102</v>
      </c>
      <c r="C1392">
        <v>14.15</v>
      </c>
      <c r="D1392" s="1">
        <v>796079</v>
      </c>
      <c r="E1392" s="4">
        <v>536864.94131901395</v>
      </c>
      <c r="F1392" s="4">
        <v>265626.97321272915</v>
      </c>
    </row>
    <row r="1393" spans="1:6" x14ac:dyDescent="0.25">
      <c r="A1393" t="s">
        <v>79</v>
      </c>
      <c r="B1393" t="s">
        <v>102</v>
      </c>
      <c r="C1393">
        <v>6.45</v>
      </c>
      <c r="D1393" s="1">
        <v>405820</v>
      </c>
      <c r="E1393" s="4">
        <v>718314.78239570407</v>
      </c>
      <c r="F1393" s="4">
        <v>294899.06390542956</v>
      </c>
    </row>
    <row r="1394" spans="1:6" x14ac:dyDescent="0.25">
      <c r="A1394" t="s">
        <v>80</v>
      </c>
      <c r="B1394" t="s">
        <v>102</v>
      </c>
      <c r="C1394">
        <v>4.2</v>
      </c>
      <c r="D1394" s="1">
        <v>265686</v>
      </c>
      <c r="E1394" s="4">
        <v>499568.43471871119</v>
      </c>
      <c r="F1394" s="4">
        <v>316647.56526492146</v>
      </c>
    </row>
    <row r="1395" spans="1:6" x14ac:dyDescent="0.25">
      <c r="A1395" t="s">
        <v>81</v>
      </c>
      <c r="B1395" t="s">
        <v>102</v>
      </c>
      <c r="C1395">
        <v>11.03</v>
      </c>
      <c r="D1395" s="1">
        <v>636059</v>
      </c>
      <c r="E1395" s="4">
        <v>335850.73041561333</v>
      </c>
      <c r="F1395" s="4">
        <v>270521.66303419543</v>
      </c>
    </row>
    <row r="1396" spans="1:6" x14ac:dyDescent="0.25">
      <c r="A1396" t="s">
        <v>82</v>
      </c>
      <c r="B1396" t="s">
        <v>102</v>
      </c>
      <c r="C1396">
        <v>10.79</v>
      </c>
      <c r="D1396" s="1">
        <v>633525</v>
      </c>
      <c r="E1396" s="4">
        <v>545996.51912468392</v>
      </c>
      <c r="F1396" s="4">
        <v>284299.71709526458</v>
      </c>
    </row>
    <row r="1397" spans="1:6" x14ac:dyDescent="0.25">
      <c r="A1397" t="s">
        <v>83</v>
      </c>
      <c r="B1397" t="s">
        <v>102</v>
      </c>
      <c r="C1397">
        <v>6.74</v>
      </c>
      <c r="D1397" s="1">
        <v>423551</v>
      </c>
      <c r="E1397" s="4">
        <v>607266.45573740522</v>
      </c>
      <c r="F1397" s="4">
        <v>225453.05007262196</v>
      </c>
    </row>
    <row r="1398" spans="1:6" x14ac:dyDescent="0.25">
      <c r="A1398" t="s">
        <v>84</v>
      </c>
      <c r="B1398" t="s">
        <v>102</v>
      </c>
      <c r="C1398">
        <v>5.05</v>
      </c>
      <c r="D1398" s="1">
        <v>319693</v>
      </c>
      <c r="E1398" s="4">
        <v>478665.6367212215</v>
      </c>
      <c r="F1398" s="4">
        <v>209394.05337623993</v>
      </c>
    </row>
    <row r="1399" spans="1:6" x14ac:dyDescent="0.25">
      <c r="A1399" t="s">
        <v>7</v>
      </c>
      <c r="B1399" t="s">
        <v>103</v>
      </c>
      <c r="C1399">
        <v>5.23</v>
      </c>
      <c r="D1399" s="1">
        <v>743180</v>
      </c>
      <c r="E1399" s="4">
        <v>367384.79101636645</v>
      </c>
      <c r="F1399" s="4">
        <v>149091.58579794783</v>
      </c>
    </row>
    <row r="1400" spans="1:6" x14ac:dyDescent="0.25">
      <c r="A1400" t="s">
        <v>10</v>
      </c>
      <c r="B1400" t="s">
        <v>103</v>
      </c>
      <c r="C1400">
        <v>3.6</v>
      </c>
      <c r="D1400" s="1">
        <v>528414</v>
      </c>
      <c r="E1400" s="4">
        <v>630441.43730490992</v>
      </c>
      <c r="F1400" s="4">
        <v>258357.44424985629</v>
      </c>
    </row>
    <row r="1401" spans="1:6" x14ac:dyDescent="0.25">
      <c r="A1401" t="s">
        <v>11</v>
      </c>
      <c r="B1401" t="s">
        <v>103</v>
      </c>
      <c r="C1401">
        <v>8.0299999999999994</v>
      </c>
      <c r="D1401" s="1">
        <v>1059935</v>
      </c>
      <c r="E1401" s="4">
        <v>559022.23119147297</v>
      </c>
      <c r="F1401" s="4">
        <v>242833.23240731668</v>
      </c>
    </row>
    <row r="1402" spans="1:6" x14ac:dyDescent="0.25">
      <c r="A1402" t="s">
        <v>12</v>
      </c>
      <c r="B1402" t="s">
        <v>103</v>
      </c>
      <c r="C1402">
        <v>11.31</v>
      </c>
      <c r="D1402" s="1">
        <v>1510005</v>
      </c>
      <c r="E1402" s="4">
        <v>909661.16935744183</v>
      </c>
      <c r="F1402" s="4">
        <v>366308.26681611803</v>
      </c>
    </row>
    <row r="1403" spans="1:6" x14ac:dyDescent="0.25">
      <c r="A1403" t="s">
        <v>13</v>
      </c>
      <c r="B1403" t="s">
        <v>103</v>
      </c>
      <c r="C1403">
        <v>7.57</v>
      </c>
      <c r="D1403" s="1">
        <v>1021386</v>
      </c>
      <c r="E1403" s="4">
        <v>1329901.8508072325</v>
      </c>
      <c r="F1403" s="4">
        <v>455242.0290017947</v>
      </c>
    </row>
    <row r="1404" spans="1:6" x14ac:dyDescent="0.25">
      <c r="A1404" t="s">
        <v>14</v>
      </c>
      <c r="B1404" t="s">
        <v>103</v>
      </c>
      <c r="C1404">
        <v>7.5</v>
      </c>
      <c r="D1404" s="1">
        <v>1095029</v>
      </c>
      <c r="E1404" s="4">
        <v>1113940.7552421698</v>
      </c>
      <c r="F1404" s="4">
        <v>485286.28909312078</v>
      </c>
    </row>
    <row r="1405" spans="1:6" x14ac:dyDescent="0.25">
      <c r="A1405" t="s">
        <v>15</v>
      </c>
      <c r="B1405" t="s">
        <v>103</v>
      </c>
      <c r="C1405">
        <v>7.48</v>
      </c>
      <c r="D1405" s="1">
        <v>915322</v>
      </c>
      <c r="E1405" s="4">
        <v>1100702.5265726508</v>
      </c>
      <c r="F1405" s="4">
        <v>389851.42455223924</v>
      </c>
    </row>
    <row r="1406" spans="1:6" x14ac:dyDescent="0.25">
      <c r="A1406" t="s">
        <v>16</v>
      </c>
      <c r="B1406" t="s">
        <v>103</v>
      </c>
      <c r="C1406">
        <v>5.91</v>
      </c>
      <c r="D1406" s="1">
        <v>837727</v>
      </c>
      <c r="E1406" s="4">
        <v>970936.15797179518</v>
      </c>
      <c r="F1406" s="4">
        <v>208091.02520932484</v>
      </c>
    </row>
    <row r="1407" spans="1:6" x14ac:dyDescent="0.25">
      <c r="A1407" t="s">
        <v>17</v>
      </c>
      <c r="B1407" t="s">
        <v>103</v>
      </c>
      <c r="C1407">
        <v>3.83</v>
      </c>
      <c r="D1407" s="1">
        <v>558571</v>
      </c>
      <c r="E1407" s="4">
        <v>877689.74739153846</v>
      </c>
      <c r="F1407" s="4">
        <v>132247.58836647734</v>
      </c>
    </row>
    <row r="1408" spans="1:6" x14ac:dyDescent="0.25">
      <c r="A1408" t="s">
        <v>18</v>
      </c>
      <c r="B1408" t="s">
        <v>103</v>
      </c>
      <c r="C1408">
        <v>4.6500000000000004</v>
      </c>
      <c r="D1408" s="1">
        <v>687468</v>
      </c>
      <c r="E1408" s="4">
        <v>654306.62421746156</v>
      </c>
      <c r="F1408" s="4">
        <v>226529.90555822314</v>
      </c>
    </row>
    <row r="1409" spans="1:6" x14ac:dyDescent="0.25">
      <c r="A1409" t="s">
        <v>19</v>
      </c>
      <c r="B1409" t="s">
        <v>103</v>
      </c>
      <c r="C1409">
        <v>5.27</v>
      </c>
      <c r="D1409" s="1">
        <v>655334</v>
      </c>
      <c r="E1409" s="4">
        <v>677519.5872652384</v>
      </c>
      <c r="F1409" s="4">
        <v>200566.80644953024</v>
      </c>
    </row>
    <row r="1410" spans="1:6" x14ac:dyDescent="0.25">
      <c r="A1410" t="s">
        <v>20</v>
      </c>
      <c r="B1410" t="s">
        <v>103</v>
      </c>
      <c r="C1410">
        <v>8.76</v>
      </c>
      <c r="D1410" s="1">
        <v>1201859</v>
      </c>
      <c r="E1410" s="4">
        <v>661989.67617957154</v>
      </c>
      <c r="F1410" s="4">
        <v>185677.72444286256</v>
      </c>
    </row>
    <row r="1411" spans="1:6" x14ac:dyDescent="0.25">
      <c r="A1411" t="s">
        <v>21</v>
      </c>
      <c r="B1411" t="s">
        <v>103</v>
      </c>
      <c r="C1411">
        <v>5.0999999999999996</v>
      </c>
      <c r="D1411" s="1">
        <v>705112</v>
      </c>
      <c r="E1411" s="4">
        <v>1039898.2028538714</v>
      </c>
      <c r="F1411" s="4">
        <v>312543.73770104611</v>
      </c>
    </row>
    <row r="1412" spans="1:6" x14ac:dyDescent="0.25">
      <c r="A1412" t="s">
        <v>22</v>
      </c>
      <c r="B1412" t="s">
        <v>103</v>
      </c>
      <c r="C1412">
        <v>4.17</v>
      </c>
      <c r="D1412" s="1">
        <v>637933</v>
      </c>
      <c r="E1412" s="4">
        <v>805547.86085616145</v>
      </c>
      <c r="F1412" s="4">
        <v>366984.50862215954</v>
      </c>
    </row>
    <row r="1413" spans="1:6" x14ac:dyDescent="0.25">
      <c r="A1413" t="s">
        <v>23</v>
      </c>
      <c r="B1413" t="s">
        <v>103</v>
      </c>
      <c r="C1413">
        <v>2.41</v>
      </c>
      <c r="D1413" s="1">
        <v>371118</v>
      </c>
      <c r="E1413" s="4">
        <v>688217.45825684839</v>
      </c>
      <c r="F1413" s="4">
        <v>379313.16437453567</v>
      </c>
    </row>
    <row r="1414" spans="1:6" x14ac:dyDescent="0.25">
      <c r="A1414" t="s">
        <v>24</v>
      </c>
      <c r="B1414" t="s">
        <v>103</v>
      </c>
      <c r="C1414">
        <v>5.76</v>
      </c>
      <c r="D1414" s="1">
        <v>856537</v>
      </c>
      <c r="E1414" s="4">
        <v>466247.83747705445</v>
      </c>
      <c r="F1414" s="4">
        <v>283271.72445547202</v>
      </c>
    </row>
    <row r="1415" spans="1:6" x14ac:dyDescent="0.25">
      <c r="A1415" t="s">
        <v>25</v>
      </c>
      <c r="B1415" t="s">
        <v>103</v>
      </c>
      <c r="C1415">
        <v>2.5499999999999998</v>
      </c>
      <c r="D1415" s="1">
        <v>353164</v>
      </c>
      <c r="E1415" s="4">
        <v>739450.25124311622</v>
      </c>
      <c r="F1415" s="4">
        <v>306035.09514949389</v>
      </c>
    </row>
    <row r="1416" spans="1:6" x14ac:dyDescent="0.25">
      <c r="A1416" t="s">
        <v>26</v>
      </c>
      <c r="B1416" t="s">
        <v>103</v>
      </c>
      <c r="C1416">
        <v>5.13</v>
      </c>
      <c r="D1416" s="1">
        <v>787907</v>
      </c>
      <c r="E1416" s="4">
        <v>469049.87537293485</v>
      </c>
      <c r="F1416" s="4">
        <v>366103.24805493001</v>
      </c>
    </row>
    <row r="1417" spans="1:6" x14ac:dyDescent="0.25">
      <c r="A1417" t="s">
        <v>27</v>
      </c>
      <c r="B1417" t="s">
        <v>103</v>
      </c>
      <c r="C1417">
        <v>0.8</v>
      </c>
      <c r="D1417" s="1">
        <v>110276</v>
      </c>
      <c r="E1417" s="4">
        <v>692249.86261188029</v>
      </c>
      <c r="F1417" s="4">
        <v>366611.76749969984</v>
      </c>
    </row>
    <row r="1418" spans="1:6" x14ac:dyDescent="0.25">
      <c r="A1418" t="s">
        <v>28</v>
      </c>
      <c r="B1418" t="s">
        <v>103</v>
      </c>
      <c r="C1418">
        <v>6.82</v>
      </c>
      <c r="D1418" s="1">
        <v>951349</v>
      </c>
      <c r="E1418" s="4">
        <v>284868.15878356405</v>
      </c>
      <c r="F1418" s="4">
        <v>443313.47471373325</v>
      </c>
    </row>
    <row r="1419" spans="1:6" x14ac:dyDescent="0.25">
      <c r="A1419" t="s">
        <v>29</v>
      </c>
      <c r="B1419" t="s">
        <v>103</v>
      </c>
      <c r="C1419">
        <v>1.06</v>
      </c>
      <c r="D1419" s="1">
        <v>161484</v>
      </c>
      <c r="E1419" s="4">
        <v>751404.74763506919</v>
      </c>
      <c r="F1419" s="4">
        <v>543004.03755325172</v>
      </c>
    </row>
    <row r="1420" spans="1:6" x14ac:dyDescent="0.25">
      <c r="A1420" t="s">
        <v>30</v>
      </c>
      <c r="B1420" t="s">
        <v>103</v>
      </c>
      <c r="C1420">
        <v>3</v>
      </c>
      <c r="D1420" s="1">
        <v>420193</v>
      </c>
      <c r="E1420" s="4">
        <v>338460.22429052077</v>
      </c>
      <c r="F1420" s="4">
        <v>613975.23754688969</v>
      </c>
    </row>
    <row r="1421" spans="1:6" x14ac:dyDescent="0.25">
      <c r="A1421" t="s">
        <v>31</v>
      </c>
      <c r="B1421" t="s">
        <v>103</v>
      </c>
      <c r="C1421">
        <v>7.49</v>
      </c>
      <c r="D1421" s="1">
        <v>1138908</v>
      </c>
      <c r="E1421" s="4">
        <v>395673.16728715622</v>
      </c>
      <c r="F1421" s="4">
        <v>516037.28767860145</v>
      </c>
    </row>
    <row r="1422" spans="1:6" x14ac:dyDescent="0.25">
      <c r="A1422" t="s">
        <v>32</v>
      </c>
      <c r="B1422" t="s">
        <v>103</v>
      </c>
      <c r="C1422">
        <v>3.76</v>
      </c>
      <c r="D1422" s="1">
        <v>546414</v>
      </c>
      <c r="E1422" s="4">
        <v>915937.55018614687</v>
      </c>
      <c r="F1422" s="4">
        <v>549874.15277594316</v>
      </c>
    </row>
    <row r="1423" spans="1:6" x14ac:dyDescent="0.25">
      <c r="A1423" t="s">
        <v>33</v>
      </c>
      <c r="B1423" t="s">
        <v>103</v>
      </c>
      <c r="C1423">
        <v>5.23</v>
      </c>
      <c r="D1423" s="1">
        <v>760286</v>
      </c>
      <c r="E1423" s="4">
        <v>657271.06505584402</v>
      </c>
      <c r="F1423" s="4">
        <v>481534.32460730453</v>
      </c>
    </row>
    <row r="1424" spans="1:6" x14ac:dyDescent="0.25">
      <c r="A1424" t="s">
        <v>34</v>
      </c>
      <c r="B1424" t="s">
        <v>103</v>
      </c>
      <c r="C1424">
        <v>4.43</v>
      </c>
      <c r="D1424" s="1">
        <v>618526</v>
      </c>
      <c r="E1424" s="4">
        <v>729381.51951675315</v>
      </c>
      <c r="F1424" s="4">
        <v>482893.27582859388</v>
      </c>
    </row>
    <row r="1425" spans="1:6" x14ac:dyDescent="0.25">
      <c r="A1425" t="s">
        <v>35</v>
      </c>
      <c r="B1425" t="s">
        <v>103</v>
      </c>
      <c r="C1425">
        <v>13.31</v>
      </c>
      <c r="D1425" s="1">
        <v>1933867</v>
      </c>
      <c r="E1425" s="4">
        <v>651782.65585502586</v>
      </c>
      <c r="F1425" s="4">
        <v>230541.88135134414</v>
      </c>
    </row>
    <row r="1426" spans="1:6" x14ac:dyDescent="0.25">
      <c r="A1426" t="s">
        <v>36</v>
      </c>
      <c r="B1426" t="s">
        <v>103</v>
      </c>
      <c r="C1426">
        <v>6.68</v>
      </c>
      <c r="D1426" s="1">
        <v>937655</v>
      </c>
      <c r="E1426" s="4">
        <v>1549241.6967565077</v>
      </c>
      <c r="F1426" s="4">
        <v>745350.31775457249</v>
      </c>
    </row>
    <row r="1427" spans="1:6" x14ac:dyDescent="0.25">
      <c r="A1427" t="s">
        <v>37</v>
      </c>
      <c r="B1427" t="s">
        <v>103</v>
      </c>
      <c r="C1427">
        <v>3.48</v>
      </c>
      <c r="D1427" s="1">
        <v>518113</v>
      </c>
      <c r="E1427" s="4">
        <v>1121131.0090269523</v>
      </c>
      <c r="F1427" s="4">
        <v>822611.18789671105</v>
      </c>
    </row>
    <row r="1428" spans="1:6" x14ac:dyDescent="0.25">
      <c r="A1428" t="s">
        <v>38</v>
      </c>
      <c r="B1428" t="s">
        <v>103</v>
      </c>
      <c r="C1428">
        <v>9.27</v>
      </c>
      <c r="D1428" s="1">
        <v>1308684</v>
      </c>
      <c r="E1428" s="4">
        <v>699018.40270808572</v>
      </c>
      <c r="F1428" s="4">
        <v>890956.27883041394</v>
      </c>
    </row>
    <row r="1429" spans="1:6" x14ac:dyDescent="0.25">
      <c r="A1429" t="s">
        <v>39</v>
      </c>
      <c r="B1429" t="s">
        <v>103</v>
      </c>
      <c r="C1429">
        <v>10.17</v>
      </c>
      <c r="D1429" s="1">
        <v>1462698</v>
      </c>
      <c r="E1429" s="4">
        <v>1125784.3208124256</v>
      </c>
      <c r="F1429" s="4">
        <v>608101.18329701037</v>
      </c>
    </row>
    <row r="1430" spans="1:6" x14ac:dyDescent="0.25">
      <c r="A1430" t="s">
        <v>40</v>
      </c>
      <c r="B1430" t="s">
        <v>103</v>
      </c>
      <c r="C1430">
        <v>9.34</v>
      </c>
      <c r="D1430" s="1">
        <v>1334383</v>
      </c>
      <c r="E1430" s="4">
        <v>1361623.8962437278</v>
      </c>
      <c r="F1430" s="4">
        <v>531925.33528552169</v>
      </c>
    </row>
    <row r="1431" spans="1:6" x14ac:dyDescent="0.25">
      <c r="A1431" t="s">
        <v>41</v>
      </c>
      <c r="B1431" t="s">
        <v>103</v>
      </c>
      <c r="C1431">
        <v>6.2</v>
      </c>
      <c r="D1431" s="1">
        <v>907026</v>
      </c>
      <c r="E1431" s="4">
        <v>1342555.2688731183</v>
      </c>
      <c r="F1431" s="4">
        <v>402469.47469059727</v>
      </c>
    </row>
    <row r="1432" spans="1:6" x14ac:dyDescent="0.25">
      <c r="A1432" t="s">
        <v>42</v>
      </c>
      <c r="B1432" t="s">
        <v>103</v>
      </c>
      <c r="C1432">
        <v>13.22</v>
      </c>
      <c r="D1432" s="1">
        <v>1889860</v>
      </c>
      <c r="E1432" s="4">
        <v>1037684.7806619355</v>
      </c>
      <c r="F1432" s="4">
        <v>318296.84137977363</v>
      </c>
    </row>
    <row r="1433" spans="1:6" x14ac:dyDescent="0.25">
      <c r="A1433" t="s">
        <v>43</v>
      </c>
      <c r="B1433" t="s">
        <v>103</v>
      </c>
      <c r="C1433">
        <v>11.99</v>
      </c>
      <c r="D1433" s="1">
        <v>1749723</v>
      </c>
      <c r="E1433" s="4">
        <v>1634207.4341985807</v>
      </c>
      <c r="F1433" s="4">
        <v>552759.86797378631</v>
      </c>
    </row>
    <row r="1434" spans="1:6" x14ac:dyDescent="0.25">
      <c r="A1434" t="s">
        <v>44</v>
      </c>
      <c r="B1434" t="s">
        <v>103</v>
      </c>
      <c r="C1434">
        <v>14.58</v>
      </c>
      <c r="D1434" s="1">
        <v>2121009</v>
      </c>
      <c r="E1434" s="4">
        <v>1715068.3302595741</v>
      </c>
      <c r="F1434" s="4">
        <v>556546.55224322237</v>
      </c>
    </row>
    <row r="1435" spans="1:6" x14ac:dyDescent="0.25">
      <c r="A1435" t="s">
        <v>45</v>
      </c>
      <c r="B1435" t="s">
        <v>103</v>
      </c>
      <c r="C1435">
        <v>5.82</v>
      </c>
      <c r="D1435" s="1">
        <v>862126</v>
      </c>
      <c r="E1435" s="4">
        <v>1999226.799077872</v>
      </c>
      <c r="F1435" s="4">
        <v>549039.8521496735</v>
      </c>
    </row>
    <row r="1436" spans="1:6" x14ac:dyDescent="0.25">
      <c r="A1436" t="s">
        <v>46</v>
      </c>
      <c r="B1436" t="s">
        <v>103</v>
      </c>
      <c r="C1436">
        <v>9.58</v>
      </c>
      <c r="D1436" s="1">
        <v>1462418</v>
      </c>
      <c r="E1436" s="4">
        <v>1203256.2397233616</v>
      </c>
      <c r="F1436" s="4">
        <v>700268.97226595785</v>
      </c>
    </row>
    <row r="1437" spans="1:6" x14ac:dyDescent="0.25">
      <c r="A1437" t="s">
        <v>47</v>
      </c>
      <c r="B1437" t="s">
        <v>103</v>
      </c>
      <c r="C1437">
        <v>8.92</v>
      </c>
      <c r="D1437" s="1">
        <v>1313752</v>
      </c>
      <c r="E1437" s="4">
        <v>1384669.4719170085</v>
      </c>
      <c r="F1437" s="4">
        <v>712963.50364810077</v>
      </c>
    </row>
    <row r="1438" spans="1:6" x14ac:dyDescent="0.25">
      <c r="A1438" t="s">
        <v>48</v>
      </c>
      <c r="B1438" t="s">
        <v>103</v>
      </c>
      <c r="C1438">
        <v>12.1</v>
      </c>
      <c r="D1438" s="1">
        <v>1818489</v>
      </c>
      <c r="E1438" s="4">
        <v>1335027.2415751023</v>
      </c>
      <c r="F1438" s="4">
        <v>674584.39874150674</v>
      </c>
    </row>
    <row r="1439" spans="1:6" x14ac:dyDescent="0.25">
      <c r="A1439" t="s">
        <v>49</v>
      </c>
      <c r="B1439" t="s">
        <v>103</v>
      </c>
      <c r="C1439">
        <v>4.03</v>
      </c>
      <c r="D1439" s="1">
        <v>613608</v>
      </c>
      <c r="E1439" s="4">
        <v>1673450.4724725306</v>
      </c>
      <c r="F1439" s="4">
        <v>319337.53181238583</v>
      </c>
    </row>
    <row r="1440" spans="1:6" x14ac:dyDescent="0.25">
      <c r="A1440" t="s">
        <v>50</v>
      </c>
      <c r="B1440" t="s">
        <v>103</v>
      </c>
      <c r="C1440">
        <v>13.7</v>
      </c>
      <c r="D1440" s="1">
        <v>2001648</v>
      </c>
      <c r="E1440" s="4">
        <v>931560.74174175912</v>
      </c>
      <c r="F1440" s="4">
        <v>673802.79660522845</v>
      </c>
    </row>
    <row r="1441" spans="1:6" x14ac:dyDescent="0.25">
      <c r="A1441" t="s">
        <v>51</v>
      </c>
      <c r="B1441" t="s">
        <v>103</v>
      </c>
      <c r="C1441">
        <v>9.6999999999999993</v>
      </c>
      <c r="D1441" s="1">
        <v>1441408</v>
      </c>
      <c r="E1441" s="4">
        <v>1680621.8225225275</v>
      </c>
      <c r="F1441" s="4">
        <v>913252.07885567204</v>
      </c>
    </row>
    <row r="1442" spans="1:6" x14ac:dyDescent="0.25">
      <c r="A1442" t="s">
        <v>52</v>
      </c>
      <c r="B1442" t="s">
        <v>103</v>
      </c>
      <c r="C1442">
        <v>12.5</v>
      </c>
      <c r="D1442" s="1">
        <v>1881506</v>
      </c>
      <c r="E1442" s="4">
        <v>1513172.1467567582</v>
      </c>
      <c r="F1442" s="4">
        <v>880449.89628961182</v>
      </c>
    </row>
    <row r="1443" spans="1:6" x14ac:dyDescent="0.25">
      <c r="A1443" t="s">
        <v>53</v>
      </c>
      <c r="B1443" t="s">
        <v>103</v>
      </c>
      <c r="C1443">
        <v>5.65</v>
      </c>
      <c r="D1443" s="1">
        <v>863925</v>
      </c>
      <c r="E1443" s="4">
        <v>1771005.8440270275</v>
      </c>
      <c r="F1443" s="4">
        <v>667827.27822331735</v>
      </c>
    </row>
    <row r="1444" spans="1:6" x14ac:dyDescent="0.25">
      <c r="A1444" t="s">
        <v>54</v>
      </c>
      <c r="B1444" t="s">
        <v>103</v>
      </c>
      <c r="C1444">
        <v>14.66</v>
      </c>
      <c r="D1444" s="1">
        <v>2225175</v>
      </c>
      <c r="E1444" s="4">
        <v>1136049.2532081082</v>
      </c>
      <c r="F1444" s="4">
        <v>581861.59234295506</v>
      </c>
    </row>
    <row r="1445" spans="1:6" x14ac:dyDescent="0.25">
      <c r="A1445" t="s">
        <v>55</v>
      </c>
      <c r="B1445" t="s">
        <v>103</v>
      </c>
      <c r="C1445">
        <v>10.47</v>
      </c>
      <c r="D1445" s="1">
        <v>1599665</v>
      </c>
      <c r="E1445" s="4">
        <v>1898437.2759624324</v>
      </c>
      <c r="F1445" s="4">
        <v>845509.78259091219</v>
      </c>
    </row>
    <row r="1446" spans="1:6" x14ac:dyDescent="0.25">
      <c r="A1446" t="s">
        <v>56</v>
      </c>
      <c r="B1446" t="s">
        <v>103</v>
      </c>
      <c r="C1446">
        <v>13.96</v>
      </c>
      <c r="D1446" s="1">
        <v>2161750</v>
      </c>
      <c r="E1446" s="4">
        <v>1689296.6827887297</v>
      </c>
      <c r="F1446" s="4">
        <v>836312.42623187823</v>
      </c>
    </row>
    <row r="1447" spans="1:6" x14ac:dyDescent="0.25">
      <c r="A1447" t="s">
        <v>57</v>
      </c>
      <c r="B1447" t="s">
        <v>103</v>
      </c>
      <c r="C1447">
        <v>8</v>
      </c>
      <c r="D1447" s="1">
        <v>1238748</v>
      </c>
      <c r="E1447" s="4">
        <v>2020014.0048366189</v>
      </c>
      <c r="F1447" s="4">
        <v>706793.67620088882</v>
      </c>
    </row>
    <row r="1448" spans="1:6" x14ac:dyDescent="0.25">
      <c r="A1448" t="s">
        <v>58</v>
      </c>
      <c r="B1448" t="s">
        <v>103</v>
      </c>
      <c r="C1448">
        <v>14.48</v>
      </c>
      <c r="D1448" s="1">
        <v>2177875</v>
      </c>
      <c r="E1448" s="4">
        <v>1473127.8014509855</v>
      </c>
      <c r="F1448" s="4">
        <v>554633.08596496982</v>
      </c>
    </row>
    <row r="1449" spans="1:6" x14ac:dyDescent="0.25">
      <c r="A1449" t="s">
        <v>59</v>
      </c>
      <c r="B1449" t="s">
        <v>103</v>
      </c>
      <c r="C1449">
        <v>9.4700000000000006</v>
      </c>
      <c r="D1449" s="1">
        <v>1426160</v>
      </c>
      <c r="E1449" s="4">
        <v>1966450.8404352956</v>
      </c>
      <c r="F1449" s="4">
        <v>665897.21957671246</v>
      </c>
    </row>
    <row r="1450" spans="1:6" x14ac:dyDescent="0.25">
      <c r="A1450" t="s">
        <v>60</v>
      </c>
      <c r="B1450" t="s">
        <v>103</v>
      </c>
      <c r="C1450">
        <v>12.25</v>
      </c>
      <c r="D1450" s="1">
        <v>1598774</v>
      </c>
      <c r="E1450" s="4">
        <v>1588247.2521305885</v>
      </c>
      <c r="F1450" s="4">
        <v>682876.11771446362</v>
      </c>
    </row>
    <row r="1451" spans="1:6" x14ac:dyDescent="0.25">
      <c r="A1451" t="s">
        <v>61</v>
      </c>
      <c r="B1451" t="s">
        <v>103</v>
      </c>
      <c r="C1451">
        <v>10.45</v>
      </c>
      <c r="D1451" s="1">
        <v>1628824</v>
      </c>
      <c r="E1451" s="4">
        <v>1595615.9756391763</v>
      </c>
      <c r="F1451" s="4">
        <v>512735.67541884852</v>
      </c>
    </row>
    <row r="1452" spans="1:6" x14ac:dyDescent="0.25">
      <c r="A1452" t="s">
        <v>62</v>
      </c>
      <c r="B1452" t="s">
        <v>103</v>
      </c>
      <c r="C1452">
        <v>12.97</v>
      </c>
      <c r="D1452" s="1">
        <v>1995026</v>
      </c>
      <c r="E1452" s="4">
        <v>1618861.5926917526</v>
      </c>
      <c r="F1452" s="4">
        <v>312584.80319263408</v>
      </c>
    </row>
    <row r="1453" spans="1:6" x14ac:dyDescent="0.25">
      <c r="A1453" t="s">
        <v>63</v>
      </c>
      <c r="B1453" t="s">
        <v>103</v>
      </c>
      <c r="C1453">
        <v>14.4</v>
      </c>
      <c r="D1453" s="1">
        <v>2120321</v>
      </c>
      <c r="E1453" s="4">
        <v>1882176.6778075257</v>
      </c>
      <c r="F1453" s="4">
        <v>218107.95998634887</v>
      </c>
    </row>
    <row r="1454" spans="1:6" x14ac:dyDescent="0.25">
      <c r="A1454" t="s">
        <v>64</v>
      </c>
      <c r="B1454" t="s">
        <v>103</v>
      </c>
      <c r="C1454">
        <v>14.68</v>
      </c>
      <c r="D1454" s="1">
        <v>2207377</v>
      </c>
      <c r="E1454" s="4">
        <v>2048877.7033422575</v>
      </c>
      <c r="F1454" s="4">
        <v>257756.44343709893</v>
      </c>
    </row>
    <row r="1455" spans="1:6" x14ac:dyDescent="0.25">
      <c r="A1455" t="s">
        <v>65</v>
      </c>
      <c r="B1455" t="s">
        <v>103</v>
      </c>
      <c r="C1455">
        <v>11.56</v>
      </c>
      <c r="D1455" s="1">
        <v>1735672</v>
      </c>
      <c r="E1455" s="4">
        <v>2159827.2110026772</v>
      </c>
      <c r="F1455" s="4">
        <v>272845.74797192466</v>
      </c>
    </row>
    <row r="1456" spans="1:6" x14ac:dyDescent="0.25">
      <c r="A1456" t="s">
        <v>66</v>
      </c>
      <c r="B1456" t="s">
        <v>103</v>
      </c>
      <c r="C1456">
        <v>23.93</v>
      </c>
      <c r="D1456" s="1">
        <v>3528942</v>
      </c>
      <c r="E1456" s="4">
        <v>1862918.5633008031</v>
      </c>
      <c r="F1456" s="4">
        <v>295376.81485081482</v>
      </c>
    </row>
    <row r="1457" spans="1:6" x14ac:dyDescent="0.25">
      <c r="A1457" t="s">
        <v>67</v>
      </c>
      <c r="B1457" t="s">
        <v>103</v>
      </c>
      <c r="C1457">
        <v>16.86</v>
      </c>
      <c r="D1457" s="1">
        <v>2533926</v>
      </c>
      <c r="E1457" s="4">
        <v>3029134.9689902407</v>
      </c>
      <c r="F1457" s="4">
        <v>996772.08389426174</v>
      </c>
    </row>
    <row r="1458" spans="1:6" x14ac:dyDescent="0.25">
      <c r="A1458" t="s">
        <v>68</v>
      </c>
      <c r="B1458" t="s">
        <v>103</v>
      </c>
      <c r="C1458">
        <v>27.74</v>
      </c>
      <c r="D1458" s="1">
        <v>4118644</v>
      </c>
      <c r="E1458" s="4">
        <v>2682488.6906970721</v>
      </c>
      <c r="F1458" s="4">
        <v>1032920.399905063</v>
      </c>
    </row>
    <row r="1459" spans="1:6" x14ac:dyDescent="0.25">
      <c r="A1459" t="s">
        <v>69</v>
      </c>
      <c r="B1459" t="s">
        <v>103</v>
      </c>
      <c r="C1459">
        <v>14.03</v>
      </c>
      <c r="D1459" s="1">
        <v>2242300</v>
      </c>
      <c r="E1459" s="4">
        <v>3687797.4072091216</v>
      </c>
      <c r="F1459" s="4">
        <v>1301717.8505137444</v>
      </c>
    </row>
    <row r="1460" spans="1:6" x14ac:dyDescent="0.25">
      <c r="A1460" t="s">
        <v>70</v>
      </c>
      <c r="B1460" t="s">
        <v>103</v>
      </c>
      <c r="C1460">
        <v>25.61</v>
      </c>
      <c r="D1460" s="1">
        <v>3834532</v>
      </c>
      <c r="E1460" s="4">
        <v>2675949.2221627366</v>
      </c>
      <c r="F1460" s="4">
        <v>1210679.8021023367</v>
      </c>
    </row>
    <row r="1461" spans="1:6" x14ac:dyDescent="0.25">
      <c r="A1461" t="s">
        <v>71</v>
      </c>
      <c r="B1461" t="s">
        <v>103</v>
      </c>
      <c r="C1461">
        <v>17.63</v>
      </c>
      <c r="D1461" s="1">
        <v>2683614</v>
      </c>
      <c r="E1461" s="4">
        <v>3486957.166648821</v>
      </c>
      <c r="F1461" s="4">
        <v>1353306.9225405338</v>
      </c>
    </row>
    <row r="1462" spans="1:6" x14ac:dyDescent="0.25">
      <c r="A1462" t="s">
        <v>72</v>
      </c>
      <c r="B1462" t="s">
        <v>103</v>
      </c>
      <c r="C1462">
        <v>27.33</v>
      </c>
      <c r="D1462" s="1">
        <v>4075424</v>
      </c>
      <c r="E1462" s="4">
        <v>2924616.949994646</v>
      </c>
      <c r="F1462" s="4">
        <v>1165781.1473786947</v>
      </c>
    </row>
    <row r="1463" spans="1:6" x14ac:dyDescent="0.25">
      <c r="A1463" t="s">
        <v>73</v>
      </c>
      <c r="B1463" t="s">
        <v>103</v>
      </c>
      <c r="C1463">
        <v>22.04</v>
      </c>
      <c r="D1463" s="1">
        <v>3214821</v>
      </c>
      <c r="E1463" s="4">
        <v>3730181.8849983937</v>
      </c>
      <c r="F1463" s="4">
        <v>1050718.9860351959</v>
      </c>
    </row>
    <row r="1464" spans="1:6" x14ac:dyDescent="0.25">
      <c r="A1464" t="s">
        <v>74</v>
      </c>
      <c r="B1464" t="s">
        <v>103</v>
      </c>
      <c r="C1464">
        <v>25.97</v>
      </c>
      <c r="D1464" s="1">
        <v>3939183</v>
      </c>
      <c r="E1464" s="4">
        <v>3369429.2654995178</v>
      </c>
      <c r="F1464" s="4">
        <v>863194.44536552881</v>
      </c>
    </row>
    <row r="1465" spans="1:6" x14ac:dyDescent="0.25">
      <c r="A1465" t="s">
        <v>75</v>
      </c>
      <c r="B1465" t="s">
        <v>103</v>
      </c>
      <c r="C1465">
        <v>18.55</v>
      </c>
      <c r="D1465" s="1">
        <v>2870648</v>
      </c>
      <c r="E1465" s="4">
        <v>3768256.8796498552</v>
      </c>
      <c r="F1465" s="4">
        <v>798868.58036967902</v>
      </c>
    </row>
    <row r="1466" spans="1:6" x14ac:dyDescent="0.25">
      <c r="A1466" t="s">
        <v>76</v>
      </c>
      <c r="B1466" t="s">
        <v>103</v>
      </c>
      <c r="C1466">
        <v>25</v>
      </c>
      <c r="D1466" s="1">
        <v>3834444</v>
      </c>
      <c r="E1466" s="4">
        <v>3139930.6638949565</v>
      </c>
      <c r="F1466" s="4">
        <v>682133.38397262688</v>
      </c>
    </row>
    <row r="1467" spans="1:6" x14ac:dyDescent="0.25">
      <c r="A1467" t="s">
        <v>77</v>
      </c>
      <c r="B1467" t="s">
        <v>103</v>
      </c>
      <c r="C1467">
        <v>13.77</v>
      </c>
      <c r="D1467" s="1">
        <v>2187912</v>
      </c>
      <c r="E1467" s="4">
        <v>3626089.9991684868</v>
      </c>
      <c r="F1467" s="4">
        <v>733182.51316464425</v>
      </c>
    </row>
    <row r="1468" spans="1:6" x14ac:dyDescent="0.25">
      <c r="A1468" t="s">
        <v>78</v>
      </c>
      <c r="B1468" t="s">
        <v>103</v>
      </c>
      <c r="C1468">
        <v>29.84</v>
      </c>
      <c r="D1468" s="1">
        <v>4539544</v>
      </c>
      <c r="E1468" s="4">
        <v>2619365.3997505456</v>
      </c>
      <c r="F1468" s="4">
        <v>1057734.4392846278</v>
      </c>
    </row>
    <row r="1469" spans="1:6" x14ac:dyDescent="0.25">
      <c r="A1469" t="s">
        <v>79</v>
      </c>
      <c r="B1469" t="s">
        <v>103</v>
      </c>
      <c r="C1469">
        <v>17.38</v>
      </c>
      <c r="D1469" s="1">
        <v>2610084</v>
      </c>
      <c r="E1469" s="4">
        <v>3963490.4199251635</v>
      </c>
      <c r="F1469" s="4">
        <v>1441965.1623364533</v>
      </c>
    </row>
    <row r="1470" spans="1:6" x14ac:dyDescent="0.25">
      <c r="A1470" t="s">
        <v>80</v>
      </c>
      <c r="B1470" t="s">
        <v>103</v>
      </c>
      <c r="C1470">
        <v>25.59</v>
      </c>
      <c r="D1470" s="1">
        <v>3811169</v>
      </c>
      <c r="E1470" s="4">
        <v>3016105.9259775486</v>
      </c>
      <c r="F1470" s="4">
        <v>1590298.7928523447</v>
      </c>
    </row>
    <row r="1471" spans="1:6" x14ac:dyDescent="0.25">
      <c r="A1471" t="s">
        <v>81</v>
      </c>
      <c r="B1471" t="s">
        <v>103</v>
      </c>
      <c r="C1471">
        <v>15.85</v>
      </c>
      <c r="D1471" s="1">
        <v>2450337</v>
      </c>
      <c r="E1471" s="4">
        <v>3572650.0777932643</v>
      </c>
      <c r="F1471" s="4">
        <v>1431889.204981148</v>
      </c>
    </row>
    <row r="1472" spans="1:6" x14ac:dyDescent="0.25">
      <c r="A1472" t="s">
        <v>82</v>
      </c>
      <c r="B1472" t="s">
        <v>103</v>
      </c>
      <c r="C1472">
        <v>33.14</v>
      </c>
      <c r="D1472" s="1">
        <v>4738823</v>
      </c>
      <c r="E1472" s="4">
        <v>2787030.9233379792</v>
      </c>
      <c r="F1472" s="4">
        <v>1114064.7607978135</v>
      </c>
    </row>
    <row r="1473" spans="1:6" x14ac:dyDescent="0.25">
      <c r="A1473" t="s">
        <v>83</v>
      </c>
      <c r="B1473" t="s">
        <v>103</v>
      </c>
      <c r="C1473">
        <v>22.76</v>
      </c>
      <c r="D1473" s="1">
        <v>3287222</v>
      </c>
      <c r="E1473" s="4">
        <v>4153285.3770013936</v>
      </c>
      <c r="F1473" s="4">
        <v>1378550.4762588446</v>
      </c>
    </row>
    <row r="1474" spans="1:6" x14ac:dyDescent="0.25">
      <c r="A1474" t="s">
        <v>84</v>
      </c>
      <c r="B1474" t="s">
        <v>103</v>
      </c>
      <c r="C1474">
        <v>27.56</v>
      </c>
      <c r="D1474" s="1">
        <v>4125246</v>
      </c>
      <c r="E1474" s="4">
        <v>3547041.0131004183</v>
      </c>
      <c r="F1474" s="4">
        <v>1392736.4823839304</v>
      </c>
    </row>
    <row r="1475" spans="1:6" x14ac:dyDescent="0.25">
      <c r="A1475" t="s">
        <v>54</v>
      </c>
      <c r="B1475" t="s">
        <v>104</v>
      </c>
      <c r="C1475">
        <v>5.48</v>
      </c>
      <c r="D1475" s="1">
        <v>8039</v>
      </c>
      <c r="E1475" s="4">
        <v>3951784.5039301254</v>
      </c>
      <c r="F1475" s="4">
        <v>1277220.8227735781</v>
      </c>
    </row>
    <row r="1476" spans="1:6" x14ac:dyDescent="0.25">
      <c r="A1476" t="s">
        <v>55</v>
      </c>
      <c r="B1476" t="s">
        <v>104</v>
      </c>
      <c r="C1476">
        <v>13.11</v>
      </c>
      <c r="D1476" s="1">
        <v>21294</v>
      </c>
      <c r="E1476" s="4">
        <v>1191162.6511790375</v>
      </c>
      <c r="F1476" s="4">
        <v>2354960.3945450746</v>
      </c>
    </row>
    <row r="1477" spans="1:6" x14ac:dyDescent="0.25">
      <c r="A1477" t="s">
        <v>56</v>
      </c>
      <c r="B1477" t="s">
        <v>104</v>
      </c>
      <c r="C1477">
        <v>1</v>
      </c>
      <c r="D1477" s="1">
        <v>1616</v>
      </c>
      <c r="E1477" s="4">
        <v>372254.59535371122</v>
      </c>
      <c r="F1477" s="4">
        <v>2398335.6915199952</v>
      </c>
    </row>
    <row r="1478" spans="1:6" x14ac:dyDescent="0.25">
      <c r="A1478" t="s">
        <v>60</v>
      </c>
      <c r="B1478" t="s">
        <v>104</v>
      </c>
      <c r="C1478">
        <v>0</v>
      </c>
      <c r="D1478">
        <v>0</v>
      </c>
      <c r="E1478" s="4">
        <v>112807.57860611335</v>
      </c>
      <c r="F1478" s="4">
        <v>2384609.9771343679</v>
      </c>
    </row>
    <row r="1479" spans="1:6" x14ac:dyDescent="0.25">
      <c r="A1479" t="s">
        <v>62</v>
      </c>
      <c r="B1479" t="s">
        <v>104</v>
      </c>
      <c r="C1479">
        <v>5.81</v>
      </c>
      <c r="D1479" s="1">
        <v>8210</v>
      </c>
      <c r="E1479" s="4">
        <v>33842.273581834008</v>
      </c>
      <c r="F1479" s="4">
        <v>711498.6950487463</v>
      </c>
    </row>
    <row r="1480" spans="1:6" x14ac:dyDescent="0.25">
      <c r="A1480" t="s">
        <v>64</v>
      </c>
      <c r="B1480" t="s">
        <v>104</v>
      </c>
      <c r="C1480">
        <v>12.68</v>
      </c>
      <c r="D1480" s="1">
        <v>20352</v>
      </c>
      <c r="E1480" s="4">
        <v>15899.682074550203</v>
      </c>
      <c r="F1480" s="4">
        <v>224169.23042329765</v>
      </c>
    </row>
    <row r="1481" spans="1:6" x14ac:dyDescent="0.25">
      <c r="A1481" t="s">
        <v>66</v>
      </c>
      <c r="B1481" t="s">
        <v>104</v>
      </c>
      <c r="C1481">
        <v>1.37</v>
      </c>
      <c r="D1481" s="1">
        <v>2110</v>
      </c>
      <c r="E1481" s="4">
        <v>19016.30462236506</v>
      </c>
      <c r="F1481" s="4">
        <v>66839.07633228162</v>
      </c>
    </row>
    <row r="1482" spans="1:6" x14ac:dyDescent="0.25">
      <c r="A1482" t="s">
        <v>74</v>
      </c>
      <c r="B1482" t="s">
        <v>104</v>
      </c>
      <c r="C1482">
        <v>0</v>
      </c>
      <c r="D1482">
        <v>0</v>
      </c>
      <c r="E1482" s="4">
        <v>7181.891386709518</v>
      </c>
      <c r="F1482" s="4">
        <v>17913.307156668656</v>
      </c>
    </row>
    <row r="1483" spans="1:6" x14ac:dyDescent="0.25">
      <c r="A1483" t="s">
        <v>7</v>
      </c>
      <c r="B1483" t="s">
        <v>105</v>
      </c>
      <c r="C1483">
        <v>8.17</v>
      </c>
      <c r="D1483" s="1">
        <v>1452822</v>
      </c>
      <c r="E1483" s="4">
        <v>2154.5674160128551</v>
      </c>
      <c r="F1483" s="4">
        <v>10912.161942590727</v>
      </c>
    </row>
    <row r="1484" spans="1:6" x14ac:dyDescent="0.25">
      <c r="A1484" t="s">
        <v>10</v>
      </c>
      <c r="B1484" t="s">
        <v>105</v>
      </c>
      <c r="C1484">
        <v>2.6</v>
      </c>
      <c r="D1484" s="1">
        <v>472377</v>
      </c>
      <c r="E1484" s="4">
        <v>1017621.7702248037</v>
      </c>
      <c r="F1484" s="4">
        <v>837610.37136600527</v>
      </c>
    </row>
    <row r="1485" spans="1:6" x14ac:dyDescent="0.25">
      <c r="A1485" t="s">
        <v>11</v>
      </c>
      <c r="B1485" t="s">
        <v>105</v>
      </c>
      <c r="C1485">
        <v>9.11</v>
      </c>
      <c r="D1485" s="1">
        <v>1612493</v>
      </c>
      <c r="E1485" s="4">
        <v>635950.43106744112</v>
      </c>
      <c r="F1485" s="4">
        <v>894758.7084387996</v>
      </c>
    </row>
    <row r="1486" spans="1:6" x14ac:dyDescent="0.25">
      <c r="A1486" t="s">
        <v>12</v>
      </c>
      <c r="B1486" t="s">
        <v>105</v>
      </c>
      <c r="C1486">
        <v>11.58</v>
      </c>
      <c r="D1486" s="1">
        <v>2044245</v>
      </c>
      <c r="E1486" s="4">
        <v>1319530.2293202323</v>
      </c>
      <c r="F1486" s="4">
        <v>1057570.0525819741</v>
      </c>
    </row>
    <row r="1487" spans="1:6" x14ac:dyDescent="0.25">
      <c r="A1487" t="s">
        <v>13</v>
      </c>
      <c r="B1487" t="s">
        <v>105</v>
      </c>
      <c r="C1487">
        <v>9.81</v>
      </c>
      <c r="D1487" s="1">
        <v>1815618</v>
      </c>
      <c r="E1487" s="4">
        <v>1826830.5687960696</v>
      </c>
      <c r="F1487" s="4">
        <v>769445.41656882735</v>
      </c>
    </row>
    <row r="1488" spans="1:6" x14ac:dyDescent="0.25">
      <c r="A1488" t="s">
        <v>14</v>
      </c>
      <c r="B1488" t="s">
        <v>105</v>
      </c>
      <c r="C1488">
        <v>4.08</v>
      </c>
      <c r="D1488" s="1">
        <v>700071</v>
      </c>
      <c r="E1488" s="4">
        <v>1818981.7706388207</v>
      </c>
      <c r="F1488" s="4">
        <v>702133.08555141138</v>
      </c>
    </row>
    <row r="1489" spans="1:6" x14ac:dyDescent="0.25">
      <c r="A1489" t="s">
        <v>15</v>
      </c>
      <c r="B1489" t="s">
        <v>105</v>
      </c>
      <c r="C1489">
        <v>3.27</v>
      </c>
      <c r="D1489" s="1">
        <v>582228</v>
      </c>
      <c r="E1489" s="4">
        <v>1035744.2311916462</v>
      </c>
      <c r="F1489" s="4">
        <v>769696.59242933604</v>
      </c>
    </row>
    <row r="1490" spans="1:6" x14ac:dyDescent="0.25">
      <c r="A1490" t="s">
        <v>16</v>
      </c>
      <c r="B1490" t="s">
        <v>105</v>
      </c>
      <c r="C1490">
        <v>6.17</v>
      </c>
      <c r="D1490" s="1">
        <v>1149265</v>
      </c>
      <c r="E1490" s="4">
        <v>718282.86935749382</v>
      </c>
      <c r="F1490" s="4">
        <v>697080.58030255511</v>
      </c>
    </row>
    <row r="1491" spans="1:6" x14ac:dyDescent="0.25">
      <c r="A1491" t="s">
        <v>17</v>
      </c>
      <c r="B1491" t="s">
        <v>105</v>
      </c>
      <c r="C1491">
        <v>19.3</v>
      </c>
      <c r="D1491" s="1">
        <v>3442375</v>
      </c>
      <c r="E1491" s="4">
        <v>1019970.3608072482</v>
      </c>
      <c r="F1491" s="4">
        <v>740131.49316838477</v>
      </c>
    </row>
    <row r="1492" spans="1:6" x14ac:dyDescent="0.25">
      <c r="A1492" t="s">
        <v>18</v>
      </c>
      <c r="B1492" t="s">
        <v>105</v>
      </c>
      <c r="C1492">
        <v>12.03</v>
      </c>
      <c r="D1492" s="1">
        <v>2063756</v>
      </c>
      <c r="E1492" s="4">
        <v>2715653.6082421746</v>
      </c>
      <c r="F1492" s="4">
        <v>1444468.3918164028</v>
      </c>
    </row>
    <row r="1493" spans="1:6" x14ac:dyDescent="0.25">
      <c r="A1493" t="s">
        <v>19</v>
      </c>
      <c r="B1493" t="s">
        <v>105</v>
      </c>
      <c r="C1493">
        <v>4.5</v>
      </c>
      <c r="D1493" s="1">
        <v>794021</v>
      </c>
      <c r="E1493" s="4">
        <v>2259325.2824726524</v>
      </c>
      <c r="F1493" s="4">
        <v>1469553.2568944877</v>
      </c>
    </row>
    <row r="1494" spans="1:6" x14ac:dyDescent="0.25">
      <c r="A1494" t="s">
        <v>20</v>
      </c>
      <c r="B1494" t="s">
        <v>105</v>
      </c>
      <c r="C1494">
        <v>5.47</v>
      </c>
      <c r="D1494" s="1">
        <v>992488</v>
      </c>
      <c r="E1494" s="4">
        <v>1233612.2847417956</v>
      </c>
      <c r="F1494" s="4">
        <v>1677312.4701783236</v>
      </c>
    </row>
    <row r="1495" spans="1:6" x14ac:dyDescent="0.25">
      <c r="A1495" t="s">
        <v>21</v>
      </c>
      <c r="B1495" t="s">
        <v>105</v>
      </c>
      <c r="C1495">
        <v>12.84</v>
      </c>
      <c r="D1495" s="1">
        <v>2323986</v>
      </c>
      <c r="E1495" s="4">
        <v>1064825.2854225386</v>
      </c>
      <c r="F1495" s="4">
        <v>936345.38722930744</v>
      </c>
    </row>
    <row r="1496" spans="1:6" x14ac:dyDescent="0.25">
      <c r="A1496" t="s">
        <v>22</v>
      </c>
      <c r="B1496" t="s">
        <v>105</v>
      </c>
      <c r="C1496">
        <v>6.8</v>
      </c>
      <c r="D1496" s="1">
        <v>1181645</v>
      </c>
      <c r="E1496" s="4">
        <v>1946237.7856267616</v>
      </c>
      <c r="F1496" s="4">
        <v>1124091.2279200119</v>
      </c>
    </row>
    <row r="1497" spans="1:6" x14ac:dyDescent="0.25">
      <c r="A1497" t="s">
        <v>23</v>
      </c>
      <c r="B1497" t="s">
        <v>105</v>
      </c>
      <c r="C1497">
        <v>2.52</v>
      </c>
      <c r="D1497" s="1">
        <v>449800</v>
      </c>
      <c r="E1497" s="4">
        <v>1411022.8356880285</v>
      </c>
      <c r="F1497" s="4">
        <v>861825.34070811141</v>
      </c>
    </row>
    <row r="1498" spans="1:6" x14ac:dyDescent="0.25">
      <c r="A1498" t="s">
        <v>24</v>
      </c>
      <c r="B1498" t="s">
        <v>105</v>
      </c>
      <c r="C1498">
        <v>6.21</v>
      </c>
      <c r="D1498" s="1">
        <v>1103982</v>
      </c>
      <c r="E1498" s="4">
        <v>738166.8507064085</v>
      </c>
      <c r="F1498" s="4">
        <v>1015551.9308592494</v>
      </c>
    </row>
    <row r="1499" spans="1:6" x14ac:dyDescent="0.25">
      <c r="A1499" t="s">
        <v>25</v>
      </c>
      <c r="B1499" t="s">
        <v>105</v>
      </c>
      <c r="C1499">
        <v>3.59</v>
      </c>
      <c r="D1499" s="1">
        <v>654427</v>
      </c>
      <c r="E1499" s="4">
        <v>994237.45521192241</v>
      </c>
      <c r="F1499" s="4">
        <v>739903.64037788019</v>
      </c>
    </row>
    <row r="1500" spans="1:6" x14ac:dyDescent="0.25">
      <c r="A1500" t="s">
        <v>26</v>
      </c>
      <c r="B1500" t="s">
        <v>105</v>
      </c>
      <c r="C1500">
        <v>0.7</v>
      </c>
      <c r="D1500" s="1">
        <v>121697</v>
      </c>
      <c r="E1500" s="4">
        <v>756370.13656357676</v>
      </c>
      <c r="F1500" s="4">
        <v>625364.21621648106</v>
      </c>
    </row>
    <row r="1501" spans="1:6" x14ac:dyDescent="0.25">
      <c r="A1501" t="s">
        <v>27</v>
      </c>
      <c r="B1501" t="s">
        <v>105</v>
      </c>
      <c r="C1501">
        <v>2.83</v>
      </c>
      <c r="D1501" s="1">
        <v>492483</v>
      </c>
      <c r="E1501" s="4">
        <v>312098.94096907298</v>
      </c>
      <c r="F1501" s="4">
        <v>466226.64702891558</v>
      </c>
    </row>
    <row r="1502" spans="1:6" x14ac:dyDescent="0.25">
      <c r="A1502" t="s">
        <v>28</v>
      </c>
      <c r="B1502" t="s">
        <v>105</v>
      </c>
      <c r="C1502">
        <v>3.21</v>
      </c>
      <c r="D1502" s="1">
        <v>535470</v>
      </c>
      <c r="E1502" s="4">
        <v>438367.78229072189</v>
      </c>
      <c r="F1502" s="4">
        <v>428493.30780431704</v>
      </c>
    </row>
    <row r="1503" spans="1:6" x14ac:dyDescent="0.25">
      <c r="A1503" t="s">
        <v>29</v>
      </c>
      <c r="B1503" t="s">
        <v>105</v>
      </c>
      <c r="C1503">
        <v>2.89</v>
      </c>
      <c r="D1503" s="1">
        <v>525931</v>
      </c>
      <c r="E1503" s="4">
        <v>506339.33468721656</v>
      </c>
      <c r="F1503" s="4">
        <v>385044.25707182527</v>
      </c>
    </row>
    <row r="1504" spans="1:6" x14ac:dyDescent="0.25">
      <c r="A1504" t="s">
        <v>30</v>
      </c>
      <c r="B1504" t="s">
        <v>105</v>
      </c>
      <c r="C1504">
        <v>3.68</v>
      </c>
      <c r="D1504" s="1">
        <v>626157</v>
      </c>
      <c r="E1504" s="4">
        <v>520053.50040616491</v>
      </c>
      <c r="F1504" s="4">
        <v>118815.09834789674</v>
      </c>
    </row>
    <row r="1505" spans="1:6" x14ac:dyDescent="0.25">
      <c r="A1505" t="s">
        <v>31</v>
      </c>
      <c r="B1505" t="s">
        <v>105</v>
      </c>
      <c r="C1505">
        <v>2.2999999999999998</v>
      </c>
      <c r="D1505" s="1">
        <v>399598</v>
      </c>
      <c r="E1505" s="4">
        <v>594325.95012184943</v>
      </c>
      <c r="F1505" s="4">
        <v>83806.576233306681</v>
      </c>
    </row>
    <row r="1506" spans="1:6" x14ac:dyDescent="0.25">
      <c r="A1506" t="s">
        <v>32</v>
      </c>
      <c r="B1506" t="s">
        <v>105</v>
      </c>
      <c r="C1506">
        <v>2.12</v>
      </c>
      <c r="D1506" s="1">
        <v>364721</v>
      </c>
      <c r="E1506" s="4">
        <v>458016.38503655477</v>
      </c>
      <c r="F1506" s="4">
        <v>128531.13829528439</v>
      </c>
    </row>
    <row r="1507" spans="1:6" x14ac:dyDescent="0.25">
      <c r="A1507" t="s">
        <v>33</v>
      </c>
      <c r="B1507" t="s">
        <v>105</v>
      </c>
      <c r="C1507">
        <v>2.2000000000000002</v>
      </c>
      <c r="D1507" s="1">
        <v>391210</v>
      </c>
      <c r="E1507" s="4">
        <v>392709.6155109664</v>
      </c>
      <c r="F1507" s="4">
        <v>138901.5911281982</v>
      </c>
    </row>
    <row r="1508" spans="1:6" x14ac:dyDescent="0.25">
      <c r="A1508" t="s">
        <v>34</v>
      </c>
      <c r="B1508" t="s">
        <v>105</v>
      </c>
      <c r="C1508">
        <v>2.2400000000000002</v>
      </c>
      <c r="D1508" s="1">
        <v>367783</v>
      </c>
      <c r="E1508" s="4">
        <v>391659.88465328992</v>
      </c>
      <c r="F1508" s="4">
        <v>124666.55829913814</v>
      </c>
    </row>
    <row r="1509" spans="1:6" x14ac:dyDescent="0.25">
      <c r="A1509" t="s">
        <v>35</v>
      </c>
      <c r="B1509" t="s">
        <v>105</v>
      </c>
      <c r="C1509">
        <v>2.56</v>
      </c>
      <c r="D1509" s="1">
        <v>431950</v>
      </c>
      <c r="E1509" s="4">
        <v>374946.06539598695</v>
      </c>
      <c r="F1509" s="4">
        <v>55606.904057398751</v>
      </c>
    </row>
    <row r="1510" spans="1:6" x14ac:dyDescent="0.25">
      <c r="A1510" t="s">
        <v>36</v>
      </c>
      <c r="B1510" t="s">
        <v>105</v>
      </c>
      <c r="C1510">
        <v>1.39</v>
      </c>
      <c r="D1510" s="1">
        <v>239386</v>
      </c>
      <c r="E1510" s="4">
        <v>414848.81961879611</v>
      </c>
      <c r="F1510" s="4">
        <v>35692.216834887309</v>
      </c>
    </row>
    <row r="1511" spans="1:6" x14ac:dyDescent="0.25">
      <c r="A1511" t="s">
        <v>37</v>
      </c>
      <c r="B1511" t="s">
        <v>105</v>
      </c>
      <c r="C1511">
        <v>1.82</v>
      </c>
      <c r="D1511" s="1">
        <v>319156</v>
      </c>
      <c r="E1511" s="4">
        <v>292024.84588563885</v>
      </c>
      <c r="F1511" s="4">
        <v>107403.84110087078</v>
      </c>
    </row>
    <row r="1512" spans="1:6" x14ac:dyDescent="0.25">
      <c r="A1512" t="s">
        <v>38</v>
      </c>
      <c r="B1512" t="s">
        <v>105</v>
      </c>
      <c r="C1512">
        <v>1.34</v>
      </c>
      <c r="D1512" s="1">
        <v>219548</v>
      </c>
      <c r="E1512" s="4">
        <v>311016.65376569162</v>
      </c>
      <c r="F1512" s="4">
        <v>107661.11825614977</v>
      </c>
    </row>
    <row r="1513" spans="1:6" x14ac:dyDescent="0.25">
      <c r="A1513" t="s">
        <v>39</v>
      </c>
      <c r="B1513" t="s">
        <v>105</v>
      </c>
      <c r="C1513">
        <v>2.2000000000000002</v>
      </c>
      <c r="D1513" s="1">
        <v>368021</v>
      </c>
      <c r="E1513" s="4">
        <v>246988.59612970747</v>
      </c>
      <c r="F1513" s="4">
        <v>115310.90612464976</v>
      </c>
    </row>
    <row r="1514" spans="1:6" x14ac:dyDescent="0.25">
      <c r="A1514" t="s">
        <v>40</v>
      </c>
      <c r="B1514" t="s">
        <v>105</v>
      </c>
      <c r="C1514">
        <v>1.17</v>
      </c>
      <c r="D1514" s="1">
        <v>191604</v>
      </c>
      <c r="E1514" s="4">
        <v>331711.2788389122</v>
      </c>
      <c r="F1514" s="4">
        <v>88978.381141913327</v>
      </c>
    </row>
    <row r="1515" spans="1:6" x14ac:dyDescent="0.25">
      <c r="A1515" t="s">
        <v>41</v>
      </c>
      <c r="B1515" t="s">
        <v>105</v>
      </c>
      <c r="C1515">
        <v>1.8</v>
      </c>
      <c r="D1515" s="1">
        <v>292937</v>
      </c>
      <c r="E1515" s="4">
        <v>233636.18365167367</v>
      </c>
      <c r="F1515" s="4">
        <v>119227.24379935747</v>
      </c>
    </row>
    <row r="1516" spans="1:6" x14ac:dyDescent="0.25">
      <c r="A1516" t="s">
        <v>42</v>
      </c>
      <c r="B1516" t="s">
        <v>105</v>
      </c>
      <c r="C1516">
        <v>0.64</v>
      </c>
      <c r="D1516" s="1">
        <v>103096</v>
      </c>
      <c r="E1516" s="4">
        <v>275146.75509550207</v>
      </c>
      <c r="F1516" s="4">
        <v>112243.00897285946</v>
      </c>
    </row>
    <row r="1517" spans="1:6" x14ac:dyDescent="0.25">
      <c r="A1517" t="s">
        <v>43</v>
      </c>
      <c r="B1517" t="s">
        <v>105</v>
      </c>
      <c r="C1517">
        <v>2.59</v>
      </c>
      <c r="D1517" s="1">
        <v>436431</v>
      </c>
      <c r="E1517" s="4">
        <v>154711.22652865062</v>
      </c>
      <c r="F1517" s="4">
        <v>132599.77216188953</v>
      </c>
    </row>
    <row r="1518" spans="1:6" x14ac:dyDescent="0.25">
      <c r="A1518" t="s">
        <v>44</v>
      </c>
      <c r="B1518" t="s">
        <v>105</v>
      </c>
      <c r="C1518">
        <v>1.29</v>
      </c>
      <c r="D1518" s="1">
        <v>199188</v>
      </c>
      <c r="E1518" s="4">
        <v>351915.06795859511</v>
      </c>
      <c r="F1518" s="4">
        <v>193635.46499652276</v>
      </c>
    </row>
    <row r="1519" spans="1:6" x14ac:dyDescent="0.25">
      <c r="A1519" t="s">
        <v>45</v>
      </c>
      <c r="B1519" t="s">
        <v>105</v>
      </c>
      <c r="C1519">
        <v>2.67</v>
      </c>
      <c r="D1519" s="1">
        <v>414132</v>
      </c>
      <c r="E1519" s="4">
        <v>245006.1203875785</v>
      </c>
      <c r="F1519" s="4">
        <v>209994.4843568597</v>
      </c>
    </row>
    <row r="1520" spans="1:6" x14ac:dyDescent="0.25">
      <c r="A1520" t="s">
        <v>46</v>
      </c>
      <c r="B1520" t="s">
        <v>105</v>
      </c>
      <c r="C1520">
        <v>1.68</v>
      </c>
      <c r="D1520" s="1">
        <v>262768</v>
      </c>
      <c r="E1520" s="4">
        <v>363394.2361162735</v>
      </c>
      <c r="F1520" s="4">
        <v>209200.98088254195</v>
      </c>
    </row>
    <row r="1521" spans="1:6" x14ac:dyDescent="0.25">
      <c r="A1521" t="s">
        <v>47</v>
      </c>
      <c r="B1521" t="s">
        <v>105</v>
      </c>
      <c r="C1521">
        <v>1.21</v>
      </c>
      <c r="D1521" s="1">
        <v>198512</v>
      </c>
      <c r="E1521" s="4">
        <v>292955.87083488202</v>
      </c>
      <c r="F1521" s="4">
        <v>143822.5293394984</v>
      </c>
    </row>
    <row r="1522" spans="1:6" x14ac:dyDescent="0.25">
      <c r="A1522" t="s">
        <v>48</v>
      </c>
      <c r="B1522" t="s">
        <v>105</v>
      </c>
      <c r="C1522">
        <v>0.56999999999999995</v>
      </c>
      <c r="D1522" s="1">
        <v>87524</v>
      </c>
      <c r="E1522" s="4">
        <v>226845.16125046462</v>
      </c>
      <c r="F1522" s="4">
        <v>126027.57276072459</v>
      </c>
    </row>
    <row r="1523" spans="1:6" x14ac:dyDescent="0.25">
      <c r="A1523" t="s">
        <v>49</v>
      </c>
      <c r="B1523" t="s">
        <v>105</v>
      </c>
      <c r="C1523">
        <v>0.97</v>
      </c>
      <c r="D1523" s="1">
        <v>153693</v>
      </c>
      <c r="E1523" s="4">
        <v>129320.34837513938</v>
      </c>
      <c r="F1523" s="4">
        <v>113219.06509856878</v>
      </c>
    </row>
    <row r="1524" spans="1:6" x14ac:dyDescent="0.25">
      <c r="A1524" t="s">
        <v>50</v>
      </c>
      <c r="B1524" t="s">
        <v>105</v>
      </c>
      <c r="C1524">
        <v>0.92</v>
      </c>
      <c r="D1524" s="1">
        <v>150653</v>
      </c>
      <c r="E1524" s="4">
        <v>146381.20451254179</v>
      </c>
      <c r="F1524" s="4">
        <v>98190.387950621487</v>
      </c>
    </row>
    <row r="1525" spans="1:6" x14ac:dyDescent="0.25">
      <c r="A1525" t="s">
        <v>51</v>
      </c>
      <c r="B1525" t="s">
        <v>105</v>
      </c>
      <c r="C1525">
        <v>6.01</v>
      </c>
      <c r="D1525" s="1">
        <v>989002</v>
      </c>
      <c r="E1525" s="4">
        <v>149371.46135376254</v>
      </c>
      <c r="F1525" s="4">
        <v>81695.900256360183</v>
      </c>
    </row>
    <row r="1526" spans="1:6" x14ac:dyDescent="0.25">
      <c r="A1526" t="s">
        <v>52</v>
      </c>
      <c r="B1526" t="s">
        <v>105</v>
      </c>
      <c r="C1526">
        <v>2.91</v>
      </c>
      <c r="D1526" s="1">
        <v>479100</v>
      </c>
      <c r="E1526" s="4">
        <v>737112.83840612869</v>
      </c>
      <c r="F1526" s="4">
        <v>484971.37915939064</v>
      </c>
    </row>
    <row r="1527" spans="1:6" x14ac:dyDescent="0.25">
      <c r="A1527" t="s">
        <v>53</v>
      </c>
      <c r="B1527" t="s">
        <v>105</v>
      </c>
      <c r="C1527">
        <v>1.74</v>
      </c>
      <c r="D1527" s="1">
        <v>262089</v>
      </c>
      <c r="E1527" s="4">
        <v>556503.85152183857</v>
      </c>
      <c r="F1527" s="4">
        <v>507138.48024855583</v>
      </c>
    </row>
    <row r="1528" spans="1:6" x14ac:dyDescent="0.25">
      <c r="A1528" t="s">
        <v>54</v>
      </c>
      <c r="B1528" t="s">
        <v>105</v>
      </c>
      <c r="C1528">
        <v>1.46</v>
      </c>
      <c r="D1528" s="1">
        <v>227696</v>
      </c>
      <c r="E1528" s="4">
        <v>350413.45545655151</v>
      </c>
      <c r="F1528" s="4">
        <v>534861.40603785834</v>
      </c>
    </row>
    <row r="1529" spans="1:6" x14ac:dyDescent="0.25">
      <c r="A1529" t="s">
        <v>55</v>
      </c>
      <c r="B1529" t="s">
        <v>105</v>
      </c>
      <c r="C1529">
        <v>2.46</v>
      </c>
      <c r="D1529" s="1">
        <v>399096</v>
      </c>
      <c r="E1529" s="4">
        <v>264511.23663696542</v>
      </c>
      <c r="F1529" s="4">
        <v>236861.63573750819</v>
      </c>
    </row>
    <row r="1530" spans="1:6" x14ac:dyDescent="0.25">
      <c r="A1530" t="s">
        <v>56</v>
      </c>
      <c r="B1530" t="s">
        <v>105</v>
      </c>
      <c r="C1530">
        <v>3.73</v>
      </c>
      <c r="D1530" s="1">
        <v>572814</v>
      </c>
      <c r="E1530" s="4">
        <v>358720.57099108957</v>
      </c>
      <c r="F1530" s="4">
        <v>199877.24332686549</v>
      </c>
    </row>
    <row r="1531" spans="1:6" x14ac:dyDescent="0.25">
      <c r="A1531" t="s">
        <v>57</v>
      </c>
      <c r="B1531" t="s">
        <v>105</v>
      </c>
      <c r="C1531">
        <v>1.18</v>
      </c>
      <c r="D1531" s="1">
        <v>176465</v>
      </c>
      <c r="E1531" s="4">
        <v>508585.97129732685</v>
      </c>
      <c r="F1531" s="4">
        <v>162284.34792878013</v>
      </c>
    </row>
    <row r="1532" spans="1:6" x14ac:dyDescent="0.25">
      <c r="A1532" t="s">
        <v>58</v>
      </c>
      <c r="B1532" t="s">
        <v>105</v>
      </c>
      <c r="C1532">
        <v>1.17</v>
      </c>
      <c r="D1532" s="1">
        <v>185193</v>
      </c>
      <c r="E1532" s="4">
        <v>276101.29138919804</v>
      </c>
      <c r="F1532" s="4">
        <v>241007.18830895011</v>
      </c>
    </row>
    <row r="1533" spans="1:6" x14ac:dyDescent="0.25">
      <c r="A1533" t="s">
        <v>59</v>
      </c>
      <c r="B1533" t="s">
        <v>105</v>
      </c>
      <c r="C1533">
        <v>6.36</v>
      </c>
      <c r="D1533" s="1">
        <v>1007970</v>
      </c>
      <c r="E1533" s="4">
        <v>212465.4874167594</v>
      </c>
      <c r="F1533" s="4">
        <v>234097.31122162033</v>
      </c>
    </row>
    <row r="1534" spans="1:6" x14ac:dyDescent="0.25">
      <c r="A1534" t="s">
        <v>60</v>
      </c>
      <c r="B1534" t="s">
        <v>105</v>
      </c>
      <c r="C1534">
        <v>53.19</v>
      </c>
      <c r="D1534" s="1">
        <v>2705350</v>
      </c>
      <c r="E1534" s="4">
        <v>769318.64622502786</v>
      </c>
      <c r="F1534" s="4">
        <v>500465.14582572167</v>
      </c>
    </row>
    <row r="1535" spans="1:6" x14ac:dyDescent="0.25">
      <c r="A1535" t="s">
        <v>61</v>
      </c>
      <c r="B1535" t="s">
        <v>105</v>
      </c>
      <c r="C1535">
        <v>39.08</v>
      </c>
      <c r="D1535" s="1">
        <v>2246840</v>
      </c>
      <c r="E1535" s="4">
        <v>2124540.5938675082</v>
      </c>
      <c r="F1535" s="4">
        <v>1209587.9670068584</v>
      </c>
    </row>
    <row r="1536" spans="1:6" x14ac:dyDescent="0.25">
      <c r="A1536" t="s">
        <v>62</v>
      </c>
      <c r="B1536" t="s">
        <v>105</v>
      </c>
      <c r="C1536">
        <v>1.31</v>
      </c>
      <c r="D1536" s="1">
        <v>145249</v>
      </c>
      <c r="E1536" s="4">
        <v>2210150.1781602525</v>
      </c>
      <c r="F1536" s="4">
        <v>1210509.8068004807</v>
      </c>
    </row>
    <row r="1537" spans="1:6" x14ac:dyDescent="0.25">
      <c r="A1537" t="s">
        <v>63</v>
      </c>
      <c r="B1537" t="s">
        <v>105</v>
      </c>
      <c r="C1537">
        <v>4.53</v>
      </c>
      <c r="D1537" s="1">
        <v>642167</v>
      </c>
      <c r="E1537" s="4">
        <v>764719.35344807571</v>
      </c>
      <c r="F1537" s="4">
        <v>1635745.6427276738</v>
      </c>
    </row>
    <row r="1538" spans="1:6" x14ac:dyDescent="0.25">
      <c r="A1538" t="s">
        <v>64</v>
      </c>
      <c r="B1538" t="s">
        <v>105</v>
      </c>
      <c r="C1538">
        <v>1.8</v>
      </c>
      <c r="D1538" s="1">
        <v>259972</v>
      </c>
      <c r="E1538" s="4">
        <v>678932.70603442262</v>
      </c>
      <c r="F1538" s="4">
        <v>1196354.6157172103</v>
      </c>
    </row>
    <row r="1539" spans="1:6" x14ac:dyDescent="0.25">
      <c r="A1539" t="s">
        <v>65</v>
      </c>
      <c r="B1539" t="s">
        <v>105</v>
      </c>
      <c r="C1539">
        <v>6.44</v>
      </c>
      <c r="D1539" s="1">
        <v>807050</v>
      </c>
      <c r="E1539" s="4">
        <v>385660.21181032679</v>
      </c>
      <c r="F1539" s="4">
        <v>1218518.7767810724</v>
      </c>
    </row>
    <row r="1540" spans="1:6" x14ac:dyDescent="0.25">
      <c r="A1540" t="s">
        <v>66</v>
      </c>
      <c r="B1540" t="s">
        <v>105</v>
      </c>
      <c r="C1540">
        <v>1.04</v>
      </c>
      <c r="D1540" s="1">
        <v>135603</v>
      </c>
      <c r="E1540" s="4">
        <v>680633.06354309805</v>
      </c>
      <c r="F1540" s="4">
        <v>350293.45132667536</v>
      </c>
    </row>
    <row r="1541" spans="1:6" x14ac:dyDescent="0.25">
      <c r="A1541" t="s">
        <v>67</v>
      </c>
      <c r="B1541" t="s">
        <v>105</v>
      </c>
      <c r="C1541">
        <v>1.6</v>
      </c>
      <c r="D1541" s="1">
        <v>224453</v>
      </c>
      <c r="E1541" s="4">
        <v>299112.01906292938</v>
      </c>
      <c r="F1541" s="4">
        <v>465530.23423375096</v>
      </c>
    </row>
    <row r="1542" spans="1:6" x14ac:dyDescent="0.25">
      <c r="A1542" t="s">
        <v>68</v>
      </c>
      <c r="B1542" t="s">
        <v>105</v>
      </c>
      <c r="C1542">
        <v>0.97</v>
      </c>
      <c r="D1542" s="1">
        <v>130778</v>
      </c>
      <c r="E1542" s="4">
        <v>246850.70571887877</v>
      </c>
      <c r="F1542" s="4">
        <v>400083.7799277255</v>
      </c>
    </row>
    <row r="1543" spans="1:6" x14ac:dyDescent="0.25">
      <c r="A1543" t="s">
        <v>69</v>
      </c>
      <c r="B1543" t="s">
        <v>105</v>
      </c>
      <c r="C1543">
        <v>3.19</v>
      </c>
      <c r="D1543" s="1">
        <v>403934</v>
      </c>
      <c r="E1543" s="4">
        <v>165599.81171566361</v>
      </c>
      <c r="F1543" s="4">
        <v>324604.68897113088</v>
      </c>
    </row>
    <row r="1544" spans="1:6" x14ac:dyDescent="0.25">
      <c r="A1544" t="s">
        <v>70</v>
      </c>
      <c r="B1544" t="s">
        <v>105</v>
      </c>
      <c r="C1544">
        <v>2.7</v>
      </c>
      <c r="D1544" s="1">
        <v>352183</v>
      </c>
      <c r="E1544" s="4">
        <v>332433.74351469905</v>
      </c>
      <c r="F1544" s="4">
        <v>159007.36612443859</v>
      </c>
    </row>
    <row r="1545" spans="1:6" x14ac:dyDescent="0.25">
      <c r="A1545" t="s">
        <v>71</v>
      </c>
      <c r="B1545" t="s">
        <v>105</v>
      </c>
      <c r="C1545">
        <v>2.72</v>
      </c>
      <c r="D1545" s="1">
        <v>386046</v>
      </c>
      <c r="E1545" s="4">
        <v>346258.22305440967</v>
      </c>
      <c r="F1545" s="4">
        <v>153477.56779605409</v>
      </c>
    </row>
    <row r="1546" spans="1:6" x14ac:dyDescent="0.25">
      <c r="A1546" t="s">
        <v>72</v>
      </c>
      <c r="B1546" t="s">
        <v>105</v>
      </c>
      <c r="C1546">
        <v>1.46</v>
      </c>
      <c r="D1546" s="1">
        <v>196463</v>
      </c>
      <c r="E1546" s="4">
        <v>374109.66691632289</v>
      </c>
      <c r="F1546" s="4">
        <v>139971.76576146556</v>
      </c>
    </row>
    <row r="1547" spans="1:6" x14ac:dyDescent="0.25">
      <c r="A1547" t="s">
        <v>73</v>
      </c>
      <c r="B1547" t="s">
        <v>105</v>
      </c>
      <c r="C1547">
        <v>29.82</v>
      </c>
      <c r="D1547" s="1">
        <v>2267046</v>
      </c>
      <c r="E1547" s="4">
        <v>249757.00007489685</v>
      </c>
      <c r="F1547" s="4">
        <v>105722.02323778652</v>
      </c>
    </row>
    <row r="1548" spans="1:6" x14ac:dyDescent="0.25">
      <c r="A1548" t="s">
        <v>74</v>
      </c>
      <c r="B1548" t="s">
        <v>105</v>
      </c>
      <c r="C1548">
        <v>3.59</v>
      </c>
      <c r="D1548" s="1">
        <v>384393</v>
      </c>
      <c r="E1548" s="4">
        <v>1661859.3000224689</v>
      </c>
      <c r="F1548" s="4">
        <v>1169415.283333167</v>
      </c>
    </row>
    <row r="1549" spans="1:6" x14ac:dyDescent="0.25">
      <c r="A1549" t="s">
        <v>75</v>
      </c>
      <c r="B1549" t="s">
        <v>105</v>
      </c>
      <c r="C1549">
        <v>4.2300000000000004</v>
      </c>
      <c r="D1549" s="1">
        <v>595975</v>
      </c>
      <c r="E1549" s="4">
        <v>767632.89000674058</v>
      </c>
      <c r="F1549" s="4">
        <v>1382381.2058881584</v>
      </c>
    </row>
    <row r="1550" spans="1:6" x14ac:dyDescent="0.25">
      <c r="A1550" t="s">
        <v>76</v>
      </c>
      <c r="B1550" t="s">
        <v>105</v>
      </c>
      <c r="C1550">
        <v>5.05</v>
      </c>
      <c r="D1550" s="1">
        <v>657374</v>
      </c>
      <c r="E1550" s="4">
        <v>647472.36700202222</v>
      </c>
      <c r="F1550" s="4">
        <v>1382128.9722879801</v>
      </c>
    </row>
    <row r="1551" spans="1:6" x14ac:dyDescent="0.25">
      <c r="A1551" t="s">
        <v>77</v>
      </c>
      <c r="B1551" t="s">
        <v>105</v>
      </c>
      <c r="C1551">
        <v>6.81</v>
      </c>
      <c r="D1551" s="1">
        <v>803020</v>
      </c>
      <c r="E1551" s="4">
        <v>654403.5101006066</v>
      </c>
      <c r="F1551" s="4">
        <v>744196.34981427877</v>
      </c>
    </row>
    <row r="1552" spans="1:6" x14ac:dyDescent="0.25">
      <c r="A1552" t="s">
        <v>78</v>
      </c>
      <c r="B1552" t="s">
        <v>105</v>
      </c>
      <c r="C1552">
        <v>2.93</v>
      </c>
      <c r="D1552" s="1">
        <v>363955</v>
      </c>
      <c r="E1552" s="4">
        <v>758435.05303018191</v>
      </c>
      <c r="F1552" s="4">
        <v>131213.99138761763</v>
      </c>
    </row>
    <row r="1553" spans="1:6" x14ac:dyDescent="0.25">
      <c r="A1553" t="s">
        <v>79</v>
      </c>
      <c r="B1553" t="s">
        <v>105</v>
      </c>
      <c r="C1553">
        <v>3.81</v>
      </c>
      <c r="D1553" s="1">
        <v>527695</v>
      </c>
      <c r="E1553" s="4">
        <v>482299.01590905455</v>
      </c>
      <c r="F1553" s="4">
        <v>243447.06176411215</v>
      </c>
    </row>
    <row r="1554" spans="1:6" x14ac:dyDescent="0.25">
      <c r="A1554" t="s">
        <v>80</v>
      </c>
      <c r="B1554" t="s">
        <v>105</v>
      </c>
      <c r="C1554">
        <v>7.78</v>
      </c>
      <c r="D1554" s="1">
        <v>974858</v>
      </c>
      <c r="E1554" s="4">
        <v>514076.20477271639</v>
      </c>
      <c r="F1554" s="4">
        <v>244787.09707301226</v>
      </c>
    </row>
    <row r="1555" spans="1:6" x14ac:dyDescent="0.25">
      <c r="A1555" t="s">
        <v>81</v>
      </c>
      <c r="B1555" t="s">
        <v>105</v>
      </c>
      <c r="C1555">
        <v>5.8</v>
      </c>
      <c r="D1555" s="1">
        <v>713572</v>
      </c>
      <c r="E1555" s="4">
        <v>836623.46143181482</v>
      </c>
      <c r="F1555" s="4">
        <v>351186.16640520777</v>
      </c>
    </row>
    <row r="1556" spans="1:6" x14ac:dyDescent="0.25">
      <c r="A1556" t="s">
        <v>82</v>
      </c>
      <c r="B1556" t="s">
        <v>105</v>
      </c>
      <c r="C1556">
        <v>0.82</v>
      </c>
      <c r="D1556" s="1">
        <v>99321</v>
      </c>
      <c r="E1556" s="4">
        <v>750487.43842954445</v>
      </c>
      <c r="F1556" s="4">
        <v>276599.78328803822</v>
      </c>
    </row>
    <row r="1557" spans="1:6" x14ac:dyDescent="0.25">
      <c r="A1557" t="s">
        <v>83</v>
      </c>
      <c r="B1557" t="s">
        <v>105</v>
      </c>
      <c r="C1557">
        <v>3.89</v>
      </c>
      <c r="D1557" s="1">
        <v>527420</v>
      </c>
      <c r="E1557" s="4">
        <v>294670.93152886332</v>
      </c>
      <c r="F1557" s="4">
        <v>466004.02555857867</v>
      </c>
    </row>
    <row r="1558" spans="1:6" x14ac:dyDescent="0.25">
      <c r="A1558" t="s">
        <v>84</v>
      </c>
      <c r="B1558" t="s">
        <v>105</v>
      </c>
      <c r="C1558">
        <v>3.54</v>
      </c>
      <c r="D1558" s="1">
        <v>426739</v>
      </c>
      <c r="E1558" s="4">
        <v>457595.279458659</v>
      </c>
      <c r="F1558" s="4">
        <v>405516.75738975534</v>
      </c>
    </row>
    <row r="1559" spans="1:6" x14ac:dyDescent="0.25">
      <c r="A1559" t="s">
        <v>7</v>
      </c>
      <c r="B1559" t="s">
        <v>106</v>
      </c>
      <c r="C1559">
        <v>5.71</v>
      </c>
      <c r="D1559" s="1">
        <v>733167</v>
      </c>
      <c r="E1559" s="4">
        <v>435995.88383759768</v>
      </c>
      <c r="F1559" s="4">
        <v>399642.32733501028</v>
      </c>
    </row>
    <row r="1560" spans="1:6" x14ac:dyDescent="0.25">
      <c r="A1560" t="s">
        <v>10</v>
      </c>
      <c r="B1560" t="s">
        <v>106</v>
      </c>
      <c r="C1560">
        <v>2.38</v>
      </c>
      <c r="D1560" s="1">
        <v>276030</v>
      </c>
      <c r="E1560" s="4">
        <v>644015.6651512793</v>
      </c>
      <c r="F1560" s="4">
        <v>218658.72277548618</v>
      </c>
    </row>
    <row r="1561" spans="1:6" x14ac:dyDescent="0.25">
      <c r="A1561" t="s">
        <v>11</v>
      </c>
      <c r="B1561" t="s">
        <v>106</v>
      </c>
      <c r="C1561">
        <v>3.17</v>
      </c>
      <c r="D1561" s="1">
        <v>343294</v>
      </c>
      <c r="E1561" s="4">
        <v>386425.6995453838</v>
      </c>
      <c r="F1561" s="4">
        <v>273664.16890053911</v>
      </c>
    </row>
    <row r="1562" spans="1:6" x14ac:dyDescent="0.25">
      <c r="A1562" t="s">
        <v>12</v>
      </c>
      <c r="B1562" t="s">
        <v>106</v>
      </c>
      <c r="C1562">
        <v>5.03</v>
      </c>
      <c r="D1562" s="1">
        <v>602972</v>
      </c>
      <c r="E1562" s="4">
        <v>356233.50986361515</v>
      </c>
      <c r="F1562" s="4">
        <v>274216.74246461241</v>
      </c>
    </row>
    <row r="1563" spans="1:6" x14ac:dyDescent="0.25">
      <c r="A1563" t="s">
        <v>13</v>
      </c>
      <c r="B1563" t="s">
        <v>106</v>
      </c>
      <c r="C1563">
        <v>3.83</v>
      </c>
      <c r="D1563" s="1">
        <v>438962</v>
      </c>
      <c r="E1563" s="4">
        <v>528950.45295908453</v>
      </c>
      <c r="F1563" s="4">
        <v>257004.32926138656</v>
      </c>
    </row>
    <row r="1564" spans="1:6" x14ac:dyDescent="0.25">
      <c r="A1564" t="s">
        <v>14</v>
      </c>
      <c r="B1564" t="s">
        <v>106</v>
      </c>
      <c r="C1564">
        <v>7.61</v>
      </c>
      <c r="D1564" s="1">
        <v>669564</v>
      </c>
      <c r="E1564" s="4">
        <v>465958.5358877253</v>
      </c>
      <c r="F1564" s="4">
        <v>153664.2960985901</v>
      </c>
    </row>
    <row r="1565" spans="1:6" x14ac:dyDescent="0.25">
      <c r="A1565" t="s">
        <v>15</v>
      </c>
      <c r="B1565" t="s">
        <v>106</v>
      </c>
      <c r="C1565">
        <v>2.74</v>
      </c>
      <c r="D1565" s="1">
        <v>249920</v>
      </c>
      <c r="E1565" s="4">
        <v>608482.36076631758</v>
      </c>
      <c r="F1565" s="4">
        <v>191861.92013800537</v>
      </c>
    </row>
    <row r="1566" spans="1:6" x14ac:dyDescent="0.25">
      <c r="A1566" t="s">
        <v>16</v>
      </c>
      <c r="B1566" t="s">
        <v>106</v>
      </c>
      <c r="C1566">
        <v>2.76</v>
      </c>
      <c r="D1566" s="1">
        <v>328733</v>
      </c>
      <c r="E1566" s="4">
        <v>357488.70822989527</v>
      </c>
      <c r="F1566" s="4">
        <v>243666.48876463572</v>
      </c>
    </row>
    <row r="1567" spans="1:6" x14ac:dyDescent="0.25">
      <c r="A1567" t="s">
        <v>17</v>
      </c>
      <c r="B1567" t="s">
        <v>106</v>
      </c>
      <c r="C1567">
        <v>1.86</v>
      </c>
      <c r="D1567" s="1">
        <v>199824</v>
      </c>
      <c r="E1567" s="4">
        <v>337359.71246896859</v>
      </c>
      <c r="F1567" s="4">
        <v>238641.32244192506</v>
      </c>
    </row>
    <row r="1568" spans="1:6" x14ac:dyDescent="0.25">
      <c r="A1568" t="s">
        <v>18</v>
      </c>
      <c r="B1568" t="s">
        <v>106</v>
      </c>
      <c r="C1568">
        <v>6.48</v>
      </c>
      <c r="D1568" s="1">
        <v>668064</v>
      </c>
      <c r="E1568" s="4">
        <v>241084.71374069055</v>
      </c>
      <c r="F1568" s="4">
        <v>222343.52514256292</v>
      </c>
    </row>
    <row r="1569" spans="1:6" x14ac:dyDescent="0.25">
      <c r="A1569" t="s">
        <v>19</v>
      </c>
      <c r="B1569" t="s">
        <v>106</v>
      </c>
      <c r="C1569">
        <v>4.38</v>
      </c>
      <c r="D1569" s="1">
        <v>483587</v>
      </c>
      <c r="E1569" s="4">
        <v>539970.21412220714</v>
      </c>
      <c r="F1569" s="4">
        <v>259521.53016314399</v>
      </c>
    </row>
    <row r="1570" spans="1:6" x14ac:dyDescent="0.25">
      <c r="A1570" t="s">
        <v>20</v>
      </c>
      <c r="B1570" t="s">
        <v>106</v>
      </c>
      <c r="C1570">
        <v>2.5</v>
      </c>
      <c r="D1570" s="1">
        <v>315881</v>
      </c>
      <c r="E1570" s="4">
        <v>500501.96423666214</v>
      </c>
      <c r="F1570" s="4">
        <v>261027.7443322879</v>
      </c>
    </row>
    <row r="1571" spans="1:6" x14ac:dyDescent="0.25">
      <c r="A1571" t="s">
        <v>21</v>
      </c>
      <c r="B1571" t="s">
        <v>106</v>
      </c>
      <c r="C1571">
        <v>1.94</v>
      </c>
      <c r="D1571" s="1">
        <v>192663</v>
      </c>
      <c r="E1571" s="4">
        <v>371267.28927099862</v>
      </c>
      <c r="F1571" s="4">
        <v>270539.75565212523</v>
      </c>
    </row>
    <row r="1572" spans="1:6" x14ac:dyDescent="0.25">
      <c r="A1572" t="s">
        <v>22</v>
      </c>
      <c r="B1572" t="s">
        <v>106</v>
      </c>
      <c r="C1572">
        <v>15.8</v>
      </c>
      <c r="D1572" s="1">
        <v>1459115</v>
      </c>
      <c r="E1572" s="4">
        <v>246244.28678129957</v>
      </c>
      <c r="F1572" s="4">
        <v>151837.03919709896</v>
      </c>
    </row>
    <row r="1573" spans="1:6" x14ac:dyDescent="0.25">
      <c r="A1573" t="s">
        <v>23</v>
      </c>
      <c r="B1573" t="s">
        <v>106</v>
      </c>
      <c r="C1573">
        <v>4.99</v>
      </c>
      <c r="D1573" s="1">
        <v>616985</v>
      </c>
      <c r="E1573" s="4">
        <v>1095253.7860343899</v>
      </c>
      <c r="F1573" s="4">
        <v>715783.89652308519</v>
      </c>
    </row>
    <row r="1574" spans="1:6" x14ac:dyDescent="0.25">
      <c r="A1574" t="s">
        <v>24</v>
      </c>
      <c r="B1574" t="s">
        <v>106</v>
      </c>
      <c r="C1574">
        <v>2.12</v>
      </c>
      <c r="D1574" s="1">
        <v>244760</v>
      </c>
      <c r="E1574" s="4">
        <v>760465.63581031701</v>
      </c>
      <c r="F1574" s="4">
        <v>759757.83221244172</v>
      </c>
    </row>
    <row r="1575" spans="1:6" x14ac:dyDescent="0.25">
      <c r="A1575" t="s">
        <v>25</v>
      </c>
      <c r="B1575" t="s">
        <v>106</v>
      </c>
      <c r="C1575">
        <v>1.77</v>
      </c>
      <c r="D1575" s="1">
        <v>169693</v>
      </c>
      <c r="E1575" s="4">
        <v>399471.69074309513</v>
      </c>
      <c r="F1575" s="4">
        <v>809474.87123545539</v>
      </c>
    </row>
    <row r="1576" spans="1:6" x14ac:dyDescent="0.25">
      <c r="A1576" t="s">
        <v>26</v>
      </c>
      <c r="B1576" t="s">
        <v>106</v>
      </c>
      <c r="C1576">
        <v>14.7</v>
      </c>
      <c r="D1576" s="1">
        <v>1354832</v>
      </c>
      <c r="E1576" s="4">
        <v>238626.60722292852</v>
      </c>
      <c r="F1576" s="4">
        <v>427196.90277472098</v>
      </c>
    </row>
    <row r="1577" spans="1:6" x14ac:dyDescent="0.25">
      <c r="A1577" t="s">
        <v>27</v>
      </c>
      <c r="B1577" t="s">
        <v>106</v>
      </c>
      <c r="C1577">
        <v>4.24</v>
      </c>
      <c r="D1577" s="1">
        <v>408072</v>
      </c>
      <c r="E1577" s="4">
        <v>1019970.3821668784</v>
      </c>
      <c r="F1577" s="4">
        <v>722187.6552971421</v>
      </c>
    </row>
    <row r="1578" spans="1:6" x14ac:dyDescent="0.25">
      <c r="A1578" t="s">
        <v>28</v>
      </c>
      <c r="B1578" t="s">
        <v>106</v>
      </c>
      <c r="C1578">
        <v>1.1000000000000001</v>
      </c>
      <c r="D1578" s="1">
        <v>123095</v>
      </c>
      <c r="E1578" s="4">
        <v>591641.51465006347</v>
      </c>
      <c r="F1578" s="4">
        <v>746800.36504246364</v>
      </c>
    </row>
    <row r="1579" spans="1:6" x14ac:dyDescent="0.25">
      <c r="A1579" t="s">
        <v>29</v>
      </c>
      <c r="B1579" t="s">
        <v>106</v>
      </c>
      <c r="C1579">
        <v>1.86</v>
      </c>
      <c r="D1579" s="1">
        <v>170340</v>
      </c>
      <c r="E1579" s="4">
        <v>263658.95439501904</v>
      </c>
      <c r="F1579" s="4">
        <v>783128.33034222061</v>
      </c>
    </row>
    <row r="1580" spans="1:6" x14ac:dyDescent="0.25">
      <c r="A1580" t="s">
        <v>30</v>
      </c>
      <c r="B1580" t="s">
        <v>106</v>
      </c>
      <c r="C1580">
        <v>4.76</v>
      </c>
      <c r="D1580" s="1">
        <v>410311</v>
      </c>
      <c r="E1580" s="4">
        <v>198335.6863185057</v>
      </c>
      <c r="F1580" s="4">
        <v>448205.27058426588</v>
      </c>
    </row>
    <row r="1581" spans="1:6" x14ac:dyDescent="0.25">
      <c r="A1581" t="s">
        <v>31</v>
      </c>
      <c r="B1581" t="s">
        <v>106</v>
      </c>
      <c r="C1581">
        <v>1.79</v>
      </c>
      <c r="D1581" s="1">
        <v>213780</v>
      </c>
      <c r="E1581" s="4">
        <v>346718.40589555167</v>
      </c>
      <c r="F1581" s="4">
        <v>301760.27861558675</v>
      </c>
    </row>
    <row r="1582" spans="1:6" x14ac:dyDescent="0.25">
      <c r="A1582" t="s">
        <v>32</v>
      </c>
      <c r="B1582" t="s">
        <v>106</v>
      </c>
      <c r="C1582">
        <v>1.19</v>
      </c>
      <c r="D1582" s="1">
        <v>144734</v>
      </c>
      <c r="E1582" s="4">
        <v>253661.52176866549</v>
      </c>
      <c r="F1582" s="4">
        <v>154180.1766568344</v>
      </c>
    </row>
    <row r="1583" spans="1:6" x14ac:dyDescent="0.25">
      <c r="A1583" t="s">
        <v>33</v>
      </c>
      <c r="B1583" t="s">
        <v>106</v>
      </c>
      <c r="C1583">
        <v>4.62</v>
      </c>
      <c r="D1583" s="1">
        <v>437155</v>
      </c>
      <c r="E1583" s="4">
        <v>177412.25653059964</v>
      </c>
      <c r="F1583" s="4">
        <v>157555.66039877405</v>
      </c>
    </row>
    <row r="1584" spans="1:6" x14ac:dyDescent="0.25">
      <c r="A1584" t="s">
        <v>34</v>
      </c>
      <c r="B1584" t="s">
        <v>106</v>
      </c>
      <c r="C1584">
        <v>2.54</v>
      </c>
      <c r="D1584" s="1">
        <v>244087</v>
      </c>
      <c r="E1584" s="4">
        <v>359232.17695917987</v>
      </c>
      <c r="F1584" s="4">
        <v>179818.53588708467</v>
      </c>
    </row>
    <row r="1585" spans="1:6" x14ac:dyDescent="0.25">
      <c r="A1585" t="s">
        <v>35</v>
      </c>
      <c r="B1585" t="s">
        <v>106</v>
      </c>
      <c r="C1585">
        <v>3.6</v>
      </c>
      <c r="D1585" s="1">
        <v>380508</v>
      </c>
      <c r="E1585" s="4">
        <v>278630.55308775394</v>
      </c>
      <c r="F1585" s="4">
        <v>175679.54686553078</v>
      </c>
    </row>
    <row r="1586" spans="1:6" x14ac:dyDescent="0.25">
      <c r="A1586" t="s">
        <v>36</v>
      </c>
      <c r="B1586" t="s">
        <v>106</v>
      </c>
      <c r="C1586">
        <v>0.65</v>
      </c>
      <c r="D1586" s="1">
        <v>60618</v>
      </c>
      <c r="E1586" s="4">
        <v>349944.76592632616</v>
      </c>
      <c r="F1586" s="4">
        <v>174263.89829922613</v>
      </c>
    </row>
    <row r="1587" spans="1:6" x14ac:dyDescent="0.25">
      <c r="A1587" t="s">
        <v>37</v>
      </c>
      <c r="B1587" t="s">
        <v>106</v>
      </c>
      <c r="C1587">
        <v>0.94</v>
      </c>
      <c r="D1587" s="1">
        <v>85198</v>
      </c>
      <c r="E1587" s="4">
        <v>147416.02977789784</v>
      </c>
      <c r="F1587" s="4">
        <v>189162.54337447949</v>
      </c>
    </row>
    <row r="1588" spans="1:6" x14ac:dyDescent="0.25">
      <c r="A1588" t="s">
        <v>38</v>
      </c>
      <c r="B1588" t="s">
        <v>106</v>
      </c>
      <c r="C1588">
        <v>1.32</v>
      </c>
      <c r="D1588" s="1">
        <v>125998</v>
      </c>
      <c r="E1588" s="4">
        <v>103863.40893336936</v>
      </c>
      <c r="F1588" s="4">
        <v>180702.40258519718</v>
      </c>
    </row>
    <row r="1589" spans="1:6" x14ac:dyDescent="0.25">
      <c r="A1589" t="s">
        <v>39</v>
      </c>
      <c r="B1589" t="s">
        <v>106</v>
      </c>
      <c r="C1589">
        <v>0.27</v>
      </c>
      <c r="D1589" s="1">
        <v>30207</v>
      </c>
      <c r="E1589" s="4">
        <v>119357.6226800108</v>
      </c>
      <c r="F1589" s="4">
        <v>171338.84637613804</v>
      </c>
    </row>
    <row r="1590" spans="1:6" x14ac:dyDescent="0.25">
      <c r="A1590" t="s">
        <v>40</v>
      </c>
      <c r="B1590" t="s">
        <v>106</v>
      </c>
      <c r="C1590">
        <v>0.21</v>
      </c>
      <c r="D1590" s="1">
        <v>21934</v>
      </c>
      <c r="E1590" s="4">
        <v>56952.186804003242</v>
      </c>
      <c r="F1590" s="4">
        <v>64054.291751513432</v>
      </c>
    </row>
    <row r="1591" spans="1:6" x14ac:dyDescent="0.25">
      <c r="A1591" t="s">
        <v>41</v>
      </c>
      <c r="B1591" t="s">
        <v>106</v>
      </c>
      <c r="C1591">
        <v>0.62</v>
      </c>
      <c r="D1591" s="1">
        <v>67170</v>
      </c>
      <c r="E1591" s="4">
        <v>32439.456041200971</v>
      </c>
      <c r="F1591" s="4">
        <v>56756.929247921464</v>
      </c>
    </row>
    <row r="1592" spans="1:6" x14ac:dyDescent="0.25">
      <c r="A1592" t="s">
        <v>42</v>
      </c>
      <c r="B1592" t="s">
        <v>106</v>
      </c>
      <c r="C1592">
        <v>1.22</v>
      </c>
      <c r="D1592" s="1">
        <v>108613</v>
      </c>
      <c r="E1592" s="4">
        <v>56750.836812360292</v>
      </c>
      <c r="F1592" s="4">
        <v>58822.664608544088</v>
      </c>
    </row>
    <row r="1593" spans="1:6" x14ac:dyDescent="0.25">
      <c r="A1593" t="s">
        <v>43</v>
      </c>
      <c r="B1593" t="s">
        <v>106</v>
      </c>
      <c r="C1593">
        <v>0.41</v>
      </c>
      <c r="D1593" s="1">
        <v>46830</v>
      </c>
      <c r="E1593" s="4">
        <v>93054.351043708069</v>
      </c>
      <c r="F1593" s="4">
        <v>41320.568168147242</v>
      </c>
    </row>
    <row r="1594" spans="1:6" x14ac:dyDescent="0.25">
      <c r="A1594" t="s">
        <v>44</v>
      </c>
      <c r="B1594" t="s">
        <v>106</v>
      </c>
      <c r="C1594">
        <v>0.21</v>
      </c>
      <c r="D1594" s="1">
        <v>20321</v>
      </c>
      <c r="E1594" s="4">
        <v>60697.305313112418</v>
      </c>
      <c r="F1594" s="4">
        <v>44842.633299080459</v>
      </c>
    </row>
    <row r="1595" spans="1:6" x14ac:dyDescent="0.25">
      <c r="A1595" t="s">
        <v>45</v>
      </c>
      <c r="B1595" t="s">
        <v>106</v>
      </c>
      <c r="C1595">
        <v>3.01</v>
      </c>
      <c r="D1595" s="1">
        <v>323547</v>
      </c>
      <c r="E1595" s="4">
        <v>32433.891593933724</v>
      </c>
      <c r="F1595" s="4">
        <v>46391.883739331664</v>
      </c>
    </row>
    <row r="1596" spans="1:6" x14ac:dyDescent="0.25">
      <c r="A1596" t="s">
        <v>46</v>
      </c>
      <c r="B1596" t="s">
        <v>106</v>
      </c>
      <c r="C1596">
        <v>2.14</v>
      </c>
      <c r="D1596" s="1">
        <v>213270</v>
      </c>
      <c r="E1596" s="4">
        <v>236213.06747818011</v>
      </c>
      <c r="F1596" s="4">
        <v>171769.0101521922</v>
      </c>
    </row>
    <row r="1597" spans="1:6" x14ac:dyDescent="0.25">
      <c r="A1597" t="s">
        <v>47</v>
      </c>
      <c r="B1597" t="s">
        <v>106</v>
      </c>
      <c r="C1597">
        <v>2.33</v>
      </c>
      <c r="D1597" s="1">
        <v>262007</v>
      </c>
      <c r="E1597" s="4">
        <v>220152.92024345405</v>
      </c>
      <c r="F1597" s="4">
        <v>170199.36570767831</v>
      </c>
    </row>
    <row r="1598" spans="1:6" x14ac:dyDescent="0.25">
      <c r="A1598" t="s">
        <v>48</v>
      </c>
      <c r="B1598" t="s">
        <v>106</v>
      </c>
      <c r="C1598">
        <v>1.86</v>
      </c>
      <c r="D1598" s="1">
        <v>179344</v>
      </c>
      <c r="E1598" s="4">
        <v>249450.77607303619</v>
      </c>
      <c r="F1598" s="4">
        <v>170318.31984396913</v>
      </c>
    </row>
    <row r="1599" spans="1:6" x14ac:dyDescent="0.25">
      <c r="A1599" t="s">
        <v>49</v>
      </c>
      <c r="B1599" t="s">
        <v>106</v>
      </c>
      <c r="C1599">
        <v>2.23</v>
      </c>
      <c r="D1599" s="1">
        <v>246490</v>
      </c>
      <c r="E1599" s="4">
        <v>200376.03282191086</v>
      </c>
      <c r="F1599" s="4">
        <v>48966.343505617799</v>
      </c>
    </row>
    <row r="1600" spans="1:6" x14ac:dyDescent="0.25">
      <c r="A1600" t="s">
        <v>50</v>
      </c>
      <c r="B1600" t="s">
        <v>106</v>
      </c>
      <c r="C1600">
        <v>5.92</v>
      </c>
      <c r="D1600" s="1">
        <v>635146</v>
      </c>
      <c r="E1600" s="4">
        <v>232655.80984657325</v>
      </c>
      <c r="F1600" s="4">
        <v>54139.39419844553</v>
      </c>
    </row>
    <row r="1601" spans="1:6" x14ac:dyDescent="0.25">
      <c r="A1601" t="s">
        <v>51</v>
      </c>
      <c r="B1601" t="s">
        <v>106</v>
      </c>
      <c r="C1601">
        <v>2.4500000000000002</v>
      </c>
      <c r="D1601" s="1">
        <v>282698</v>
      </c>
      <c r="E1601" s="4">
        <v>514398.94295397191</v>
      </c>
      <c r="F1601" s="4">
        <v>237374.39569169932</v>
      </c>
    </row>
    <row r="1602" spans="1:6" x14ac:dyDescent="0.25">
      <c r="A1602" t="s">
        <v>52</v>
      </c>
      <c r="B1602" t="s">
        <v>106</v>
      </c>
      <c r="C1602">
        <v>1.4</v>
      </c>
      <c r="D1602" s="1">
        <v>150415</v>
      </c>
      <c r="E1602" s="4">
        <v>352208.2828861915</v>
      </c>
      <c r="F1602" s="4">
        <v>269450.16738066386</v>
      </c>
    </row>
    <row r="1603" spans="1:6" x14ac:dyDescent="0.25">
      <c r="A1603" t="s">
        <v>53</v>
      </c>
      <c r="B1603" t="s">
        <v>106</v>
      </c>
      <c r="C1603">
        <v>4.13</v>
      </c>
      <c r="D1603" s="1">
        <v>471452</v>
      </c>
      <c r="E1603" s="4">
        <v>210952.98486585746</v>
      </c>
      <c r="F1603" s="4">
        <v>292349.2256152379</v>
      </c>
    </row>
    <row r="1604" spans="1:6" x14ac:dyDescent="0.25">
      <c r="A1604" t="s">
        <v>54</v>
      </c>
      <c r="B1604" t="s">
        <v>106</v>
      </c>
      <c r="C1604">
        <v>7.29</v>
      </c>
      <c r="D1604" s="1">
        <v>829263</v>
      </c>
      <c r="E1604" s="4">
        <v>393302.29545975721</v>
      </c>
      <c r="F1604" s="4">
        <v>232569.41105084054</v>
      </c>
    </row>
    <row r="1605" spans="1:6" x14ac:dyDescent="0.25">
      <c r="A1605" t="s">
        <v>55</v>
      </c>
      <c r="B1605" t="s">
        <v>106</v>
      </c>
      <c r="C1605">
        <v>6.47</v>
      </c>
      <c r="D1605" s="1">
        <v>728899</v>
      </c>
      <c r="E1605" s="4">
        <v>698474.78863792715</v>
      </c>
      <c r="F1605" s="4">
        <v>315511.22632275679</v>
      </c>
    </row>
    <row r="1606" spans="1:6" x14ac:dyDescent="0.25">
      <c r="A1606" t="s">
        <v>56</v>
      </c>
      <c r="B1606" t="s">
        <v>106</v>
      </c>
      <c r="C1606">
        <v>1.35</v>
      </c>
      <c r="D1606" s="1">
        <v>149419</v>
      </c>
      <c r="E1606" s="4">
        <v>719771.73659137811</v>
      </c>
      <c r="F1606" s="4">
        <v>293738.60569452291</v>
      </c>
    </row>
    <row r="1607" spans="1:6" x14ac:dyDescent="0.25">
      <c r="A1607" t="s">
        <v>57</v>
      </c>
      <c r="B1607" t="s">
        <v>106</v>
      </c>
      <c r="C1607">
        <v>5.0199999999999996</v>
      </c>
      <c r="D1607" s="1">
        <v>605709</v>
      </c>
      <c r="E1607" s="4">
        <v>320524.82097741344</v>
      </c>
      <c r="F1607" s="4">
        <v>414845.1971026875</v>
      </c>
    </row>
    <row r="1608" spans="1:6" x14ac:dyDescent="0.25">
      <c r="A1608" t="s">
        <v>58</v>
      </c>
      <c r="B1608" t="s">
        <v>106</v>
      </c>
      <c r="C1608">
        <v>9.02</v>
      </c>
      <c r="D1608" s="1">
        <v>1019664</v>
      </c>
      <c r="E1608" s="4">
        <v>520153.74629322405</v>
      </c>
      <c r="F1608" s="4">
        <v>368581.91886339401</v>
      </c>
    </row>
    <row r="1609" spans="1:6" x14ac:dyDescent="0.25">
      <c r="A1609" t="s">
        <v>59</v>
      </c>
      <c r="B1609" t="s">
        <v>106</v>
      </c>
      <c r="C1609">
        <v>5.63</v>
      </c>
      <c r="D1609" s="1">
        <v>677198</v>
      </c>
      <c r="E1609" s="4">
        <v>869810.92388796713</v>
      </c>
      <c r="F1609" s="4">
        <v>467668.95473196579</v>
      </c>
    </row>
    <row r="1610" spans="1:6" x14ac:dyDescent="0.25">
      <c r="A1610" t="s">
        <v>60</v>
      </c>
      <c r="B1610" t="s">
        <v>106</v>
      </c>
      <c r="C1610">
        <v>4.51</v>
      </c>
      <c r="D1610" s="1">
        <v>396600</v>
      </c>
      <c r="E1610" s="4">
        <v>734981.87716639007</v>
      </c>
      <c r="F1610" s="4">
        <v>350209.57914353046</v>
      </c>
    </row>
    <row r="1611" spans="1:6" x14ac:dyDescent="0.25">
      <c r="A1611" t="s">
        <v>61</v>
      </c>
      <c r="B1611" t="s">
        <v>106</v>
      </c>
      <c r="C1611">
        <v>11.64</v>
      </c>
      <c r="D1611" s="1">
        <v>1239502</v>
      </c>
      <c r="E1611" s="4">
        <v>498114.56314991706</v>
      </c>
      <c r="F1611" s="4">
        <v>365655.81576191267</v>
      </c>
    </row>
    <row r="1612" spans="1:6" x14ac:dyDescent="0.25">
      <c r="A1612" t="s">
        <v>62</v>
      </c>
      <c r="B1612" t="s">
        <v>106</v>
      </c>
      <c r="C1612">
        <v>12.03</v>
      </c>
      <c r="D1612" s="1">
        <v>1264916</v>
      </c>
      <c r="E1612" s="4">
        <v>1017085.768944975</v>
      </c>
      <c r="F1612" s="4">
        <v>483479.52895734808</v>
      </c>
    </row>
    <row r="1613" spans="1:6" x14ac:dyDescent="0.25">
      <c r="A1613" t="s">
        <v>63</v>
      </c>
      <c r="B1613" t="s">
        <v>106</v>
      </c>
      <c r="C1613">
        <v>6.67</v>
      </c>
      <c r="D1613" s="1">
        <v>713270</v>
      </c>
      <c r="E1613" s="4">
        <v>1190566.9306834925</v>
      </c>
      <c r="F1613" s="4">
        <v>491791.77495445934</v>
      </c>
    </row>
    <row r="1614" spans="1:6" x14ac:dyDescent="0.25">
      <c r="A1614" t="s">
        <v>64</v>
      </c>
      <c r="B1614" t="s">
        <v>106</v>
      </c>
      <c r="C1614">
        <v>7.02</v>
      </c>
      <c r="D1614" s="1">
        <v>955309</v>
      </c>
      <c r="E1614" s="4">
        <v>856459.07920504769</v>
      </c>
      <c r="F1614" s="4">
        <v>528799.74627572251</v>
      </c>
    </row>
    <row r="1615" spans="1:6" x14ac:dyDescent="0.25">
      <c r="A1615" t="s">
        <v>65</v>
      </c>
      <c r="B1615" t="s">
        <v>106</v>
      </c>
      <c r="C1615">
        <v>4.1100000000000003</v>
      </c>
      <c r="D1615" s="1">
        <v>471393</v>
      </c>
      <c r="E1615" s="4">
        <v>925654.02376151423</v>
      </c>
      <c r="F1615" s="4">
        <v>315702.12242230173</v>
      </c>
    </row>
    <row r="1616" spans="1:6" x14ac:dyDescent="0.25">
      <c r="A1616" t="s">
        <v>66</v>
      </c>
      <c r="B1616" t="s">
        <v>106</v>
      </c>
      <c r="C1616">
        <v>2.5299999999999998</v>
      </c>
      <c r="D1616" s="1">
        <v>310235</v>
      </c>
      <c r="E1616" s="4">
        <v>607671.30712845421</v>
      </c>
      <c r="F1616" s="4">
        <v>384680.27615580097</v>
      </c>
    </row>
    <row r="1617" spans="1:6" x14ac:dyDescent="0.25">
      <c r="A1617" t="s">
        <v>67</v>
      </c>
      <c r="B1617" t="s">
        <v>106</v>
      </c>
      <c r="C1617">
        <v>1.65</v>
      </c>
      <c r="D1617" s="1">
        <v>196824</v>
      </c>
      <c r="E1617" s="4">
        <v>399465.89213853626</v>
      </c>
      <c r="F1617" s="4">
        <v>318639.1592110839</v>
      </c>
    </row>
    <row r="1618" spans="1:6" x14ac:dyDescent="0.25">
      <c r="A1618" t="s">
        <v>68</v>
      </c>
      <c r="B1618" t="s">
        <v>106</v>
      </c>
      <c r="C1618">
        <v>6.37</v>
      </c>
      <c r="D1618" s="1">
        <v>545068</v>
      </c>
      <c r="E1618" s="4">
        <v>257616.56764156086</v>
      </c>
      <c r="F1618" s="4">
        <v>334606.8194944415</v>
      </c>
    </row>
    <row r="1619" spans="1:6" x14ac:dyDescent="0.25">
      <c r="A1619" t="s">
        <v>69</v>
      </c>
      <c r="B1619" t="s">
        <v>106</v>
      </c>
      <c r="C1619">
        <v>4.82</v>
      </c>
      <c r="D1619" s="1">
        <v>540842</v>
      </c>
      <c r="E1619" s="4">
        <v>458832.57029246824</v>
      </c>
      <c r="F1619" s="4">
        <v>265932.58494877769</v>
      </c>
    </row>
    <row r="1620" spans="1:6" x14ac:dyDescent="0.25">
      <c r="A1620" t="s">
        <v>70</v>
      </c>
      <c r="B1620" t="s">
        <v>106</v>
      </c>
      <c r="C1620">
        <v>5.85</v>
      </c>
      <c r="D1620" s="1">
        <v>646265</v>
      </c>
      <c r="E1620" s="4">
        <v>516239.17108774045</v>
      </c>
      <c r="F1620" s="4">
        <v>208500.68662985187</v>
      </c>
    </row>
    <row r="1621" spans="1:6" x14ac:dyDescent="0.25">
      <c r="A1621" t="s">
        <v>71</v>
      </c>
      <c r="B1621" t="s">
        <v>106</v>
      </c>
      <c r="C1621">
        <v>3.86</v>
      </c>
      <c r="D1621" s="1">
        <v>431550</v>
      </c>
      <c r="E1621" s="4">
        <v>607257.25132632209</v>
      </c>
      <c r="F1621" s="4">
        <v>188202.54046301029</v>
      </c>
    </row>
    <row r="1622" spans="1:6" x14ac:dyDescent="0.25">
      <c r="A1622" t="s">
        <v>72</v>
      </c>
      <c r="B1622" t="s">
        <v>106</v>
      </c>
      <c r="C1622">
        <v>4</v>
      </c>
      <c r="D1622" s="1">
        <v>369903</v>
      </c>
      <c r="E1622" s="4">
        <v>484262.17539789662</v>
      </c>
      <c r="F1622" s="4">
        <v>134790.33213838213</v>
      </c>
    </row>
    <row r="1623" spans="1:6" x14ac:dyDescent="0.25">
      <c r="A1623" t="s">
        <v>73</v>
      </c>
      <c r="B1623" t="s">
        <v>106</v>
      </c>
      <c r="C1623">
        <v>8.5399999999999991</v>
      </c>
      <c r="D1623" s="1">
        <v>989748</v>
      </c>
      <c r="E1623" s="4">
        <v>404210.75261936896</v>
      </c>
      <c r="F1623" s="4">
        <v>142428.66676651203</v>
      </c>
    </row>
    <row r="1624" spans="1:6" x14ac:dyDescent="0.25">
      <c r="A1624" t="s">
        <v>74</v>
      </c>
      <c r="B1624" t="s">
        <v>106</v>
      </c>
      <c r="C1624">
        <v>4.3499999999999996</v>
      </c>
      <c r="D1624" s="1">
        <v>440035</v>
      </c>
      <c r="E1624" s="4">
        <v>814086.82578581059</v>
      </c>
      <c r="F1624" s="4">
        <v>359075.16726372886</v>
      </c>
    </row>
    <row r="1625" spans="1:6" x14ac:dyDescent="0.25">
      <c r="A1625" t="s">
        <v>75</v>
      </c>
      <c r="B1625" t="s">
        <v>106</v>
      </c>
      <c r="C1625">
        <v>4.03</v>
      </c>
      <c r="D1625" s="1">
        <v>449338</v>
      </c>
      <c r="E1625" s="4">
        <v>552250.54773574322</v>
      </c>
      <c r="F1625" s="4">
        <v>406549.15957010316</v>
      </c>
    </row>
    <row r="1626" spans="1:6" x14ac:dyDescent="0.25">
      <c r="A1626" t="s">
        <v>76</v>
      </c>
      <c r="B1626" t="s">
        <v>106</v>
      </c>
      <c r="C1626">
        <v>2.7</v>
      </c>
      <c r="D1626" s="1">
        <v>305962</v>
      </c>
      <c r="E1626" s="4">
        <v>480211.7643207229</v>
      </c>
      <c r="F1626" s="4">
        <v>405528.30929757387</v>
      </c>
    </row>
    <row r="1627" spans="1:6" x14ac:dyDescent="0.25">
      <c r="A1627" t="s">
        <v>77</v>
      </c>
      <c r="B1627" t="s">
        <v>106</v>
      </c>
      <c r="C1627">
        <v>3.39</v>
      </c>
      <c r="D1627" s="1">
        <v>391769</v>
      </c>
      <c r="E1627" s="4">
        <v>358236.92929621687</v>
      </c>
      <c r="F1627" s="4">
        <v>245539.36630812552</v>
      </c>
    </row>
    <row r="1628" spans="1:6" x14ac:dyDescent="0.25">
      <c r="A1628" t="s">
        <v>78</v>
      </c>
      <c r="B1628" t="s">
        <v>106</v>
      </c>
      <c r="C1628">
        <v>3.7</v>
      </c>
      <c r="D1628" s="1">
        <v>439636</v>
      </c>
      <c r="E1628" s="4">
        <v>381709.37878886505</v>
      </c>
      <c r="F1628" s="4">
        <v>118431.93912253655</v>
      </c>
    </row>
    <row r="1629" spans="1:6" x14ac:dyDescent="0.25">
      <c r="A1629" t="s">
        <v>79</v>
      </c>
      <c r="B1629" t="s">
        <v>106</v>
      </c>
      <c r="C1629">
        <v>4.53</v>
      </c>
      <c r="D1629" s="1">
        <v>497338</v>
      </c>
      <c r="E1629" s="4">
        <v>422258.01363665948</v>
      </c>
      <c r="F1629" s="4">
        <v>107769.6209149395</v>
      </c>
    </row>
    <row r="1630" spans="1:6" x14ac:dyDescent="0.25">
      <c r="A1630" t="s">
        <v>80</v>
      </c>
      <c r="B1630" t="s">
        <v>106</v>
      </c>
      <c r="C1630">
        <v>0.36</v>
      </c>
      <c r="D1630" s="1">
        <v>43935</v>
      </c>
      <c r="E1630" s="4">
        <v>474814.0040909978</v>
      </c>
      <c r="F1630" s="4">
        <v>58071.500649174479</v>
      </c>
    </row>
    <row r="1631" spans="1:6" x14ac:dyDescent="0.25">
      <c r="A1631" t="s">
        <v>81</v>
      </c>
      <c r="B1631" t="s">
        <v>106</v>
      </c>
      <c r="C1631">
        <v>0</v>
      </c>
      <c r="D1631">
        <v>0</v>
      </c>
      <c r="E1631" s="4">
        <v>173198.70122729935</v>
      </c>
      <c r="F1631" s="4">
        <v>254721.55645181649</v>
      </c>
    </row>
    <row r="1632" spans="1:6" x14ac:dyDescent="0.25">
      <c r="A1632" t="s">
        <v>82</v>
      </c>
      <c r="B1632" t="s">
        <v>106</v>
      </c>
      <c r="C1632">
        <v>16.23</v>
      </c>
      <c r="D1632" s="1">
        <v>1593958</v>
      </c>
      <c r="E1632" s="4">
        <v>51959.610368189802</v>
      </c>
      <c r="F1632" s="4">
        <v>271594.98683738179</v>
      </c>
    </row>
    <row r="1633" spans="1:6" x14ac:dyDescent="0.25">
      <c r="A1633" t="s">
        <v>83</v>
      </c>
      <c r="B1633" t="s">
        <v>106</v>
      </c>
      <c r="C1633">
        <v>6.19</v>
      </c>
      <c r="D1633" s="1">
        <v>692609</v>
      </c>
      <c r="E1633" s="4">
        <v>1131358.4831104567</v>
      </c>
      <c r="F1633" s="4">
        <v>929769.42301131284</v>
      </c>
    </row>
    <row r="1634" spans="1:6" x14ac:dyDescent="0.25">
      <c r="A1634" t="s">
        <v>84</v>
      </c>
      <c r="B1634" t="s">
        <v>106</v>
      </c>
      <c r="C1634">
        <v>9.8699999999999992</v>
      </c>
      <c r="D1634" s="1">
        <v>1162307</v>
      </c>
      <c r="E1634" s="4">
        <v>824233.84493313706</v>
      </c>
      <c r="F1634" s="4">
        <v>930995.51246029325</v>
      </c>
    </row>
    <row r="1635" spans="1:6" x14ac:dyDescent="0.25">
      <c r="A1635" t="s">
        <v>29</v>
      </c>
      <c r="B1635" t="s">
        <v>107</v>
      </c>
      <c r="C1635">
        <v>20</v>
      </c>
      <c r="D1635" s="1">
        <v>171851</v>
      </c>
      <c r="E1635" s="4">
        <v>1060885.0534799411</v>
      </c>
      <c r="F1635" s="4">
        <v>945965.75003778585</v>
      </c>
    </row>
    <row r="1636" spans="1:6" x14ac:dyDescent="0.25">
      <c r="A1636" t="s">
        <v>30</v>
      </c>
      <c r="B1636" t="s">
        <v>107</v>
      </c>
      <c r="C1636">
        <v>8.57</v>
      </c>
      <c r="D1636" s="1">
        <v>91431</v>
      </c>
      <c r="E1636" s="4">
        <v>438561.21604398231</v>
      </c>
      <c r="F1636" s="4">
        <v>604752.32267806155</v>
      </c>
    </row>
    <row r="1637" spans="1:6" x14ac:dyDescent="0.25">
      <c r="A1637" t="s">
        <v>33</v>
      </c>
      <c r="B1637" t="s">
        <v>107</v>
      </c>
      <c r="C1637">
        <v>33.33</v>
      </c>
      <c r="D1637" s="1">
        <v>321231</v>
      </c>
      <c r="E1637" s="4">
        <v>195570.06481319468</v>
      </c>
      <c r="F1637" s="4">
        <v>584572.32039459969</v>
      </c>
    </row>
    <row r="1638" spans="1:6" x14ac:dyDescent="0.25">
      <c r="A1638" t="s">
        <v>34</v>
      </c>
      <c r="B1638" t="s">
        <v>107</v>
      </c>
      <c r="C1638">
        <v>31.63</v>
      </c>
      <c r="D1638" s="1">
        <v>323226</v>
      </c>
      <c r="E1638" s="4">
        <v>283532.71944395837</v>
      </c>
      <c r="F1638" s="4">
        <v>555779.2144877133</v>
      </c>
    </row>
    <row r="1639" spans="1:6" x14ac:dyDescent="0.25">
      <c r="A1639" t="s">
        <v>35</v>
      </c>
      <c r="B1639" t="s">
        <v>107</v>
      </c>
      <c r="C1639">
        <v>15.29</v>
      </c>
      <c r="D1639" s="1">
        <v>143160</v>
      </c>
      <c r="E1639" s="4">
        <v>311318.0158331875</v>
      </c>
      <c r="F1639" s="4">
        <v>214371.6508341413</v>
      </c>
    </row>
    <row r="1640" spans="1:6" x14ac:dyDescent="0.25">
      <c r="A1640" t="s">
        <v>36</v>
      </c>
      <c r="B1640" t="s">
        <v>107</v>
      </c>
      <c r="C1640">
        <v>13.26</v>
      </c>
      <c r="D1640" s="1">
        <v>133201</v>
      </c>
      <c r="E1640" s="4">
        <v>193607.40474995624</v>
      </c>
      <c r="F1640" s="4">
        <v>123346.86246824123</v>
      </c>
    </row>
    <row r="1641" spans="1:6" x14ac:dyDescent="0.25">
      <c r="A1641" t="s">
        <v>37</v>
      </c>
      <c r="B1641" t="s">
        <v>107</v>
      </c>
      <c r="C1641">
        <v>22.92</v>
      </c>
      <c r="D1641" s="1">
        <v>237543</v>
      </c>
      <c r="E1641" s="4">
        <v>151322.92142498685</v>
      </c>
      <c r="F1641" s="4">
        <v>105674.98686234554</v>
      </c>
    </row>
    <row r="1642" spans="1:6" x14ac:dyDescent="0.25">
      <c r="A1642" t="s">
        <v>38</v>
      </c>
      <c r="B1642" t="s">
        <v>107</v>
      </c>
      <c r="C1642">
        <v>20</v>
      </c>
      <c r="D1642" s="1">
        <v>215257</v>
      </c>
      <c r="E1642" s="4">
        <v>211676.97642749603</v>
      </c>
      <c r="F1642" s="4">
        <v>114542.50153436715</v>
      </c>
    </row>
    <row r="1643" spans="1:6" x14ac:dyDescent="0.25">
      <c r="A1643" t="s">
        <v>39</v>
      </c>
      <c r="B1643" t="s">
        <v>107</v>
      </c>
      <c r="C1643">
        <v>17.489999999999998</v>
      </c>
      <c r="D1643" s="1">
        <v>166407</v>
      </c>
      <c r="E1643" s="4">
        <v>214182.9929282488</v>
      </c>
      <c r="F1643" s="4">
        <v>60815.711383042741</v>
      </c>
    </row>
    <row r="1644" spans="1:6" x14ac:dyDescent="0.25">
      <c r="A1644" t="s">
        <v>40</v>
      </c>
      <c r="B1644" t="s">
        <v>107</v>
      </c>
      <c r="C1644">
        <v>23.88</v>
      </c>
      <c r="D1644" s="1">
        <v>249159</v>
      </c>
      <c r="E1644" s="4">
        <v>180739.79787847464</v>
      </c>
      <c r="F1644" s="4">
        <v>56948.11679222063</v>
      </c>
    </row>
    <row r="1645" spans="1:6" x14ac:dyDescent="0.25">
      <c r="A1645" t="s">
        <v>41</v>
      </c>
      <c r="B1645" t="s">
        <v>107</v>
      </c>
      <c r="C1645">
        <v>39.19</v>
      </c>
      <c r="D1645" s="1">
        <v>378974</v>
      </c>
      <c r="E1645" s="4">
        <v>228633.23936354238</v>
      </c>
      <c r="F1645" s="4">
        <v>48223.608630372124</v>
      </c>
    </row>
    <row r="1646" spans="1:6" x14ac:dyDescent="0.25">
      <c r="A1646" t="s">
        <v>42</v>
      </c>
      <c r="B1646" t="s">
        <v>107</v>
      </c>
      <c r="C1646">
        <v>33.090000000000003</v>
      </c>
      <c r="D1646" s="1">
        <v>359634</v>
      </c>
      <c r="E1646" s="4">
        <v>333871.77180906269</v>
      </c>
      <c r="F1646" s="4">
        <v>99274.160834151378</v>
      </c>
    </row>
    <row r="1647" spans="1:6" x14ac:dyDescent="0.25">
      <c r="A1647" t="s">
        <v>43</v>
      </c>
      <c r="B1647" t="s">
        <v>107</v>
      </c>
      <c r="C1647">
        <v>33.33</v>
      </c>
      <c r="D1647" s="1">
        <v>337503</v>
      </c>
      <c r="E1647" s="4">
        <v>351905.33154271881</v>
      </c>
      <c r="F1647" s="4">
        <v>96518.087992280343</v>
      </c>
    </row>
    <row r="1648" spans="1:6" x14ac:dyDescent="0.25">
      <c r="A1648" t="s">
        <v>44</v>
      </c>
      <c r="B1648" t="s">
        <v>107</v>
      </c>
      <c r="C1648">
        <v>23.11</v>
      </c>
      <c r="D1648" s="1">
        <v>246366</v>
      </c>
      <c r="E1648" s="4">
        <v>341823.6994628156</v>
      </c>
      <c r="F1648" s="4">
        <v>88456.135766033709</v>
      </c>
    </row>
    <row r="1649" spans="1:6" x14ac:dyDescent="0.25">
      <c r="A1649" t="s">
        <v>45</v>
      </c>
      <c r="B1649" t="s">
        <v>107</v>
      </c>
      <c r="C1649">
        <v>33.06</v>
      </c>
      <c r="D1649" s="1">
        <v>329401</v>
      </c>
      <c r="E1649" s="4">
        <v>275003.30983884464</v>
      </c>
      <c r="F1649" s="4">
        <v>57686.774746503623</v>
      </c>
    </row>
    <row r="1650" spans="1:6" x14ac:dyDescent="0.25">
      <c r="A1650" t="s">
        <v>46</v>
      </c>
      <c r="B1650" t="s">
        <v>107</v>
      </c>
      <c r="C1650">
        <v>25.7</v>
      </c>
      <c r="D1650" s="1">
        <v>292238</v>
      </c>
      <c r="E1650" s="4">
        <v>313081.69295165339</v>
      </c>
      <c r="F1650" s="4">
        <v>63975.798120509797</v>
      </c>
    </row>
    <row r="1651" spans="1:6" x14ac:dyDescent="0.25">
      <c r="A1651" t="s">
        <v>47</v>
      </c>
      <c r="B1651" t="s">
        <v>107</v>
      </c>
      <c r="C1651">
        <v>22.95</v>
      </c>
      <c r="D1651" s="1">
        <v>235597</v>
      </c>
      <c r="E1651" s="4">
        <v>298491.10788549599</v>
      </c>
      <c r="F1651" s="4">
        <v>64564.542945967609</v>
      </c>
    </row>
    <row r="1652" spans="1:6" x14ac:dyDescent="0.25">
      <c r="A1652" t="s">
        <v>48</v>
      </c>
      <c r="B1652" t="s">
        <v>107</v>
      </c>
      <c r="C1652">
        <v>22.22</v>
      </c>
      <c r="D1652" s="1">
        <v>239366</v>
      </c>
      <c r="E1652" s="4">
        <v>254465.23236564879</v>
      </c>
      <c r="F1652" s="4">
        <v>49494.905587828842</v>
      </c>
    </row>
    <row r="1653" spans="1:6" x14ac:dyDescent="0.25">
      <c r="A1653" t="s">
        <v>49</v>
      </c>
      <c r="B1653" t="s">
        <v>107</v>
      </c>
      <c r="C1653">
        <v>29.25</v>
      </c>
      <c r="D1653" s="1">
        <v>298218</v>
      </c>
      <c r="E1653" s="4">
        <v>243895.76970969461</v>
      </c>
      <c r="F1653" s="4">
        <v>39234.827898212534</v>
      </c>
    </row>
    <row r="1654" spans="1:6" x14ac:dyDescent="0.25">
      <c r="A1654" t="s">
        <v>50</v>
      </c>
      <c r="B1654" t="s">
        <v>107</v>
      </c>
      <c r="C1654">
        <v>26.64</v>
      </c>
      <c r="D1654" s="1">
        <v>294908</v>
      </c>
      <c r="E1654" s="4">
        <v>281921.33091290836</v>
      </c>
      <c r="F1654" s="4">
        <v>48766.656397095881</v>
      </c>
    </row>
    <row r="1655" spans="1:6" x14ac:dyDescent="0.25">
      <c r="A1655" t="s">
        <v>51</v>
      </c>
      <c r="B1655" t="s">
        <v>107</v>
      </c>
      <c r="C1655">
        <v>22.47</v>
      </c>
      <c r="D1655" s="1">
        <v>236519</v>
      </c>
      <c r="E1655" s="4">
        <v>291011.99927387247</v>
      </c>
      <c r="F1655" s="4">
        <v>33404.316565989146</v>
      </c>
    </row>
    <row r="1656" spans="1:6" x14ac:dyDescent="0.25">
      <c r="A1656" t="s">
        <v>52</v>
      </c>
      <c r="B1656" t="s">
        <v>107</v>
      </c>
      <c r="C1656">
        <v>25.49</v>
      </c>
      <c r="D1656" s="1">
        <v>248655</v>
      </c>
      <c r="E1656" s="4">
        <v>252866.89978216172</v>
      </c>
      <c r="F1656" s="4">
        <v>45051.989403180487</v>
      </c>
    </row>
    <row r="1657" spans="1:6" x14ac:dyDescent="0.25">
      <c r="A1657" t="s">
        <v>53</v>
      </c>
      <c r="B1657" t="s">
        <v>107</v>
      </c>
      <c r="C1657">
        <v>30.23</v>
      </c>
      <c r="D1657" s="1">
        <v>312702</v>
      </c>
      <c r="E1657" s="4">
        <v>249918.56993464852</v>
      </c>
      <c r="F1657" s="4">
        <v>32433.936155488238</v>
      </c>
    </row>
    <row r="1658" spans="1:6" x14ac:dyDescent="0.25">
      <c r="A1658" t="s">
        <v>54</v>
      </c>
      <c r="B1658" t="s">
        <v>107</v>
      </c>
      <c r="C1658">
        <v>27.54</v>
      </c>
      <c r="D1658" s="1">
        <v>306731</v>
      </c>
      <c r="E1658" s="4">
        <v>293866.97098039452</v>
      </c>
      <c r="F1658" s="4">
        <v>48058.943532597274</v>
      </c>
    </row>
    <row r="1659" spans="1:6" x14ac:dyDescent="0.25">
      <c r="A1659" t="s">
        <v>55</v>
      </c>
      <c r="B1659" t="s">
        <v>107</v>
      </c>
      <c r="C1659">
        <v>25.25</v>
      </c>
      <c r="D1659" s="1">
        <v>273870</v>
      </c>
      <c r="E1659" s="4">
        <v>302871.79129411833</v>
      </c>
      <c r="F1659" s="4">
        <v>37080.913478334136</v>
      </c>
    </row>
    <row r="1660" spans="1:6" x14ac:dyDescent="0.25">
      <c r="A1660" t="s">
        <v>56</v>
      </c>
      <c r="B1660" t="s">
        <v>107</v>
      </c>
      <c r="C1660">
        <v>26.53</v>
      </c>
      <c r="D1660" s="1">
        <v>277737</v>
      </c>
      <c r="E1660" s="4">
        <v>282570.53738823551</v>
      </c>
      <c r="F1660" s="4">
        <v>40613.405962628196</v>
      </c>
    </row>
    <row r="1661" spans="1:6" x14ac:dyDescent="0.25">
      <c r="A1661" t="s">
        <v>57</v>
      </c>
      <c r="B1661" t="s">
        <v>107</v>
      </c>
      <c r="C1661">
        <v>31.91</v>
      </c>
      <c r="D1661" s="1">
        <v>337600</v>
      </c>
      <c r="E1661" s="4">
        <v>279187.06121647067</v>
      </c>
      <c r="F1661" s="4">
        <v>18528.808421557318</v>
      </c>
    </row>
    <row r="1662" spans="1:6" x14ac:dyDescent="0.25">
      <c r="A1662" t="s">
        <v>58</v>
      </c>
      <c r="B1662" t="s">
        <v>107</v>
      </c>
      <c r="C1662">
        <v>26.22</v>
      </c>
      <c r="D1662" s="1">
        <v>306603</v>
      </c>
      <c r="E1662" s="4">
        <v>320076.11836494115</v>
      </c>
      <c r="F1662" s="4">
        <v>37755.963764149958</v>
      </c>
    </row>
    <row r="1663" spans="1:6" x14ac:dyDescent="0.25">
      <c r="A1663" t="s">
        <v>59</v>
      </c>
      <c r="B1663" t="s">
        <v>107</v>
      </c>
      <c r="C1663">
        <v>31.61</v>
      </c>
      <c r="D1663" s="1">
        <v>335365</v>
      </c>
      <c r="E1663" s="4">
        <v>310644.93550948234</v>
      </c>
      <c r="F1663" s="4">
        <v>34722.516323405725</v>
      </c>
    </row>
    <row r="1664" spans="1:6" x14ac:dyDescent="0.25">
      <c r="A1664" t="s">
        <v>60</v>
      </c>
      <c r="B1664" t="s">
        <v>107</v>
      </c>
      <c r="C1664">
        <v>43.64</v>
      </c>
      <c r="D1664" s="1">
        <v>294606</v>
      </c>
      <c r="E1664" s="4">
        <v>327948.98065284465</v>
      </c>
      <c r="F1664" s="4">
        <v>37437.405199521207</v>
      </c>
    </row>
    <row r="1665" spans="1:6" x14ac:dyDescent="0.25">
      <c r="A1665" t="s">
        <v>61</v>
      </c>
      <c r="B1665" t="s">
        <v>107</v>
      </c>
      <c r="C1665">
        <v>20.88</v>
      </c>
      <c r="D1665" s="1">
        <v>186243</v>
      </c>
      <c r="E1665" s="4">
        <v>304608.89419585338</v>
      </c>
      <c r="F1665" s="4">
        <v>25194.978770296271</v>
      </c>
    </row>
    <row r="1666" spans="1:6" x14ac:dyDescent="0.25">
      <c r="A1666" t="s">
        <v>62</v>
      </c>
      <c r="B1666" t="s">
        <v>107</v>
      </c>
      <c r="C1666">
        <v>18.95</v>
      </c>
      <c r="D1666" s="1">
        <v>210389</v>
      </c>
      <c r="E1666" s="4">
        <v>221752.768258756</v>
      </c>
      <c r="F1666" s="4">
        <v>72418.507892239999</v>
      </c>
    </row>
    <row r="1667" spans="1:6" x14ac:dyDescent="0.25">
      <c r="A1667" t="s">
        <v>63</v>
      </c>
      <c r="B1667" t="s">
        <v>107</v>
      </c>
      <c r="C1667">
        <v>15.79</v>
      </c>
      <c r="D1667" s="1">
        <v>156155</v>
      </c>
      <c r="E1667" s="4">
        <v>213798.13047762678</v>
      </c>
      <c r="F1667" s="4">
        <v>71300.711769796151</v>
      </c>
    </row>
    <row r="1668" spans="1:6" x14ac:dyDescent="0.25">
      <c r="A1668" t="s">
        <v>64</v>
      </c>
      <c r="B1668" t="s">
        <v>107</v>
      </c>
      <c r="C1668">
        <v>27.44</v>
      </c>
      <c r="D1668" s="1">
        <v>266196</v>
      </c>
      <c r="E1668" s="4">
        <v>173447.93914328804</v>
      </c>
      <c r="F1668" s="4">
        <v>76294.059683751198</v>
      </c>
    </row>
    <row r="1669" spans="1:6" x14ac:dyDescent="0.25">
      <c r="A1669" t="s">
        <v>65</v>
      </c>
      <c r="B1669" t="s">
        <v>107</v>
      </c>
      <c r="C1669">
        <v>19.309999999999999</v>
      </c>
      <c r="D1669" s="1">
        <v>183171</v>
      </c>
      <c r="E1669" s="4">
        <v>238371.5817429864</v>
      </c>
      <c r="F1669" s="4">
        <v>63387.876109394296</v>
      </c>
    </row>
    <row r="1670" spans="1:6" x14ac:dyDescent="0.25">
      <c r="A1670" t="s">
        <v>66</v>
      </c>
      <c r="B1670" t="s">
        <v>107</v>
      </c>
      <c r="C1670">
        <v>12.44</v>
      </c>
      <c r="D1670" s="1">
        <v>146276</v>
      </c>
      <c r="E1670" s="4">
        <v>199731.17452289592</v>
      </c>
      <c r="F1670" s="4">
        <v>70644.739149977686</v>
      </c>
    </row>
    <row r="1671" spans="1:6" x14ac:dyDescent="0.25">
      <c r="A1671" t="s">
        <v>67</v>
      </c>
      <c r="B1671" t="s">
        <v>107</v>
      </c>
      <c r="C1671">
        <v>13.16</v>
      </c>
      <c r="D1671" s="1">
        <v>136477</v>
      </c>
      <c r="E1671" s="4">
        <v>162312.55235686878</v>
      </c>
      <c r="F1671" s="4">
        <v>69538.389159556391</v>
      </c>
    </row>
    <row r="1672" spans="1:6" x14ac:dyDescent="0.25">
      <c r="A1672" t="s">
        <v>68</v>
      </c>
      <c r="B1672" t="s">
        <v>107</v>
      </c>
      <c r="C1672">
        <v>16.420000000000002</v>
      </c>
      <c r="D1672" s="1">
        <v>163094</v>
      </c>
      <c r="E1672" s="4">
        <v>144227.66570706063</v>
      </c>
      <c r="F1672" s="4">
        <v>46804.685212849836</v>
      </c>
    </row>
    <row r="1673" spans="1:6" x14ac:dyDescent="0.25">
      <c r="A1673" t="s">
        <v>69</v>
      </c>
      <c r="B1673" t="s">
        <v>107</v>
      </c>
      <c r="C1673">
        <v>20.27</v>
      </c>
      <c r="D1673" s="1">
        <v>198003</v>
      </c>
      <c r="E1673" s="4">
        <v>157434.09971211819</v>
      </c>
      <c r="F1673" s="4">
        <v>35966.975679136129</v>
      </c>
    </row>
    <row r="1674" spans="1:6" x14ac:dyDescent="0.25">
      <c r="A1674" t="s">
        <v>70</v>
      </c>
      <c r="B1674" t="s">
        <v>107</v>
      </c>
      <c r="C1674">
        <v>11.82</v>
      </c>
      <c r="D1674" s="1">
        <v>143519</v>
      </c>
      <c r="E1674" s="4">
        <v>185832.32991363545</v>
      </c>
      <c r="F1674" s="4">
        <v>29828.677508987581</v>
      </c>
    </row>
    <row r="1675" spans="1:6" x14ac:dyDescent="0.25">
      <c r="A1675" t="s">
        <v>71</v>
      </c>
      <c r="B1675" t="s">
        <v>107</v>
      </c>
      <c r="C1675">
        <v>13.79</v>
      </c>
      <c r="D1675" s="1">
        <v>146832</v>
      </c>
      <c r="E1675" s="4">
        <v>156212.99897409062</v>
      </c>
      <c r="F1675" s="4">
        <v>35553.678331040021</v>
      </c>
    </row>
    <row r="1676" spans="1:6" x14ac:dyDescent="0.25">
      <c r="A1676" t="s">
        <v>72</v>
      </c>
      <c r="B1676" t="s">
        <v>107</v>
      </c>
      <c r="C1676">
        <v>15.13</v>
      </c>
      <c r="D1676" s="1">
        <v>156187</v>
      </c>
      <c r="E1676" s="4">
        <v>149646.29969222719</v>
      </c>
      <c r="F1676" s="4">
        <v>34274.658766597728</v>
      </c>
    </row>
    <row r="1677" spans="1:6" x14ac:dyDescent="0.25">
      <c r="A1677" t="s">
        <v>73</v>
      </c>
      <c r="B1677" t="s">
        <v>107</v>
      </c>
      <c r="C1677">
        <v>21.93</v>
      </c>
      <c r="D1677" s="1">
        <v>205292</v>
      </c>
      <c r="E1677" s="4">
        <v>154224.78990766814</v>
      </c>
      <c r="F1677" s="4">
        <v>25306.137533861522</v>
      </c>
    </row>
    <row r="1678" spans="1:6" x14ac:dyDescent="0.25">
      <c r="A1678" t="s">
        <v>74</v>
      </c>
      <c r="B1678" t="s">
        <v>107</v>
      </c>
      <c r="C1678">
        <v>9.4700000000000006</v>
      </c>
      <c r="D1678" s="1">
        <v>115975</v>
      </c>
      <c r="E1678" s="4">
        <v>189971.83697230043</v>
      </c>
      <c r="F1678" s="4">
        <v>30213.925315337354</v>
      </c>
    </row>
    <row r="1679" spans="1:6" x14ac:dyDescent="0.25">
      <c r="A1679" t="s">
        <v>75</v>
      </c>
      <c r="B1679" t="s">
        <v>107</v>
      </c>
      <c r="C1679">
        <v>13.21</v>
      </c>
      <c r="D1679" s="1">
        <v>152383</v>
      </c>
      <c r="E1679" s="4">
        <v>138174.05109169014</v>
      </c>
      <c r="F1679" s="4">
        <v>52045.405141522562</v>
      </c>
    </row>
    <row r="1680" spans="1:6" x14ac:dyDescent="0.25">
      <c r="A1680" t="s">
        <v>76</v>
      </c>
      <c r="B1680" t="s">
        <v>107</v>
      </c>
      <c r="C1680">
        <v>12.77</v>
      </c>
      <c r="D1680" s="1">
        <v>138462</v>
      </c>
      <c r="E1680" s="4">
        <v>148120.31532750704</v>
      </c>
      <c r="F1680" s="4">
        <v>52552.469201736945</v>
      </c>
    </row>
    <row r="1681" spans="1:6" x14ac:dyDescent="0.25">
      <c r="A1681" t="s">
        <v>77</v>
      </c>
      <c r="B1681" t="s">
        <v>107</v>
      </c>
      <c r="C1681">
        <v>16.04</v>
      </c>
      <c r="D1681" s="1">
        <v>161363</v>
      </c>
      <c r="E1681" s="4">
        <v>141359.49459825212</v>
      </c>
      <c r="F1681" s="4">
        <v>43858.519377462362</v>
      </c>
    </row>
    <row r="1682" spans="1:6" x14ac:dyDescent="0.25">
      <c r="A1682" t="s">
        <v>78</v>
      </c>
      <c r="B1682" t="s">
        <v>107</v>
      </c>
      <c r="C1682">
        <v>10.36</v>
      </c>
      <c r="D1682" s="1">
        <v>128852</v>
      </c>
      <c r="E1682" s="4">
        <v>155361.94837947562</v>
      </c>
      <c r="F1682" s="4">
        <v>15224.076462435787</v>
      </c>
    </row>
    <row r="1683" spans="1:6" x14ac:dyDescent="0.25">
      <c r="A1683" t="s">
        <v>79</v>
      </c>
      <c r="B1683" t="s">
        <v>107</v>
      </c>
      <c r="C1683">
        <v>12.69</v>
      </c>
      <c r="D1683" s="1">
        <v>139414</v>
      </c>
      <c r="E1683" s="4">
        <v>136804.98451384268</v>
      </c>
      <c r="F1683" s="4">
        <v>19968.313619380217</v>
      </c>
    </row>
    <row r="1684" spans="1:6" x14ac:dyDescent="0.25">
      <c r="A1684" t="s">
        <v>80</v>
      </c>
      <c r="B1684" t="s">
        <v>107</v>
      </c>
      <c r="C1684">
        <v>12.77</v>
      </c>
      <c r="D1684" s="1">
        <v>139371</v>
      </c>
      <c r="E1684" s="4">
        <v>138631.2953541528</v>
      </c>
      <c r="F1684" s="4">
        <v>19232.997281124506</v>
      </c>
    </row>
    <row r="1685" spans="1:6" x14ac:dyDescent="0.25">
      <c r="A1685" t="s">
        <v>81</v>
      </c>
      <c r="B1685" t="s">
        <v>107</v>
      </c>
      <c r="C1685">
        <v>19.2</v>
      </c>
      <c r="D1685" s="1">
        <v>184914</v>
      </c>
      <c r="E1685" s="4">
        <v>139149.08860624584</v>
      </c>
      <c r="F1685" s="4">
        <v>15385.398790764344</v>
      </c>
    </row>
    <row r="1686" spans="1:6" x14ac:dyDescent="0.25">
      <c r="A1686" t="s">
        <v>82</v>
      </c>
      <c r="B1686" t="s">
        <v>107</v>
      </c>
      <c r="C1686">
        <v>10.14</v>
      </c>
      <c r="D1686" s="1">
        <v>116955</v>
      </c>
      <c r="E1686" s="4">
        <v>171184.52658187374</v>
      </c>
      <c r="F1686" s="4">
        <v>26468.731487349785</v>
      </c>
    </row>
    <row r="1687" spans="1:6" x14ac:dyDescent="0.25">
      <c r="A1687" t="s">
        <v>83</v>
      </c>
      <c r="B1687" t="s">
        <v>107</v>
      </c>
      <c r="C1687">
        <v>13.1</v>
      </c>
      <c r="D1687" s="1">
        <v>144443</v>
      </c>
      <c r="E1687" s="4">
        <v>133223.85797456212</v>
      </c>
      <c r="F1687" s="4">
        <v>40970.785653257073</v>
      </c>
    </row>
    <row r="1688" spans="1:6" x14ac:dyDescent="0.25">
      <c r="A1688" t="s">
        <v>84</v>
      </c>
      <c r="B1688" t="s">
        <v>107</v>
      </c>
      <c r="C1688">
        <v>12.14</v>
      </c>
      <c r="D1688" s="1">
        <v>133856</v>
      </c>
      <c r="E1688" s="4">
        <v>141077.25739236863</v>
      </c>
      <c r="F1688" s="4">
        <v>41477.454984442113</v>
      </c>
    </row>
    <row r="1689" spans="1:6" x14ac:dyDescent="0.25">
      <c r="A1689" t="s">
        <v>7</v>
      </c>
      <c r="B1689" t="s">
        <v>108</v>
      </c>
      <c r="C1689">
        <v>13.76</v>
      </c>
      <c r="D1689" s="1">
        <v>5845168</v>
      </c>
      <c r="E1689" s="4">
        <v>136022.3772177106</v>
      </c>
      <c r="F1689" s="4">
        <v>32243.124638739835</v>
      </c>
    </row>
    <row r="1690" spans="1:6" x14ac:dyDescent="0.25">
      <c r="A1690" t="s">
        <v>10</v>
      </c>
      <c r="B1690" t="s">
        <v>108</v>
      </c>
      <c r="C1690">
        <v>13.33</v>
      </c>
      <c r="D1690" s="1">
        <v>5590794</v>
      </c>
      <c r="E1690" s="4">
        <v>4132424.3131653126</v>
      </c>
      <c r="F1690" s="4">
        <v>3296185.7632643767</v>
      </c>
    </row>
    <row r="1691" spans="1:6" x14ac:dyDescent="0.25">
      <c r="A1691" t="s">
        <v>11</v>
      </c>
      <c r="B1691" t="s">
        <v>108</v>
      </c>
      <c r="C1691">
        <v>12.16</v>
      </c>
      <c r="D1691" s="1">
        <v>5288323</v>
      </c>
      <c r="E1691" s="4">
        <v>5153283.0939495936</v>
      </c>
      <c r="F1691" s="4">
        <v>3402020.8715884741</v>
      </c>
    </row>
    <row r="1692" spans="1:6" x14ac:dyDescent="0.25">
      <c r="A1692" t="s">
        <v>12</v>
      </c>
      <c r="B1692" t="s">
        <v>108</v>
      </c>
      <c r="C1692">
        <v>13.15</v>
      </c>
      <c r="D1692" s="1">
        <v>5619087</v>
      </c>
      <c r="E1692" s="4">
        <v>5247811.0281848777</v>
      </c>
      <c r="F1692" s="4">
        <v>3402911.5798993162</v>
      </c>
    </row>
    <row r="1693" spans="1:6" x14ac:dyDescent="0.25">
      <c r="A1693" t="s">
        <v>13</v>
      </c>
      <c r="B1693" t="s">
        <v>108</v>
      </c>
      <c r="C1693">
        <v>15.3</v>
      </c>
      <c r="D1693" s="1">
        <v>6785159</v>
      </c>
      <c r="E1693" s="4">
        <v>5507704.2084554629</v>
      </c>
      <c r="F1693" s="4">
        <v>872338.57474256528</v>
      </c>
    </row>
    <row r="1694" spans="1:6" x14ac:dyDescent="0.25">
      <c r="A1694" t="s">
        <v>14</v>
      </c>
      <c r="B1694" t="s">
        <v>108</v>
      </c>
      <c r="C1694">
        <v>18.02</v>
      </c>
      <c r="D1694" s="1">
        <v>7744188</v>
      </c>
      <c r="E1694" s="4">
        <v>6401922.5625366382</v>
      </c>
      <c r="F1694" s="4">
        <v>772004.39720540948</v>
      </c>
    </row>
    <row r="1695" spans="1:6" x14ac:dyDescent="0.25">
      <c r="A1695" t="s">
        <v>15</v>
      </c>
      <c r="B1695" t="s">
        <v>108</v>
      </c>
      <c r="C1695">
        <v>11.83</v>
      </c>
      <c r="D1695" s="1">
        <v>5103204</v>
      </c>
      <c r="E1695" s="4">
        <v>7341508.3687609909</v>
      </c>
      <c r="F1695" s="4">
        <v>1091087.0873118653</v>
      </c>
    </row>
    <row r="1696" spans="1:6" x14ac:dyDescent="0.25">
      <c r="A1696" t="s">
        <v>16</v>
      </c>
      <c r="B1696" t="s">
        <v>108</v>
      </c>
      <c r="C1696">
        <v>16.899999999999999</v>
      </c>
      <c r="D1696" s="1">
        <v>7283184</v>
      </c>
      <c r="E1696" s="4">
        <v>5774695.3106282968</v>
      </c>
      <c r="F1696" s="4">
        <v>1677654.4833251913</v>
      </c>
    </row>
    <row r="1697" spans="1:6" x14ac:dyDescent="0.25">
      <c r="A1697" t="s">
        <v>17</v>
      </c>
      <c r="B1697" t="s">
        <v>108</v>
      </c>
      <c r="C1697">
        <v>8.89</v>
      </c>
      <c r="D1697" s="1">
        <v>4164723</v>
      </c>
      <c r="E1697" s="4">
        <v>6830637.3931884887</v>
      </c>
      <c r="F1697" s="4">
        <v>1740423.4233643268</v>
      </c>
    </row>
    <row r="1698" spans="1:6" x14ac:dyDescent="0.25">
      <c r="A1698" t="s">
        <v>18</v>
      </c>
      <c r="B1698" t="s">
        <v>108</v>
      </c>
      <c r="C1698">
        <v>8.09</v>
      </c>
      <c r="D1698" s="1">
        <v>3624680</v>
      </c>
      <c r="E1698" s="4">
        <v>4964497.3179565463</v>
      </c>
      <c r="F1698" s="4">
        <v>2190330.5781690008</v>
      </c>
    </row>
    <row r="1699" spans="1:6" x14ac:dyDescent="0.25">
      <c r="A1699" t="s">
        <v>19</v>
      </c>
      <c r="B1699" t="s">
        <v>108</v>
      </c>
      <c r="C1699">
        <v>5.13</v>
      </c>
      <c r="D1699" s="1">
        <v>2166181</v>
      </c>
      <c r="E1699" s="4">
        <v>4026625.1953869639</v>
      </c>
      <c r="F1699" s="4">
        <v>1930263.2051327594</v>
      </c>
    </row>
    <row r="1700" spans="1:6" x14ac:dyDescent="0.25">
      <c r="A1700" t="s">
        <v>20</v>
      </c>
      <c r="B1700" t="s">
        <v>108</v>
      </c>
      <c r="C1700">
        <v>7.23</v>
      </c>
      <c r="D1700" s="1">
        <v>3046032</v>
      </c>
      <c r="E1700" s="4">
        <v>2724314.2586160889</v>
      </c>
      <c r="F1700" s="4">
        <v>2030062.6099913656</v>
      </c>
    </row>
    <row r="1701" spans="1:6" x14ac:dyDescent="0.25">
      <c r="A1701" t="s">
        <v>21</v>
      </c>
      <c r="B1701" t="s">
        <v>108</v>
      </c>
      <c r="C1701">
        <v>2.94</v>
      </c>
      <c r="D1701" s="1">
        <v>1285459</v>
      </c>
      <c r="E1701" s="4">
        <v>2949516.6775848265</v>
      </c>
      <c r="F1701" s="4">
        <v>1336645.7215441053</v>
      </c>
    </row>
    <row r="1702" spans="1:6" x14ac:dyDescent="0.25">
      <c r="A1702" t="s">
        <v>22</v>
      </c>
      <c r="B1702" t="s">
        <v>108</v>
      </c>
      <c r="C1702">
        <v>2.16</v>
      </c>
      <c r="D1702" s="1">
        <v>921881</v>
      </c>
      <c r="E1702" s="4">
        <v>1784676.3032754478</v>
      </c>
      <c r="F1702" s="4">
        <v>1453024.7604679945</v>
      </c>
    </row>
    <row r="1703" spans="1:6" x14ac:dyDescent="0.25">
      <c r="A1703" t="s">
        <v>23</v>
      </c>
      <c r="B1703" t="s">
        <v>108</v>
      </c>
      <c r="C1703">
        <v>1.19</v>
      </c>
      <c r="D1703" s="1">
        <v>495651</v>
      </c>
      <c r="E1703" s="4">
        <v>1180719.5909826341</v>
      </c>
      <c r="F1703" s="4">
        <v>1098029.4462967652</v>
      </c>
    </row>
    <row r="1704" spans="1:6" x14ac:dyDescent="0.25">
      <c r="A1704" t="s">
        <v>24</v>
      </c>
      <c r="B1704" t="s">
        <v>108</v>
      </c>
      <c r="C1704">
        <v>5.51</v>
      </c>
      <c r="D1704" s="1">
        <v>2319776</v>
      </c>
      <c r="E1704" s="4">
        <v>701171.57729479019</v>
      </c>
      <c r="F1704" s="4">
        <v>1152218.5359896084</v>
      </c>
    </row>
    <row r="1705" spans="1:6" x14ac:dyDescent="0.25">
      <c r="A1705" t="s">
        <v>25</v>
      </c>
      <c r="B1705" t="s">
        <v>108</v>
      </c>
      <c r="C1705">
        <v>2.15</v>
      </c>
      <c r="D1705" s="1">
        <v>924415</v>
      </c>
      <c r="E1705" s="4">
        <v>1834194.673188437</v>
      </c>
      <c r="F1705" s="4">
        <v>1130429.8573118059</v>
      </c>
    </row>
    <row r="1706" spans="1:6" x14ac:dyDescent="0.25">
      <c r="A1706" t="s">
        <v>26</v>
      </c>
      <c r="B1706" t="s">
        <v>108</v>
      </c>
      <c r="C1706">
        <v>1.6</v>
      </c>
      <c r="D1706" s="1">
        <v>706768</v>
      </c>
      <c r="E1706" s="4">
        <v>1197348.9019565312</v>
      </c>
      <c r="F1706" s="4">
        <v>1142642.8875343711</v>
      </c>
    </row>
    <row r="1707" spans="1:6" x14ac:dyDescent="0.25">
      <c r="A1707" t="s">
        <v>27</v>
      </c>
      <c r="B1707" t="s">
        <v>108</v>
      </c>
      <c r="C1707">
        <v>1.26</v>
      </c>
      <c r="D1707" s="1">
        <v>540002</v>
      </c>
      <c r="E1707" s="4">
        <v>853942.27058695932</v>
      </c>
      <c r="F1707" s="4">
        <v>1108790.4749939924</v>
      </c>
    </row>
    <row r="1708" spans="1:6" x14ac:dyDescent="0.25">
      <c r="A1708" t="s">
        <v>28</v>
      </c>
      <c r="B1708" t="s">
        <v>108</v>
      </c>
      <c r="C1708">
        <v>7.13</v>
      </c>
      <c r="D1708" s="1">
        <v>3057055</v>
      </c>
      <c r="E1708" s="4">
        <v>634184.08117608773</v>
      </c>
      <c r="F1708" s="4">
        <v>623679.1826485676</v>
      </c>
    </row>
    <row r="1709" spans="1:6" x14ac:dyDescent="0.25">
      <c r="A1709" t="s">
        <v>29</v>
      </c>
      <c r="B1709" t="s">
        <v>108</v>
      </c>
      <c r="C1709">
        <v>2.61</v>
      </c>
      <c r="D1709" s="1">
        <v>1127663</v>
      </c>
      <c r="E1709" s="4">
        <v>2330193.7243528264</v>
      </c>
      <c r="F1709" s="4">
        <v>1438695.1963664074</v>
      </c>
    </row>
    <row r="1710" spans="1:6" x14ac:dyDescent="0.25">
      <c r="A1710" t="s">
        <v>30</v>
      </c>
      <c r="B1710" t="s">
        <v>108</v>
      </c>
      <c r="C1710">
        <v>2.46</v>
      </c>
      <c r="D1710" s="1">
        <v>1082674</v>
      </c>
      <c r="E1710" s="4">
        <v>1488422.2173058479</v>
      </c>
      <c r="F1710" s="4">
        <v>1572147.3770813574</v>
      </c>
    </row>
    <row r="1711" spans="1:6" x14ac:dyDescent="0.25">
      <c r="A1711" t="s">
        <v>31</v>
      </c>
      <c r="B1711" t="s">
        <v>108</v>
      </c>
      <c r="C1711">
        <v>1.46</v>
      </c>
      <c r="D1711" s="1">
        <v>620561</v>
      </c>
      <c r="E1711" s="4">
        <v>1204398.4651917543</v>
      </c>
      <c r="F1711" s="4">
        <v>1579136.3935330852</v>
      </c>
    </row>
    <row r="1712" spans="1:6" x14ac:dyDescent="0.25">
      <c r="A1712" t="s">
        <v>32</v>
      </c>
      <c r="B1712" t="s">
        <v>108</v>
      </c>
      <c r="C1712">
        <v>5.53</v>
      </c>
      <c r="D1712" s="1">
        <v>2322128</v>
      </c>
      <c r="E1712" s="4">
        <v>795712.23955752631</v>
      </c>
      <c r="F1712" s="4">
        <v>806551.9087698654</v>
      </c>
    </row>
    <row r="1713" spans="1:6" x14ac:dyDescent="0.25">
      <c r="A1713" t="s">
        <v>33</v>
      </c>
      <c r="B1713" t="s">
        <v>108</v>
      </c>
      <c r="C1713">
        <v>3.15</v>
      </c>
      <c r="D1713" s="1">
        <v>1365538</v>
      </c>
      <c r="E1713" s="4">
        <v>1864203.2718672578</v>
      </c>
      <c r="F1713" s="4">
        <v>972187.03196034289</v>
      </c>
    </row>
    <row r="1714" spans="1:6" x14ac:dyDescent="0.25">
      <c r="A1714" t="s">
        <v>34</v>
      </c>
      <c r="B1714" t="s">
        <v>108</v>
      </c>
      <c r="C1714">
        <v>2.81</v>
      </c>
      <c r="D1714" s="1">
        <v>1237280</v>
      </c>
      <c r="E1714" s="4">
        <v>1515137.5815601773</v>
      </c>
      <c r="F1714" s="4">
        <v>986488.437650632</v>
      </c>
    </row>
    <row r="1715" spans="1:6" x14ac:dyDescent="0.25">
      <c r="A1715" t="s">
        <v>35</v>
      </c>
      <c r="B1715" t="s">
        <v>108</v>
      </c>
      <c r="C1715">
        <v>2.1800000000000002</v>
      </c>
      <c r="D1715" s="1">
        <v>945367</v>
      </c>
      <c r="E1715" s="4">
        <v>1320637.2744680531</v>
      </c>
      <c r="F1715" s="4">
        <v>940889.11190853454</v>
      </c>
    </row>
    <row r="1716" spans="1:6" x14ac:dyDescent="0.25">
      <c r="A1716" t="s">
        <v>36</v>
      </c>
      <c r="B1716" t="s">
        <v>108</v>
      </c>
      <c r="C1716">
        <v>5.73</v>
      </c>
      <c r="D1716" s="1">
        <v>2474930</v>
      </c>
      <c r="E1716" s="4">
        <v>1057948.0823404158</v>
      </c>
      <c r="F1716" s="4">
        <v>394419.26419156417</v>
      </c>
    </row>
    <row r="1717" spans="1:6" x14ac:dyDescent="0.25">
      <c r="A1717" t="s">
        <v>37</v>
      </c>
      <c r="B1717" t="s">
        <v>108</v>
      </c>
      <c r="C1717">
        <v>4.74</v>
      </c>
      <c r="D1717" s="1">
        <v>2061275</v>
      </c>
      <c r="E1717" s="4">
        <v>2049835.4247021247</v>
      </c>
      <c r="F1717" s="4">
        <v>861369.13680179941</v>
      </c>
    </row>
    <row r="1718" spans="1:6" x14ac:dyDescent="0.25">
      <c r="A1718" t="s">
        <v>38</v>
      </c>
      <c r="B1718" t="s">
        <v>108</v>
      </c>
      <c r="C1718">
        <v>3.05</v>
      </c>
      <c r="D1718" s="1">
        <v>1343433</v>
      </c>
      <c r="E1718" s="4">
        <v>2057843.1274106372</v>
      </c>
      <c r="F1718" s="4">
        <v>846324.68114716595</v>
      </c>
    </row>
    <row r="1719" spans="1:6" x14ac:dyDescent="0.25">
      <c r="A1719" t="s">
        <v>39</v>
      </c>
      <c r="B1719" t="s">
        <v>108</v>
      </c>
      <c r="C1719">
        <v>2.94</v>
      </c>
      <c r="D1719" s="1">
        <v>1270324</v>
      </c>
      <c r="E1719" s="4">
        <v>1557756.0382231912</v>
      </c>
      <c r="F1719" s="4">
        <v>916215.12193809438</v>
      </c>
    </row>
    <row r="1720" spans="1:6" x14ac:dyDescent="0.25">
      <c r="A1720" t="s">
        <v>40</v>
      </c>
      <c r="B1720" t="s">
        <v>108</v>
      </c>
      <c r="C1720">
        <v>8.76</v>
      </c>
      <c r="D1720" s="1">
        <v>3741084</v>
      </c>
      <c r="E1720" s="4">
        <v>1356553.6114669573</v>
      </c>
      <c r="F1720" s="4">
        <v>444645.87805991439</v>
      </c>
    </row>
    <row r="1721" spans="1:6" x14ac:dyDescent="0.25">
      <c r="A1721" t="s">
        <v>41</v>
      </c>
      <c r="B1721" t="s">
        <v>108</v>
      </c>
      <c r="C1721">
        <v>7.3</v>
      </c>
      <c r="D1721" s="1">
        <v>3151750</v>
      </c>
      <c r="E1721" s="4">
        <v>3025724.8834400871</v>
      </c>
      <c r="F1721" s="4">
        <v>1446718.6066614757</v>
      </c>
    </row>
    <row r="1722" spans="1:6" x14ac:dyDescent="0.25">
      <c r="A1722" t="s">
        <v>42</v>
      </c>
      <c r="B1722" t="s">
        <v>108</v>
      </c>
      <c r="C1722">
        <v>5.05</v>
      </c>
      <c r="D1722" s="1">
        <v>2167152</v>
      </c>
      <c r="E1722" s="4">
        <v>3113942.4650320262</v>
      </c>
      <c r="F1722" s="4">
        <v>1388582.572318336</v>
      </c>
    </row>
    <row r="1723" spans="1:6" x14ac:dyDescent="0.25">
      <c r="A1723" t="s">
        <v>43</v>
      </c>
      <c r="B1723" t="s">
        <v>108</v>
      </c>
      <c r="C1723">
        <v>5.37</v>
      </c>
      <c r="D1723" s="1">
        <v>2295348</v>
      </c>
      <c r="E1723" s="4">
        <v>2451189.1395096076</v>
      </c>
      <c r="F1723" s="4">
        <v>1483046.3791935216</v>
      </c>
    </row>
    <row r="1724" spans="1:6" x14ac:dyDescent="0.25">
      <c r="A1724" t="s">
        <v>44</v>
      </c>
      <c r="B1724" t="s">
        <v>108</v>
      </c>
      <c r="C1724">
        <v>10.75</v>
      </c>
      <c r="D1724" s="1">
        <v>4614358</v>
      </c>
      <c r="E1724" s="4">
        <v>2342100.3418528819</v>
      </c>
      <c r="F1724" s="4">
        <v>558742.92700762756</v>
      </c>
    </row>
    <row r="1725" spans="1:6" x14ac:dyDescent="0.25">
      <c r="A1725" t="s">
        <v>45</v>
      </c>
      <c r="B1725" t="s">
        <v>108</v>
      </c>
      <c r="C1725">
        <v>8.14</v>
      </c>
      <c r="D1725" s="1">
        <v>3496681</v>
      </c>
      <c r="E1725" s="4">
        <v>3932680.7025558641</v>
      </c>
      <c r="F1725" s="4">
        <v>1424061.5050443385</v>
      </c>
    </row>
    <row r="1726" spans="1:6" x14ac:dyDescent="0.25">
      <c r="A1726" t="s">
        <v>46</v>
      </c>
      <c r="B1726" t="s">
        <v>108</v>
      </c>
      <c r="C1726">
        <v>8.7200000000000006</v>
      </c>
      <c r="D1726" s="1">
        <v>3658848</v>
      </c>
      <c r="E1726" s="4">
        <v>3627480.910766759</v>
      </c>
      <c r="F1726" s="4">
        <v>1338847.398125303</v>
      </c>
    </row>
    <row r="1727" spans="1:6" x14ac:dyDescent="0.25">
      <c r="A1727" t="s">
        <v>47</v>
      </c>
      <c r="B1727" t="s">
        <v>108</v>
      </c>
      <c r="C1727">
        <v>7.75</v>
      </c>
      <c r="D1727" s="1">
        <v>3359059</v>
      </c>
      <c r="E1727" s="4">
        <v>3649437.873230027</v>
      </c>
      <c r="F1727" s="4">
        <v>1335943.424441319</v>
      </c>
    </row>
    <row r="1728" spans="1:6" x14ac:dyDescent="0.25">
      <c r="A1728" t="s">
        <v>48</v>
      </c>
      <c r="B1728" t="s">
        <v>108</v>
      </c>
      <c r="C1728">
        <v>10.87</v>
      </c>
      <c r="D1728" s="1">
        <v>4816149</v>
      </c>
      <c r="E1728" s="4">
        <v>3446172.6619690079</v>
      </c>
      <c r="F1728" s="4">
        <v>302984.88682556874</v>
      </c>
    </row>
    <row r="1729" spans="1:6" x14ac:dyDescent="0.25">
      <c r="A1729" t="s">
        <v>49</v>
      </c>
      <c r="B1729" t="s">
        <v>108</v>
      </c>
      <c r="C1729">
        <v>10.26</v>
      </c>
      <c r="D1729" s="1">
        <v>4441330</v>
      </c>
      <c r="E1729" s="4">
        <v>4405156.0985907018</v>
      </c>
      <c r="F1729" s="4">
        <v>808731.30088019418</v>
      </c>
    </row>
    <row r="1730" spans="1:6" x14ac:dyDescent="0.25">
      <c r="A1730" t="s">
        <v>50</v>
      </c>
      <c r="B1730" t="s">
        <v>108</v>
      </c>
      <c r="C1730">
        <v>11.13</v>
      </c>
      <c r="D1730" s="1">
        <v>4705380</v>
      </c>
      <c r="E1730" s="4">
        <v>4430477.8295772104</v>
      </c>
      <c r="F1730" s="4">
        <v>808798.20473059837</v>
      </c>
    </row>
    <row r="1731" spans="1:6" x14ac:dyDescent="0.25">
      <c r="A1731" t="s">
        <v>51</v>
      </c>
      <c r="B1731" t="s">
        <v>108</v>
      </c>
      <c r="C1731">
        <v>9.19</v>
      </c>
      <c r="D1731" s="1">
        <v>3923855</v>
      </c>
      <c r="E1731" s="4">
        <v>4622909.3488731626</v>
      </c>
      <c r="F1731" s="4">
        <v>806993.37486151583</v>
      </c>
    </row>
    <row r="1732" spans="1:6" x14ac:dyDescent="0.25">
      <c r="A1732" t="s">
        <v>52</v>
      </c>
      <c r="B1732" t="s">
        <v>108</v>
      </c>
      <c r="C1732">
        <v>11.47</v>
      </c>
      <c r="D1732" s="1">
        <v>4966366</v>
      </c>
      <c r="E1732" s="4">
        <v>4133571.3046619487</v>
      </c>
      <c r="F1732" s="4">
        <v>434187.64650199015</v>
      </c>
    </row>
    <row r="1733" spans="1:6" x14ac:dyDescent="0.25">
      <c r="A1733" t="s">
        <v>53</v>
      </c>
      <c r="B1733" t="s">
        <v>108</v>
      </c>
      <c r="C1733">
        <v>6.37</v>
      </c>
      <c r="D1733" s="1">
        <v>2822553</v>
      </c>
      <c r="E1733" s="4">
        <v>4716527.5913985837</v>
      </c>
      <c r="F1733" s="4">
        <v>647506.80577242828</v>
      </c>
    </row>
    <row r="1734" spans="1:6" x14ac:dyDescent="0.25">
      <c r="A1734" t="s">
        <v>54</v>
      </c>
      <c r="B1734" t="s">
        <v>108</v>
      </c>
      <c r="C1734">
        <v>10.18</v>
      </c>
      <c r="D1734" s="1">
        <v>4360428</v>
      </c>
      <c r="E1734" s="4">
        <v>3390745.3774195751</v>
      </c>
      <c r="F1734" s="4">
        <v>1260867.920670138</v>
      </c>
    </row>
    <row r="1735" spans="1:6" x14ac:dyDescent="0.25">
      <c r="A1735" t="s">
        <v>55</v>
      </c>
      <c r="B1735" t="s">
        <v>108</v>
      </c>
      <c r="C1735">
        <v>6.94</v>
      </c>
      <c r="D1735" s="1">
        <v>3002351</v>
      </c>
      <c r="E1735" s="4">
        <v>4069523.2132258723</v>
      </c>
      <c r="F1735" s="4">
        <v>1319213.2940988075</v>
      </c>
    </row>
    <row r="1736" spans="1:6" x14ac:dyDescent="0.25">
      <c r="A1736" t="s">
        <v>56</v>
      </c>
      <c r="B1736" t="s">
        <v>108</v>
      </c>
      <c r="C1736">
        <v>8.43</v>
      </c>
      <c r="D1736" s="1">
        <v>3763157</v>
      </c>
      <c r="E1736" s="4">
        <v>3322502.6639677612</v>
      </c>
      <c r="F1736" s="4">
        <v>1374321.7325987013</v>
      </c>
    </row>
    <row r="1737" spans="1:6" x14ac:dyDescent="0.25">
      <c r="A1737" t="s">
        <v>57</v>
      </c>
      <c r="B1737" t="s">
        <v>108</v>
      </c>
      <c r="C1737">
        <v>6.06</v>
      </c>
      <c r="D1737" s="1">
        <v>2774117</v>
      </c>
      <c r="E1737" s="4">
        <v>3630960.6991903284</v>
      </c>
      <c r="F1737" s="4">
        <v>870501.22823575442</v>
      </c>
    </row>
    <row r="1738" spans="1:6" x14ac:dyDescent="0.25">
      <c r="A1738" t="s">
        <v>58</v>
      </c>
      <c r="B1738" t="s">
        <v>108</v>
      </c>
      <c r="C1738">
        <v>8.1199999999999992</v>
      </c>
      <c r="D1738" s="1">
        <v>3593703</v>
      </c>
      <c r="E1738" s="4">
        <v>3031170.1097570984</v>
      </c>
      <c r="F1738" s="4">
        <v>830103.18663557025</v>
      </c>
    </row>
    <row r="1739" spans="1:6" x14ac:dyDescent="0.25">
      <c r="A1739" t="s">
        <v>59</v>
      </c>
      <c r="B1739" t="s">
        <v>108</v>
      </c>
      <c r="C1739">
        <v>9.3699999999999992</v>
      </c>
      <c r="D1739" s="1">
        <v>4037224</v>
      </c>
      <c r="E1739" s="4">
        <v>3424943.132927129</v>
      </c>
      <c r="F1739" s="4">
        <v>644153.35164622916</v>
      </c>
    </row>
    <row r="1740" spans="1:6" x14ac:dyDescent="0.25">
      <c r="A1740" t="s">
        <v>60</v>
      </c>
      <c r="B1740" t="s">
        <v>108</v>
      </c>
      <c r="C1740">
        <v>19.920000000000002</v>
      </c>
      <c r="D1740" s="1">
        <v>7962159</v>
      </c>
      <c r="E1740" s="4">
        <v>3853539.7398781385</v>
      </c>
      <c r="F1740" s="4">
        <v>689326.29855308845</v>
      </c>
    </row>
    <row r="1741" spans="1:6" x14ac:dyDescent="0.25">
      <c r="A1741" t="s">
        <v>61</v>
      </c>
      <c r="B1741" t="s">
        <v>108</v>
      </c>
      <c r="C1741">
        <v>16.86</v>
      </c>
      <c r="D1741" s="1">
        <v>6499125</v>
      </c>
      <c r="E1741" s="4">
        <v>6729573.221963441</v>
      </c>
      <c r="F1741" s="4">
        <v>2420198.5688115796</v>
      </c>
    </row>
    <row r="1742" spans="1:6" x14ac:dyDescent="0.25">
      <c r="A1742" t="s">
        <v>62</v>
      </c>
      <c r="B1742" t="s">
        <v>108</v>
      </c>
      <c r="C1742">
        <v>8.51</v>
      </c>
      <c r="D1742" s="1">
        <v>3566448</v>
      </c>
      <c r="E1742" s="4">
        <v>6568259.4665890317</v>
      </c>
      <c r="F1742" s="4">
        <v>2401995.4529400431</v>
      </c>
    </row>
    <row r="1743" spans="1:6" x14ac:dyDescent="0.25">
      <c r="A1743" t="s">
        <v>63</v>
      </c>
      <c r="B1743" t="s">
        <v>108</v>
      </c>
      <c r="C1743">
        <v>4.3899999999999997</v>
      </c>
      <c r="D1743" s="1">
        <v>1901604</v>
      </c>
      <c r="E1743" s="4">
        <v>4466991.439976709</v>
      </c>
      <c r="F1743" s="4">
        <v>2940789.6155395531</v>
      </c>
    </row>
    <row r="1744" spans="1:6" x14ac:dyDescent="0.25">
      <c r="A1744" t="s">
        <v>64</v>
      </c>
      <c r="B1744" t="s">
        <v>108</v>
      </c>
      <c r="C1744">
        <v>5.69</v>
      </c>
      <c r="D1744" s="1">
        <v>2445871</v>
      </c>
      <c r="E1744" s="4">
        <v>2671220.2319930121</v>
      </c>
      <c r="F1744" s="4">
        <v>2283651.4022606979</v>
      </c>
    </row>
    <row r="1745" spans="1:6" x14ac:dyDescent="0.25">
      <c r="A1745" t="s">
        <v>65</v>
      </c>
      <c r="B1745" t="s">
        <v>108</v>
      </c>
      <c r="C1745">
        <v>3.26</v>
      </c>
      <c r="D1745" s="1">
        <v>1401574</v>
      </c>
      <c r="E1745" s="4">
        <v>2513475.7695979038</v>
      </c>
      <c r="F1745" s="4">
        <v>2283481.7767680627</v>
      </c>
    </row>
    <row r="1746" spans="1:6" x14ac:dyDescent="0.25">
      <c r="A1746" t="s">
        <v>66</v>
      </c>
      <c r="B1746" t="s">
        <v>108</v>
      </c>
      <c r="C1746">
        <v>3.22</v>
      </c>
      <c r="D1746" s="1">
        <v>1387024</v>
      </c>
      <c r="E1746" s="4">
        <v>1735144.5308793711</v>
      </c>
      <c r="F1746" s="4">
        <v>1619497.9200135912</v>
      </c>
    </row>
    <row r="1747" spans="1:6" x14ac:dyDescent="0.25">
      <c r="A1747" t="s">
        <v>67</v>
      </c>
      <c r="B1747" t="s">
        <v>108</v>
      </c>
      <c r="C1747">
        <v>4.71</v>
      </c>
      <c r="D1747" s="1">
        <v>2048022</v>
      </c>
      <c r="E1747" s="4">
        <v>1491460.1592638113</v>
      </c>
      <c r="F1747" s="4">
        <v>685151.01148445741</v>
      </c>
    </row>
    <row r="1748" spans="1:6" x14ac:dyDescent="0.25">
      <c r="A1748" t="s">
        <v>68</v>
      </c>
      <c r="B1748" t="s">
        <v>108</v>
      </c>
      <c r="C1748">
        <v>15.29</v>
      </c>
      <c r="D1748" s="1">
        <v>6570930</v>
      </c>
      <c r="E1748" s="4">
        <v>1881053.4477791432</v>
      </c>
      <c r="F1748" s="4">
        <v>745491.90288881061</v>
      </c>
    </row>
    <row r="1749" spans="1:6" x14ac:dyDescent="0.25">
      <c r="A1749" t="s">
        <v>69</v>
      </c>
      <c r="B1749" t="s">
        <v>108</v>
      </c>
      <c r="C1749">
        <v>4.22</v>
      </c>
      <c r="D1749" s="1">
        <v>1776019</v>
      </c>
      <c r="E1749" s="4">
        <v>5163967.0343337432</v>
      </c>
      <c r="F1749" s="4">
        <v>2734098.9412512966</v>
      </c>
    </row>
    <row r="1750" spans="1:6" x14ac:dyDescent="0.25">
      <c r="A1750" t="s">
        <v>70</v>
      </c>
      <c r="B1750" t="s">
        <v>108</v>
      </c>
      <c r="C1750">
        <v>3.65</v>
      </c>
      <c r="D1750" s="1">
        <v>1588629</v>
      </c>
      <c r="E1750" s="4">
        <v>2792403.4103001226</v>
      </c>
      <c r="F1750" s="4">
        <v>3355736.1358813918</v>
      </c>
    </row>
    <row r="1751" spans="1:6" x14ac:dyDescent="0.25">
      <c r="A1751" t="s">
        <v>71</v>
      </c>
      <c r="B1751" t="s">
        <v>108</v>
      </c>
      <c r="C1751">
        <v>3.68</v>
      </c>
      <c r="D1751" s="1">
        <v>1575680</v>
      </c>
      <c r="E1751" s="4">
        <v>1949761.3230900364</v>
      </c>
      <c r="F1751" s="4">
        <v>3411852.2237102762</v>
      </c>
    </row>
    <row r="1752" spans="1:6" x14ac:dyDescent="0.25">
      <c r="A1752" t="s">
        <v>72</v>
      </c>
      <c r="B1752" t="s">
        <v>108</v>
      </c>
      <c r="C1752">
        <v>5.03</v>
      </c>
      <c r="D1752" s="1">
        <v>2209144</v>
      </c>
      <c r="E1752" s="4">
        <v>1687904.3969270107</v>
      </c>
      <c r="F1752" s="4">
        <v>2087039.4941578589</v>
      </c>
    </row>
    <row r="1753" spans="1:6" x14ac:dyDescent="0.25">
      <c r="A1753" t="s">
        <v>73</v>
      </c>
      <c r="B1753" t="s">
        <v>108</v>
      </c>
      <c r="C1753">
        <v>6.04</v>
      </c>
      <c r="D1753" s="1">
        <v>2583459</v>
      </c>
      <c r="E1753" s="4">
        <v>2052772.119078103</v>
      </c>
      <c r="F1753" s="4">
        <v>787549.02302224713</v>
      </c>
    </row>
    <row r="1754" spans="1:6" x14ac:dyDescent="0.25">
      <c r="A1754" t="s">
        <v>74</v>
      </c>
      <c r="B1754" t="s">
        <v>108</v>
      </c>
      <c r="C1754">
        <v>3.77</v>
      </c>
      <c r="D1754" s="1">
        <v>1618284</v>
      </c>
      <c r="E1754" s="4">
        <v>2424252.9357234305</v>
      </c>
      <c r="F1754" s="4">
        <v>480713.40237855213</v>
      </c>
    </row>
    <row r="1755" spans="1:6" x14ac:dyDescent="0.25">
      <c r="A1755" t="s">
        <v>75</v>
      </c>
      <c r="B1755" t="s">
        <v>108</v>
      </c>
      <c r="C1755">
        <v>4.9000000000000004</v>
      </c>
      <c r="D1755" s="1">
        <v>2062515</v>
      </c>
      <c r="E1755" s="4">
        <v>1860074.6807170289</v>
      </c>
      <c r="F1755" s="4">
        <v>633220.6605245542</v>
      </c>
    </row>
    <row r="1756" spans="1:6" x14ac:dyDescent="0.25">
      <c r="A1756" t="s">
        <v>76</v>
      </c>
      <c r="B1756" t="s">
        <v>108</v>
      </c>
      <c r="C1756">
        <v>5.99</v>
      </c>
      <c r="D1756" s="1">
        <v>2619364</v>
      </c>
      <c r="E1756" s="4">
        <v>2001782.9042151086</v>
      </c>
      <c r="F1756" s="4">
        <v>569267.53341616166</v>
      </c>
    </row>
    <row r="1757" spans="1:6" x14ac:dyDescent="0.25">
      <c r="A1757" t="s">
        <v>77</v>
      </c>
      <c r="B1757" t="s">
        <v>108</v>
      </c>
      <c r="C1757">
        <v>4.0999999999999996</v>
      </c>
      <c r="D1757" s="1">
        <v>1716858</v>
      </c>
      <c r="E1757" s="4">
        <v>2434089.6712645325</v>
      </c>
      <c r="F1757" s="4">
        <v>597766.51464525785</v>
      </c>
    </row>
    <row r="1758" spans="1:6" x14ac:dyDescent="0.25">
      <c r="A1758" t="s">
        <v>78</v>
      </c>
      <c r="B1758" t="s">
        <v>108</v>
      </c>
      <c r="C1758">
        <v>4.17</v>
      </c>
      <c r="D1758" s="1">
        <v>1750577</v>
      </c>
      <c r="E1758" s="4">
        <v>1932027.5013793595</v>
      </c>
      <c r="F1758" s="4">
        <v>558811.16757129226</v>
      </c>
    </row>
    <row r="1759" spans="1:6" x14ac:dyDescent="0.25">
      <c r="A1759" t="s">
        <v>79</v>
      </c>
      <c r="B1759" t="s">
        <v>108</v>
      </c>
      <c r="C1759">
        <v>5.04</v>
      </c>
      <c r="D1759" s="1">
        <v>2180634</v>
      </c>
      <c r="E1759" s="4">
        <v>1805012.1504138077</v>
      </c>
      <c r="F1759" s="4">
        <v>556402.72123304184</v>
      </c>
    </row>
    <row r="1760" spans="1:6" x14ac:dyDescent="0.25">
      <c r="A1760" t="s">
        <v>80</v>
      </c>
      <c r="B1760" t="s">
        <v>108</v>
      </c>
      <c r="C1760">
        <v>3.99</v>
      </c>
      <c r="D1760" s="1">
        <v>1764977</v>
      </c>
      <c r="E1760" s="4">
        <v>2067947.4451241421</v>
      </c>
      <c r="F1760" s="4">
        <v>479039.77865527599</v>
      </c>
    </row>
    <row r="1761" spans="1:6" x14ac:dyDescent="0.25">
      <c r="A1761" t="s">
        <v>81</v>
      </c>
      <c r="B1761" t="s">
        <v>108</v>
      </c>
      <c r="C1761">
        <v>1.54</v>
      </c>
      <c r="D1761" s="1">
        <v>652709</v>
      </c>
      <c r="E1761" s="4">
        <v>1855868.1335372427</v>
      </c>
      <c r="F1761" s="4">
        <v>297661.52419378055</v>
      </c>
    </row>
    <row r="1762" spans="1:6" x14ac:dyDescent="0.25">
      <c r="A1762" t="s">
        <v>82</v>
      </c>
      <c r="B1762" t="s">
        <v>108</v>
      </c>
      <c r="C1762">
        <v>2.23</v>
      </c>
      <c r="D1762" s="1">
        <v>937701</v>
      </c>
      <c r="E1762" s="4">
        <v>1013656.7400611727</v>
      </c>
      <c r="F1762" s="4">
        <v>748437.20848163823</v>
      </c>
    </row>
    <row r="1763" spans="1:6" x14ac:dyDescent="0.25">
      <c r="A1763" t="s">
        <v>83</v>
      </c>
      <c r="B1763" t="s">
        <v>108</v>
      </c>
      <c r="C1763">
        <v>4.1900000000000004</v>
      </c>
      <c r="D1763" s="1">
        <v>1781279</v>
      </c>
      <c r="E1763" s="4">
        <v>960487.72201835178</v>
      </c>
      <c r="F1763" s="4">
        <v>717670.36669143348</v>
      </c>
    </row>
    <row r="1764" spans="1:6" x14ac:dyDescent="0.25">
      <c r="A1764" t="s">
        <v>84</v>
      </c>
      <c r="B1764" t="s">
        <v>108</v>
      </c>
      <c r="C1764">
        <v>1.67</v>
      </c>
      <c r="D1764" s="1">
        <v>721212</v>
      </c>
      <c r="E1764" s="4">
        <v>1535041.6166055053</v>
      </c>
      <c r="F1764" s="4">
        <v>842033.1539539831</v>
      </c>
    </row>
    <row r="1765" spans="1:6" x14ac:dyDescent="0.25">
      <c r="A1765" t="s">
        <v>7</v>
      </c>
      <c r="B1765" t="s">
        <v>109</v>
      </c>
      <c r="C1765">
        <v>0</v>
      </c>
      <c r="D1765">
        <v>0</v>
      </c>
      <c r="E1765" s="4">
        <v>965360.88498165156</v>
      </c>
      <c r="F1765" s="4">
        <v>668776.55494274304</v>
      </c>
    </row>
    <row r="1766" spans="1:6" x14ac:dyDescent="0.25">
      <c r="A1766" t="s">
        <v>10</v>
      </c>
      <c r="B1766" t="s">
        <v>109</v>
      </c>
      <c r="C1766">
        <v>4.76</v>
      </c>
      <c r="D1766" s="1">
        <v>117127</v>
      </c>
      <c r="E1766" s="4">
        <v>289608.26549449546</v>
      </c>
      <c r="F1766" s="4">
        <v>869470.8362231151</v>
      </c>
    </row>
    <row r="1767" spans="1:6" x14ac:dyDescent="0.25">
      <c r="A1767" t="s">
        <v>11</v>
      </c>
      <c r="B1767" t="s">
        <v>109</v>
      </c>
      <c r="C1767">
        <v>1.3</v>
      </c>
      <c r="D1767" s="1">
        <v>24439</v>
      </c>
      <c r="E1767" s="4">
        <v>168871.37964834861</v>
      </c>
      <c r="F1767" s="4">
        <v>735751.33255364746</v>
      </c>
    </row>
    <row r="1768" spans="1:6" x14ac:dyDescent="0.25">
      <c r="A1768" t="s">
        <v>12</v>
      </c>
      <c r="B1768" t="s">
        <v>109</v>
      </c>
      <c r="C1768">
        <v>0</v>
      </c>
      <c r="D1768">
        <v>0</v>
      </c>
      <c r="E1768" s="4">
        <v>67768.713894504574</v>
      </c>
      <c r="F1768" s="4">
        <v>572285.51658824552</v>
      </c>
    </row>
    <row r="1769" spans="1:6" x14ac:dyDescent="0.25">
      <c r="A1769" t="s">
        <v>13</v>
      </c>
      <c r="B1769" t="s">
        <v>109</v>
      </c>
      <c r="C1769">
        <v>0</v>
      </c>
      <c r="D1769">
        <v>0</v>
      </c>
      <c r="E1769" s="4">
        <v>20330.614168351371</v>
      </c>
      <c r="F1769" s="4">
        <v>135650.4058482472</v>
      </c>
    </row>
    <row r="1770" spans="1:6" x14ac:dyDescent="0.25">
      <c r="A1770" t="s">
        <v>14</v>
      </c>
      <c r="B1770" t="s">
        <v>109</v>
      </c>
      <c r="C1770">
        <v>2.3199999999999998</v>
      </c>
      <c r="D1770" s="1">
        <v>54692</v>
      </c>
      <c r="E1770" s="4">
        <v>6099.184250505411</v>
      </c>
      <c r="F1770" s="4">
        <v>92855.882503052882</v>
      </c>
    </row>
    <row r="1771" spans="1:6" x14ac:dyDescent="0.25">
      <c r="A1771" t="s">
        <v>15</v>
      </c>
      <c r="B1771" t="s">
        <v>109</v>
      </c>
      <c r="C1771">
        <v>0</v>
      </c>
      <c r="D1771">
        <v>0</v>
      </c>
      <c r="E1771" s="4">
        <v>40114.155275151614</v>
      </c>
      <c r="F1771" s="4">
        <v>49555.336738646416</v>
      </c>
    </row>
    <row r="1772" spans="1:6" x14ac:dyDescent="0.25">
      <c r="A1772" t="s">
        <v>16</v>
      </c>
      <c r="B1772" t="s">
        <v>109</v>
      </c>
      <c r="C1772">
        <v>0</v>
      </c>
      <c r="D1772">
        <v>0</v>
      </c>
      <c r="E1772" s="4">
        <v>12034.246582545484</v>
      </c>
      <c r="F1772" s="4">
        <v>38226.260905149458</v>
      </c>
    </row>
    <row r="1773" spans="1:6" x14ac:dyDescent="0.25">
      <c r="A1773" t="s">
        <v>17</v>
      </c>
      <c r="B1773" t="s">
        <v>109</v>
      </c>
      <c r="C1773">
        <v>0</v>
      </c>
      <c r="D1773">
        <v>0</v>
      </c>
      <c r="E1773" s="4">
        <v>3610.2739747636451</v>
      </c>
      <c r="F1773" s="4">
        <v>37037.054808721907</v>
      </c>
    </row>
    <row r="1774" spans="1:6" x14ac:dyDescent="0.25">
      <c r="A1774" t="s">
        <v>18</v>
      </c>
      <c r="B1774" t="s">
        <v>109</v>
      </c>
      <c r="C1774">
        <v>4.82</v>
      </c>
      <c r="D1774" s="1">
        <v>106364</v>
      </c>
      <c r="E1774" s="4">
        <v>1083.0821924290935</v>
      </c>
      <c r="F1774" s="4">
        <v>24269.340208181307</v>
      </c>
    </row>
    <row r="1775" spans="1:6" x14ac:dyDescent="0.25">
      <c r="A1775" t="s">
        <v>19</v>
      </c>
      <c r="B1775" t="s">
        <v>109</v>
      </c>
      <c r="C1775">
        <v>0</v>
      </c>
      <c r="D1775">
        <v>0</v>
      </c>
      <c r="E1775" s="4">
        <v>74779.724657728715</v>
      </c>
      <c r="F1775" s="4">
        <v>61215.27266782058</v>
      </c>
    </row>
    <row r="1776" spans="1:6" x14ac:dyDescent="0.25">
      <c r="A1776" t="s">
        <v>20</v>
      </c>
      <c r="B1776" t="s">
        <v>109</v>
      </c>
      <c r="C1776">
        <v>0</v>
      </c>
      <c r="D1776">
        <v>0</v>
      </c>
      <c r="E1776" s="4">
        <v>22433.917397318615</v>
      </c>
      <c r="F1776" s="4">
        <v>74585.773783081619</v>
      </c>
    </row>
    <row r="1777" spans="1:6" x14ac:dyDescent="0.25">
      <c r="A1777" t="s">
        <v>21</v>
      </c>
      <c r="B1777" t="s">
        <v>109</v>
      </c>
      <c r="C1777">
        <v>0</v>
      </c>
      <c r="D1777">
        <v>0</v>
      </c>
      <c r="E1777" s="4">
        <v>6730.1752191955848</v>
      </c>
      <c r="F1777" s="4">
        <v>75673.331991483719</v>
      </c>
    </row>
    <row r="1778" spans="1:6" x14ac:dyDescent="0.25">
      <c r="A1778" t="s">
        <v>22</v>
      </c>
      <c r="B1778" t="s">
        <v>109</v>
      </c>
      <c r="C1778">
        <v>3.43</v>
      </c>
      <c r="D1778" s="1">
        <v>76402</v>
      </c>
      <c r="E1778" s="4">
        <v>2019.0525657586754</v>
      </c>
      <c r="F1778" s="4">
        <v>45242.248426872386</v>
      </c>
    </row>
    <row r="1779" spans="1:6" x14ac:dyDescent="0.25">
      <c r="A1779" t="s">
        <v>23</v>
      </c>
      <c r="B1779" t="s">
        <v>109</v>
      </c>
      <c r="C1779">
        <v>0</v>
      </c>
      <c r="D1779">
        <v>0</v>
      </c>
      <c r="E1779" s="4">
        <v>54087.115769727599</v>
      </c>
      <c r="F1779" s="4">
        <v>45023.692937814783</v>
      </c>
    </row>
    <row r="1780" spans="1:6" x14ac:dyDescent="0.25">
      <c r="A1780" t="s">
        <v>24</v>
      </c>
      <c r="B1780" t="s">
        <v>109</v>
      </c>
      <c r="C1780">
        <v>0</v>
      </c>
      <c r="D1780">
        <v>0</v>
      </c>
      <c r="E1780" s="4">
        <v>16226.134730918278</v>
      </c>
      <c r="F1780" s="4">
        <v>53240.129663547646</v>
      </c>
    </row>
    <row r="1781" spans="1:6" x14ac:dyDescent="0.25">
      <c r="A1781" t="s">
        <v>25</v>
      </c>
      <c r="B1781" t="s">
        <v>109</v>
      </c>
      <c r="C1781">
        <v>0</v>
      </c>
      <c r="D1781">
        <v>0</v>
      </c>
      <c r="E1781" s="4">
        <v>4867.8404192754833</v>
      </c>
      <c r="F1781" s="4">
        <v>53918.229476368309</v>
      </c>
    </row>
    <row r="1782" spans="1:6" x14ac:dyDescent="0.25">
      <c r="A1782" t="s">
        <v>26</v>
      </c>
      <c r="B1782" t="s">
        <v>109</v>
      </c>
      <c r="C1782">
        <v>2.17</v>
      </c>
      <c r="D1782" s="1">
        <v>44404</v>
      </c>
      <c r="E1782" s="4">
        <v>1460.3521257826449</v>
      </c>
      <c r="F1782" s="4">
        <v>32723.077539362344</v>
      </c>
    </row>
    <row r="1783" spans="1:6" x14ac:dyDescent="0.25">
      <c r="A1783" t="s">
        <v>27</v>
      </c>
      <c r="B1783" t="s">
        <v>109</v>
      </c>
      <c r="C1783">
        <v>0</v>
      </c>
      <c r="D1783">
        <v>0</v>
      </c>
      <c r="E1783" s="4">
        <v>31520.905637734792</v>
      </c>
      <c r="F1783" s="4">
        <v>26652.956129969381</v>
      </c>
    </row>
    <row r="1784" spans="1:6" x14ac:dyDescent="0.25">
      <c r="A1784" t="s">
        <v>28</v>
      </c>
      <c r="B1784" t="s">
        <v>109</v>
      </c>
      <c r="C1784">
        <v>0</v>
      </c>
      <c r="D1784">
        <v>0</v>
      </c>
      <c r="E1784" s="4">
        <v>9456.2716913204367</v>
      </c>
      <c r="F1784" s="4">
        <v>30883.761943321639</v>
      </c>
    </row>
    <row r="1785" spans="1:6" x14ac:dyDescent="0.25">
      <c r="A1785" t="s">
        <v>29</v>
      </c>
      <c r="B1785" t="s">
        <v>109</v>
      </c>
      <c r="C1785">
        <v>0</v>
      </c>
      <c r="D1785">
        <v>0</v>
      </c>
      <c r="E1785" s="4">
        <v>2836.8815073961309</v>
      </c>
      <c r="F1785" s="4">
        <v>31236.439507236963</v>
      </c>
    </row>
    <row r="1786" spans="1:6" x14ac:dyDescent="0.25">
      <c r="A1786" t="s">
        <v>30</v>
      </c>
      <c r="B1786" t="s">
        <v>109</v>
      </c>
      <c r="C1786">
        <v>1.46</v>
      </c>
      <c r="D1786" s="1">
        <v>28989</v>
      </c>
      <c r="E1786" s="4">
        <v>851.06445221883928</v>
      </c>
      <c r="F1786" s="4">
        <v>19070.364995720942</v>
      </c>
    </row>
    <row r="1787" spans="1:6" x14ac:dyDescent="0.25">
      <c r="A1787" t="s">
        <v>31</v>
      </c>
      <c r="B1787" t="s">
        <v>109</v>
      </c>
      <c r="C1787">
        <v>3.73</v>
      </c>
      <c r="D1787" s="1">
        <v>75951</v>
      </c>
      <c r="E1787" s="4">
        <v>20547.619335665651</v>
      </c>
      <c r="F1787" s="4">
        <v>17216.391297037844</v>
      </c>
    </row>
    <row r="1788" spans="1:6" x14ac:dyDescent="0.25">
      <c r="A1788" t="s">
        <v>32</v>
      </c>
      <c r="B1788" t="s">
        <v>109</v>
      </c>
      <c r="C1788">
        <v>1.1399999999999999</v>
      </c>
      <c r="D1788" s="1">
        <v>22093</v>
      </c>
      <c r="E1788" s="4">
        <v>59329.985800699695</v>
      </c>
      <c r="F1788" s="4">
        <v>35913.441785378127</v>
      </c>
    </row>
    <row r="1789" spans="1:6" x14ac:dyDescent="0.25">
      <c r="A1789" t="s">
        <v>33</v>
      </c>
      <c r="B1789" t="s">
        <v>109</v>
      </c>
      <c r="C1789">
        <v>0.56000000000000005</v>
      </c>
      <c r="D1789" s="1">
        <v>11549</v>
      </c>
      <c r="E1789" s="4">
        <v>33264.095740209901</v>
      </c>
      <c r="F1789" s="4">
        <v>41824.518795596974</v>
      </c>
    </row>
    <row r="1790" spans="1:6" x14ac:dyDescent="0.25">
      <c r="A1790" t="s">
        <v>34</v>
      </c>
      <c r="B1790" t="s">
        <v>109</v>
      </c>
      <c r="C1790">
        <v>1.02</v>
      </c>
      <c r="D1790" s="1">
        <v>20656</v>
      </c>
      <c r="E1790" s="4">
        <v>18063.528722062969</v>
      </c>
      <c r="F1790" s="4">
        <v>40528.480042085343</v>
      </c>
    </row>
    <row r="1791" spans="1:6" x14ac:dyDescent="0.25">
      <c r="A1791" t="s">
        <v>35</v>
      </c>
      <c r="B1791" t="s">
        <v>109</v>
      </c>
      <c r="C1791">
        <v>3</v>
      </c>
      <c r="D1791" s="1">
        <v>62789</v>
      </c>
      <c r="E1791" s="4">
        <v>19878.258616618888</v>
      </c>
      <c r="F1791" s="4">
        <v>24932.304358368223</v>
      </c>
    </row>
    <row r="1792" spans="1:6" x14ac:dyDescent="0.25">
      <c r="A1792" t="s">
        <v>36</v>
      </c>
      <c r="B1792" t="s">
        <v>109</v>
      </c>
      <c r="C1792">
        <v>0.46</v>
      </c>
      <c r="D1792" s="1">
        <v>8823</v>
      </c>
      <c r="E1792" s="4">
        <v>49915.777584985663</v>
      </c>
      <c r="F1792" s="4">
        <v>27806.462177012181</v>
      </c>
    </row>
    <row r="1793" spans="1:6" x14ac:dyDescent="0.25">
      <c r="A1793" t="s">
        <v>37</v>
      </c>
      <c r="B1793" t="s">
        <v>109</v>
      </c>
      <c r="C1793">
        <v>1.02</v>
      </c>
      <c r="D1793" s="1">
        <v>21854</v>
      </c>
      <c r="E1793" s="4">
        <v>21150.833275495697</v>
      </c>
      <c r="F1793" s="4">
        <v>34334.962759299473</v>
      </c>
    </row>
    <row r="1794" spans="1:6" x14ac:dyDescent="0.25">
      <c r="A1794" t="s">
        <v>38</v>
      </c>
      <c r="B1794" t="s">
        <v>109</v>
      </c>
      <c r="C1794">
        <v>1.05</v>
      </c>
      <c r="D1794" s="1">
        <v>20620</v>
      </c>
      <c r="E1794" s="4">
        <v>21643.049982648707</v>
      </c>
      <c r="F1794" s="4">
        <v>34304.725326418062</v>
      </c>
    </row>
    <row r="1795" spans="1:6" x14ac:dyDescent="0.25">
      <c r="A1795" t="s">
        <v>39</v>
      </c>
      <c r="B1795" t="s">
        <v>109</v>
      </c>
      <c r="C1795">
        <v>3.03</v>
      </c>
      <c r="D1795" s="1">
        <v>61986</v>
      </c>
      <c r="E1795" s="4">
        <v>20926.91499479461</v>
      </c>
      <c r="F1795" s="4">
        <v>23735.749720330776</v>
      </c>
    </row>
    <row r="1796" spans="1:6" x14ac:dyDescent="0.25">
      <c r="A1796" t="s">
        <v>40</v>
      </c>
      <c r="B1796" t="s">
        <v>109</v>
      </c>
      <c r="C1796">
        <v>0.46</v>
      </c>
      <c r="D1796" s="1">
        <v>8880</v>
      </c>
      <c r="E1796" s="4">
        <v>49668.274498438383</v>
      </c>
      <c r="F1796" s="4">
        <v>23716.306177917122</v>
      </c>
    </row>
    <row r="1797" spans="1:6" x14ac:dyDescent="0.25">
      <c r="A1797" t="s">
        <v>41</v>
      </c>
      <c r="B1797" t="s">
        <v>109</v>
      </c>
      <c r="C1797">
        <v>1.55</v>
      </c>
      <c r="D1797" s="1">
        <v>32690</v>
      </c>
      <c r="E1797" s="4">
        <v>21116.482349531514</v>
      </c>
      <c r="F1797" s="4">
        <v>33419.44757817738</v>
      </c>
    </row>
    <row r="1798" spans="1:6" x14ac:dyDescent="0.25">
      <c r="A1798" t="s">
        <v>42</v>
      </c>
      <c r="B1798" t="s">
        <v>109</v>
      </c>
      <c r="C1798">
        <v>4.66</v>
      </c>
      <c r="D1798" s="1">
        <v>90430</v>
      </c>
      <c r="E1798" s="4">
        <v>29217.944704859452</v>
      </c>
      <c r="F1798" s="4">
        <v>34075.788613179822</v>
      </c>
    </row>
    <row r="1799" spans="1:6" x14ac:dyDescent="0.25">
      <c r="A1799" t="s">
        <v>43</v>
      </c>
      <c r="B1799" t="s">
        <v>109</v>
      </c>
      <c r="C1799">
        <v>4.58</v>
      </c>
      <c r="D1799" s="1">
        <v>93000</v>
      </c>
      <c r="E1799" s="4">
        <v>72066.38341145782</v>
      </c>
      <c r="F1799" s="4">
        <v>42990.484841884907</v>
      </c>
    </row>
    <row r="1800" spans="1:6" x14ac:dyDescent="0.25">
      <c r="A1800" t="s">
        <v>44</v>
      </c>
      <c r="B1800" t="s">
        <v>109</v>
      </c>
      <c r="C1800">
        <v>4.82</v>
      </c>
      <c r="D1800" s="1">
        <v>94390</v>
      </c>
      <c r="E1800" s="4">
        <v>86719.915023437337</v>
      </c>
      <c r="F1800" s="4">
        <v>37943.283673298218</v>
      </c>
    </row>
    <row r="1801" spans="1:6" x14ac:dyDescent="0.25">
      <c r="A1801" t="s">
        <v>45</v>
      </c>
      <c r="B1801" t="s">
        <v>109</v>
      </c>
      <c r="C1801">
        <v>1.71</v>
      </c>
      <c r="D1801" s="1">
        <v>37011</v>
      </c>
      <c r="E1801" s="4">
        <v>92088.974507031206</v>
      </c>
      <c r="F1801" s="4">
        <v>37611.887396048631</v>
      </c>
    </row>
    <row r="1802" spans="1:6" x14ac:dyDescent="0.25">
      <c r="A1802" t="s">
        <v>46</v>
      </c>
      <c r="B1802" t="s">
        <v>109</v>
      </c>
      <c r="C1802">
        <v>5.29</v>
      </c>
      <c r="D1802" s="1">
        <v>103581</v>
      </c>
      <c r="E1802" s="4">
        <v>53534.392352109353</v>
      </c>
      <c r="F1802" s="4">
        <v>34305.635022160037</v>
      </c>
    </row>
    <row r="1803" spans="1:6" x14ac:dyDescent="0.25">
      <c r="A1803" t="s">
        <v>47</v>
      </c>
      <c r="B1803" t="s">
        <v>109</v>
      </c>
      <c r="C1803">
        <v>5.04</v>
      </c>
      <c r="D1803" s="1">
        <v>99213</v>
      </c>
      <c r="E1803" s="4">
        <v>88567.01770563281</v>
      </c>
      <c r="F1803" s="4">
        <v>43193.658548475141</v>
      </c>
    </row>
    <row r="1804" spans="1:6" x14ac:dyDescent="0.25">
      <c r="A1804" t="s">
        <v>48</v>
      </c>
      <c r="B1804" t="s">
        <v>109</v>
      </c>
      <c r="C1804">
        <v>6.11</v>
      </c>
      <c r="D1804" s="1">
        <v>116239</v>
      </c>
      <c r="E1804" s="4">
        <v>96019.205311689831</v>
      </c>
      <c r="F1804" s="4">
        <v>43403.468186582613</v>
      </c>
    </row>
    <row r="1805" spans="1:6" x14ac:dyDescent="0.25">
      <c r="A1805" t="s">
        <v>49</v>
      </c>
      <c r="B1805" t="s">
        <v>109</v>
      </c>
      <c r="C1805">
        <v>1.63</v>
      </c>
      <c r="D1805" s="1">
        <v>34361</v>
      </c>
      <c r="E1805" s="4">
        <v>110173.06159350694</v>
      </c>
      <c r="F1805" s="4">
        <v>31763.920692673226</v>
      </c>
    </row>
    <row r="1806" spans="1:6" x14ac:dyDescent="0.25">
      <c r="A1806" t="s">
        <v>50</v>
      </c>
      <c r="B1806" t="s">
        <v>109</v>
      </c>
      <c r="C1806">
        <v>4.6500000000000004</v>
      </c>
      <c r="D1806" s="1">
        <v>94002</v>
      </c>
      <c r="E1806" s="4">
        <v>57104.618478052078</v>
      </c>
      <c r="F1806" s="4">
        <v>45715.226199108925</v>
      </c>
    </row>
    <row r="1807" spans="1:6" x14ac:dyDescent="0.25">
      <c r="A1807" t="s">
        <v>51</v>
      </c>
      <c r="B1807" t="s">
        <v>109</v>
      </c>
      <c r="C1807">
        <v>5.74</v>
      </c>
      <c r="D1807" s="1">
        <v>114830</v>
      </c>
      <c r="E1807" s="4">
        <v>82932.785543415608</v>
      </c>
      <c r="F1807" s="4">
        <v>50059.050275553869</v>
      </c>
    </row>
    <row r="1808" spans="1:6" x14ac:dyDescent="0.25">
      <c r="A1808" t="s">
        <v>52</v>
      </c>
      <c r="B1808" t="s">
        <v>109</v>
      </c>
      <c r="C1808">
        <v>6.11</v>
      </c>
      <c r="D1808" s="1">
        <v>116785</v>
      </c>
      <c r="E1808" s="4">
        <v>105260.83566302469</v>
      </c>
      <c r="F1808" s="4">
        <v>52045.86994925153</v>
      </c>
    </row>
    <row r="1809" spans="1:6" x14ac:dyDescent="0.25">
      <c r="A1809" t="s">
        <v>53</v>
      </c>
      <c r="B1809" t="s">
        <v>109</v>
      </c>
      <c r="C1809">
        <v>3.47</v>
      </c>
      <c r="D1809" s="1">
        <v>74877</v>
      </c>
      <c r="E1809" s="4">
        <v>113327.7506989074</v>
      </c>
      <c r="F1809" s="4">
        <v>28934.727790500776</v>
      </c>
    </row>
    <row r="1810" spans="1:6" x14ac:dyDescent="0.25">
      <c r="A1810" t="s">
        <v>54</v>
      </c>
      <c r="B1810" t="s">
        <v>109</v>
      </c>
      <c r="C1810">
        <v>4.83</v>
      </c>
      <c r="D1810" s="1">
        <v>97936</v>
      </c>
      <c r="E1810" s="4">
        <v>86412.225209672208</v>
      </c>
      <c r="F1810" s="4">
        <v>29601.232424030804</v>
      </c>
    </row>
    <row r="1811" spans="1:6" x14ac:dyDescent="0.25">
      <c r="A1811" t="s">
        <v>55</v>
      </c>
      <c r="B1811" t="s">
        <v>109</v>
      </c>
      <c r="C1811">
        <v>5.56</v>
      </c>
      <c r="D1811" s="1">
        <v>111595</v>
      </c>
      <c r="E1811" s="4">
        <v>94478.867562901665</v>
      </c>
      <c r="F1811" s="4">
        <v>24111.297340965404</v>
      </c>
    </row>
    <row r="1812" spans="1:6" x14ac:dyDescent="0.25">
      <c r="A1812" t="s">
        <v>56</v>
      </c>
      <c r="B1812" t="s">
        <v>109</v>
      </c>
      <c r="C1812">
        <v>4.5199999999999996</v>
      </c>
      <c r="D1812" s="1">
        <v>88030</v>
      </c>
      <c r="E1812" s="4">
        <v>106460.1602688705</v>
      </c>
      <c r="F1812" s="4">
        <v>25194.044298418441</v>
      </c>
    </row>
    <row r="1813" spans="1:6" x14ac:dyDescent="0.25">
      <c r="A1813" t="s">
        <v>57</v>
      </c>
      <c r="B1813" t="s">
        <v>109</v>
      </c>
      <c r="C1813">
        <v>4.17</v>
      </c>
      <c r="D1813" s="1">
        <v>82832</v>
      </c>
      <c r="E1813" s="4">
        <v>93559.048080661145</v>
      </c>
      <c r="F1813" s="4">
        <v>15973.208637786138</v>
      </c>
    </row>
    <row r="1814" spans="1:6" x14ac:dyDescent="0.25">
      <c r="A1814" t="s">
        <v>58</v>
      </c>
      <c r="B1814" t="s">
        <v>109</v>
      </c>
      <c r="C1814">
        <v>4.8499999999999996</v>
      </c>
      <c r="D1814" s="1">
        <v>99790</v>
      </c>
      <c r="E1814" s="4">
        <v>86050.114424198342</v>
      </c>
      <c r="F1814" s="4">
        <v>15787.150446543106</v>
      </c>
    </row>
    <row r="1815" spans="1:6" x14ac:dyDescent="0.25">
      <c r="A1815" t="s">
        <v>60</v>
      </c>
      <c r="B1815" t="s">
        <v>109</v>
      </c>
      <c r="C1815">
        <v>3.66</v>
      </c>
      <c r="D1815" s="1">
        <v>72178</v>
      </c>
      <c r="E1815" s="4">
        <v>95668.034327259506</v>
      </c>
      <c r="F1815" s="4">
        <v>14646.101002168816</v>
      </c>
    </row>
    <row r="1816" spans="1:6" x14ac:dyDescent="0.25">
      <c r="A1816" t="s">
        <v>61</v>
      </c>
      <c r="B1816" t="s">
        <v>109</v>
      </c>
      <c r="C1816">
        <v>3.57</v>
      </c>
      <c r="D1816" s="1">
        <v>68383</v>
      </c>
      <c r="E1816" s="4">
        <v>79225.010298177847</v>
      </c>
      <c r="F1816" s="4">
        <v>16888.21807115608</v>
      </c>
    </row>
    <row r="1817" spans="1:6" x14ac:dyDescent="0.25">
      <c r="A1817" t="s">
        <v>62</v>
      </c>
      <c r="B1817" t="s">
        <v>109</v>
      </c>
      <c r="C1817">
        <v>10.71</v>
      </c>
      <c r="D1817" s="1">
        <v>179440</v>
      </c>
      <c r="E1817" s="4">
        <v>71635.603089453347</v>
      </c>
      <c r="F1817" s="4">
        <v>16912.671340721103</v>
      </c>
    </row>
    <row r="1818" spans="1:6" x14ac:dyDescent="0.25">
      <c r="A1818" t="s">
        <v>64</v>
      </c>
      <c r="B1818" t="s">
        <v>109</v>
      </c>
      <c r="C1818">
        <v>11.54</v>
      </c>
      <c r="D1818" s="1">
        <v>220083</v>
      </c>
      <c r="E1818" s="4">
        <v>147098.68092683598</v>
      </c>
      <c r="F1818" s="4">
        <v>64008.121602518295</v>
      </c>
    </row>
    <row r="1819" spans="1:6" x14ac:dyDescent="0.25">
      <c r="A1819" t="s">
        <v>66</v>
      </c>
      <c r="B1819" t="s">
        <v>109</v>
      </c>
      <c r="C1819">
        <v>10.1</v>
      </c>
      <c r="D1819" s="1">
        <v>180090</v>
      </c>
      <c r="E1819" s="4">
        <v>198187.70427805078</v>
      </c>
      <c r="F1819" s="4">
        <v>75423.356265650873</v>
      </c>
    </row>
    <row r="1820" spans="1:6" x14ac:dyDescent="0.25">
      <c r="A1820" t="s">
        <v>68</v>
      </c>
      <c r="B1820" t="s">
        <v>109</v>
      </c>
      <c r="C1820">
        <v>5.56</v>
      </c>
      <c r="D1820" s="1">
        <v>100744</v>
      </c>
      <c r="E1820" s="4">
        <v>185519.31128341521</v>
      </c>
      <c r="F1820" s="4">
        <v>75885.935728029493</v>
      </c>
    </row>
    <row r="1821" spans="1:6" x14ac:dyDescent="0.25">
      <c r="A1821" t="s">
        <v>69</v>
      </c>
      <c r="B1821" t="s">
        <v>109</v>
      </c>
      <c r="C1821">
        <v>2.59</v>
      </c>
      <c r="D1821" s="1">
        <v>46274</v>
      </c>
      <c r="E1821" s="4">
        <v>126176.59338502455</v>
      </c>
      <c r="F1821" s="4">
        <v>65424.488620875331</v>
      </c>
    </row>
    <row r="1822" spans="1:6" x14ac:dyDescent="0.25">
      <c r="A1822" t="s">
        <v>70</v>
      </c>
      <c r="B1822" t="s">
        <v>109</v>
      </c>
      <c r="C1822">
        <v>4.17</v>
      </c>
      <c r="D1822" s="1">
        <v>75323</v>
      </c>
      <c r="E1822" s="4">
        <v>70244.778015507356</v>
      </c>
      <c r="F1822" s="4">
        <v>68065.666168752781</v>
      </c>
    </row>
    <row r="1823" spans="1:6" x14ac:dyDescent="0.25">
      <c r="A1823" t="s">
        <v>71</v>
      </c>
      <c r="B1823" t="s">
        <v>109</v>
      </c>
      <c r="C1823">
        <v>2.27</v>
      </c>
      <c r="D1823" s="1">
        <v>37823</v>
      </c>
      <c r="E1823" s="4">
        <v>73799.533404652204</v>
      </c>
      <c r="F1823" s="4">
        <v>67322.770222702267</v>
      </c>
    </row>
    <row r="1824" spans="1:6" x14ac:dyDescent="0.25">
      <c r="A1824" t="s">
        <v>72</v>
      </c>
      <c r="B1824" t="s">
        <v>109</v>
      </c>
      <c r="C1824">
        <v>5.95</v>
      </c>
      <c r="D1824" s="1">
        <v>120896</v>
      </c>
      <c r="E1824" s="4">
        <v>48615.960021395658</v>
      </c>
      <c r="F1824" s="4">
        <v>50677.160286110513</v>
      </c>
    </row>
    <row r="1825" spans="1:6" x14ac:dyDescent="0.25">
      <c r="A1825" t="s">
        <v>73</v>
      </c>
      <c r="B1825" t="s">
        <v>109</v>
      </c>
      <c r="C1825">
        <v>3.95</v>
      </c>
      <c r="D1825" s="1">
        <v>65932</v>
      </c>
      <c r="E1825" s="4">
        <v>99211.988006418687</v>
      </c>
      <c r="F1825" s="4">
        <v>46706.542987924375</v>
      </c>
    </row>
    <row r="1826" spans="1:6" x14ac:dyDescent="0.25">
      <c r="A1826" t="s">
        <v>74</v>
      </c>
      <c r="B1826" t="s">
        <v>109</v>
      </c>
      <c r="C1826">
        <v>4.82</v>
      </c>
      <c r="D1826" s="1">
        <v>89278</v>
      </c>
      <c r="E1826" s="4">
        <v>75915.9964019256</v>
      </c>
      <c r="F1826" s="4">
        <v>50419.152236797447</v>
      </c>
    </row>
    <row r="1827" spans="1:6" x14ac:dyDescent="0.25">
      <c r="A1827" t="s">
        <v>75</v>
      </c>
      <c r="B1827" t="s">
        <v>109</v>
      </c>
      <c r="C1827">
        <v>2.13</v>
      </c>
      <c r="D1827" s="1">
        <v>35931</v>
      </c>
      <c r="E1827" s="4">
        <v>85269.398920577674</v>
      </c>
      <c r="F1827" s="4">
        <v>46585.06527908906</v>
      </c>
    </row>
    <row r="1828" spans="1:6" x14ac:dyDescent="0.25">
      <c r="A1828" t="s">
        <v>76</v>
      </c>
      <c r="B1828" t="s">
        <v>109</v>
      </c>
      <c r="C1828">
        <v>6.33</v>
      </c>
      <c r="D1828" s="1">
        <v>123375</v>
      </c>
      <c r="E1828" s="4">
        <v>50732.519676173295</v>
      </c>
      <c r="F1828" s="4">
        <v>35215.424413687368</v>
      </c>
    </row>
    <row r="1829" spans="1:6" x14ac:dyDescent="0.25">
      <c r="A1829" t="s">
        <v>77</v>
      </c>
      <c r="B1829" t="s">
        <v>109</v>
      </c>
      <c r="C1829">
        <v>3.75</v>
      </c>
      <c r="D1829" s="1">
        <v>66796</v>
      </c>
      <c r="E1829" s="4">
        <v>101582.25590285199</v>
      </c>
      <c r="F1829" s="4">
        <v>51282.715398070737</v>
      </c>
    </row>
    <row r="1830" spans="1:6" x14ac:dyDescent="0.25">
      <c r="A1830" t="s">
        <v>78</v>
      </c>
      <c r="B1830" t="s">
        <v>109</v>
      </c>
      <c r="C1830">
        <v>3.16</v>
      </c>
      <c r="D1830" s="1">
        <v>60307</v>
      </c>
      <c r="E1830" s="4">
        <v>77231.876770855597</v>
      </c>
      <c r="F1830" s="4">
        <v>54532.226421271043</v>
      </c>
    </row>
    <row r="1831" spans="1:6" x14ac:dyDescent="0.25">
      <c r="A1831" t="s">
        <v>79</v>
      </c>
      <c r="B1831" t="s">
        <v>109</v>
      </c>
      <c r="C1831">
        <v>2.27</v>
      </c>
      <c r="D1831" s="1">
        <v>39976</v>
      </c>
      <c r="E1831" s="4">
        <v>65384.463031256673</v>
      </c>
      <c r="F1831" s="4">
        <v>47516.540983271996</v>
      </c>
    </row>
    <row r="1832" spans="1:6" x14ac:dyDescent="0.25">
      <c r="A1832" t="s">
        <v>80</v>
      </c>
      <c r="B1832" t="s">
        <v>109</v>
      </c>
      <c r="C1832">
        <v>5.09</v>
      </c>
      <c r="D1832" s="1">
        <v>99019</v>
      </c>
      <c r="E1832" s="4">
        <v>47598.538909376999</v>
      </c>
      <c r="F1832" s="4">
        <v>26721.558381814048</v>
      </c>
    </row>
    <row r="1833" spans="1:6" x14ac:dyDescent="0.25">
      <c r="A1833" t="s">
        <v>81</v>
      </c>
      <c r="B1833" t="s">
        <v>109</v>
      </c>
      <c r="C1833">
        <v>3.54</v>
      </c>
      <c r="D1833" s="1">
        <v>64865</v>
      </c>
      <c r="E1833" s="4">
        <v>83592.861672813087</v>
      </c>
      <c r="F1833" s="4">
        <v>34525.86115793811</v>
      </c>
    </row>
    <row r="1834" spans="1:6" x14ac:dyDescent="0.25">
      <c r="A1834" t="s">
        <v>82</v>
      </c>
      <c r="B1834" t="s">
        <v>109</v>
      </c>
      <c r="C1834">
        <v>5.13</v>
      </c>
      <c r="D1834" s="1">
        <v>91838</v>
      </c>
      <c r="E1834" s="4">
        <v>70483.358501843933</v>
      </c>
      <c r="F1834" s="4">
        <v>34834.784412609915</v>
      </c>
    </row>
    <row r="1835" spans="1:6" x14ac:dyDescent="0.25">
      <c r="A1835" t="s">
        <v>83</v>
      </c>
      <c r="B1835" t="s">
        <v>109</v>
      </c>
      <c r="C1835">
        <v>2.08</v>
      </c>
      <c r="D1835" s="1">
        <v>33930</v>
      </c>
      <c r="E1835" s="4">
        <v>85431.607550553177</v>
      </c>
      <c r="F1835" s="4">
        <v>33915.666660719224</v>
      </c>
    </row>
    <row r="1836" spans="1:6" x14ac:dyDescent="0.25">
      <c r="A1836" t="s">
        <v>84</v>
      </c>
      <c r="B1836" t="s">
        <v>109</v>
      </c>
      <c r="C1836">
        <v>5.53</v>
      </c>
      <c r="D1836" s="1">
        <v>105928</v>
      </c>
      <c r="E1836" s="4">
        <v>49380.482265165949</v>
      </c>
      <c r="F1836" s="4">
        <v>33956.68366533058</v>
      </c>
    </row>
    <row r="1837" spans="1:6" x14ac:dyDescent="0.25">
      <c r="A1837" t="s">
        <v>7</v>
      </c>
      <c r="B1837" t="s">
        <v>110</v>
      </c>
      <c r="C1837">
        <v>8.3000000000000007</v>
      </c>
      <c r="D1837" s="1">
        <v>1832264</v>
      </c>
      <c r="E1837" s="4">
        <v>88963.744679549767</v>
      </c>
      <c r="F1837" s="4">
        <v>45847.784591251286</v>
      </c>
    </row>
    <row r="1838" spans="1:6" x14ac:dyDescent="0.25">
      <c r="A1838" t="s">
        <v>10</v>
      </c>
      <c r="B1838" t="s">
        <v>110</v>
      </c>
      <c r="C1838">
        <v>4.66</v>
      </c>
      <c r="D1838" s="1">
        <v>1000549</v>
      </c>
      <c r="E1838" s="4">
        <v>1309273.9234038647</v>
      </c>
      <c r="F1838" s="4">
        <v>1007463.1205065871</v>
      </c>
    </row>
    <row r="1839" spans="1:6" x14ac:dyDescent="0.25">
      <c r="A1839" t="s">
        <v>11</v>
      </c>
      <c r="B1839" t="s">
        <v>110</v>
      </c>
      <c r="C1839">
        <v>8.4</v>
      </c>
      <c r="D1839" s="1">
        <v>1798087</v>
      </c>
      <c r="E1839" s="4">
        <v>1093166.4770211594</v>
      </c>
      <c r="F1839" s="4">
        <v>1022676.9578403926</v>
      </c>
    </row>
    <row r="1840" spans="1:6" x14ac:dyDescent="0.25">
      <c r="A1840" t="s">
        <v>12</v>
      </c>
      <c r="B1840" t="s">
        <v>110</v>
      </c>
      <c r="C1840">
        <v>7.64</v>
      </c>
      <c r="D1840" s="1">
        <v>1611271</v>
      </c>
      <c r="E1840" s="4">
        <v>1586610.8431063476</v>
      </c>
      <c r="F1840" s="4">
        <v>1100199.9518644828</v>
      </c>
    </row>
    <row r="1841" spans="1:6" x14ac:dyDescent="0.25">
      <c r="A1841" t="s">
        <v>13</v>
      </c>
      <c r="B1841" t="s">
        <v>110</v>
      </c>
      <c r="C1841">
        <v>5.64</v>
      </c>
      <c r="D1841" s="1">
        <v>1261101</v>
      </c>
      <c r="E1841" s="4">
        <v>1603872.9529319042</v>
      </c>
      <c r="F1841" s="4">
        <v>444534.26766504889</v>
      </c>
    </row>
    <row r="1842" spans="1:6" x14ac:dyDescent="0.25">
      <c r="A1842" t="s">
        <v>14</v>
      </c>
      <c r="B1842" t="s">
        <v>110</v>
      </c>
      <c r="C1842">
        <v>5.72</v>
      </c>
      <c r="D1842" s="1">
        <v>1191093</v>
      </c>
      <c r="E1842" s="4">
        <v>1363932.5858795713</v>
      </c>
      <c r="F1842" s="4">
        <v>452774.2921042571</v>
      </c>
    </row>
    <row r="1843" spans="1:6" x14ac:dyDescent="0.25">
      <c r="A1843" t="s">
        <v>15</v>
      </c>
      <c r="B1843" t="s">
        <v>110</v>
      </c>
      <c r="C1843">
        <v>8.17</v>
      </c>
      <c r="D1843" s="1">
        <v>1726060</v>
      </c>
      <c r="E1843" s="4">
        <v>1242944.8757638712</v>
      </c>
      <c r="F1843" s="4">
        <v>222091.76594506516</v>
      </c>
    </row>
    <row r="1844" spans="1:6" x14ac:dyDescent="0.25">
      <c r="A1844" t="s">
        <v>16</v>
      </c>
      <c r="B1844" t="s">
        <v>110</v>
      </c>
      <c r="C1844">
        <v>6.41</v>
      </c>
      <c r="D1844" s="1">
        <v>1415391</v>
      </c>
      <c r="E1844" s="4">
        <v>1581125.4627291614</v>
      </c>
      <c r="F1844" s="4">
        <v>356261.30738989107</v>
      </c>
    </row>
    <row r="1845" spans="1:6" x14ac:dyDescent="0.25">
      <c r="A1845" t="s">
        <v>17</v>
      </c>
      <c r="B1845" t="s">
        <v>110</v>
      </c>
      <c r="C1845">
        <v>7.74</v>
      </c>
      <c r="D1845" s="1">
        <v>1833635</v>
      </c>
      <c r="E1845" s="4">
        <v>1465111.3388187485</v>
      </c>
      <c r="F1845" s="4">
        <v>311309.95157497271</v>
      </c>
    </row>
    <row r="1846" spans="1:6" x14ac:dyDescent="0.25">
      <c r="A1846" t="s">
        <v>18</v>
      </c>
      <c r="B1846" t="s">
        <v>110</v>
      </c>
      <c r="C1846">
        <v>4.07</v>
      </c>
      <c r="D1846" s="1">
        <v>897587</v>
      </c>
      <c r="E1846" s="4">
        <v>1723077.9016456245</v>
      </c>
      <c r="F1846" s="4">
        <v>363628.85118952807</v>
      </c>
    </row>
    <row r="1847" spans="1:6" x14ac:dyDescent="0.25">
      <c r="A1847" t="s">
        <v>19</v>
      </c>
      <c r="B1847" t="s">
        <v>110</v>
      </c>
      <c r="C1847">
        <v>7.92</v>
      </c>
      <c r="D1847" s="1">
        <v>1687913</v>
      </c>
      <c r="E1847" s="4">
        <v>1145234.2704936871</v>
      </c>
      <c r="F1847" s="4">
        <v>530632.58779380913</v>
      </c>
    </row>
    <row r="1848" spans="1:6" x14ac:dyDescent="0.25">
      <c r="A1848" t="s">
        <v>20</v>
      </c>
      <c r="B1848" t="s">
        <v>110</v>
      </c>
      <c r="C1848">
        <v>5.48</v>
      </c>
      <c r="D1848" s="1">
        <v>1208291</v>
      </c>
      <c r="E1848" s="4">
        <v>1525109.381148106</v>
      </c>
      <c r="F1848" s="4">
        <v>608754.22544973646</v>
      </c>
    </row>
    <row r="1849" spans="1:6" x14ac:dyDescent="0.25">
      <c r="A1849" t="s">
        <v>21</v>
      </c>
      <c r="B1849" t="s">
        <v>110</v>
      </c>
      <c r="C1849">
        <v>5.75</v>
      </c>
      <c r="D1849" s="1">
        <v>1316016</v>
      </c>
      <c r="E1849" s="4">
        <v>1303336.5143444317</v>
      </c>
      <c r="F1849" s="4">
        <v>598973.93343160837</v>
      </c>
    </row>
    <row r="1850" spans="1:6" x14ac:dyDescent="0.25">
      <c r="A1850" t="s">
        <v>22</v>
      </c>
      <c r="B1850" t="s">
        <v>110</v>
      </c>
      <c r="C1850">
        <v>4.18</v>
      </c>
      <c r="D1850" s="1">
        <v>932430</v>
      </c>
      <c r="E1850" s="4">
        <v>1312212.1543033295</v>
      </c>
      <c r="F1850" s="4">
        <v>362875.02873963933</v>
      </c>
    </row>
    <row r="1851" spans="1:6" x14ac:dyDescent="0.25">
      <c r="A1851" t="s">
        <v>23</v>
      </c>
      <c r="B1851" t="s">
        <v>110</v>
      </c>
      <c r="C1851">
        <v>6.9</v>
      </c>
      <c r="D1851" s="1">
        <v>1497031</v>
      </c>
      <c r="E1851" s="4">
        <v>1046364.6462909989</v>
      </c>
      <c r="F1851" s="4">
        <v>285639.13172455574</v>
      </c>
    </row>
    <row r="1852" spans="1:6" x14ac:dyDescent="0.25">
      <c r="A1852" t="s">
        <v>24</v>
      </c>
      <c r="B1852" t="s">
        <v>110</v>
      </c>
      <c r="C1852">
        <v>4.75</v>
      </c>
      <c r="D1852" s="1">
        <v>1070661</v>
      </c>
      <c r="E1852" s="4">
        <v>1361831.0938872995</v>
      </c>
      <c r="F1852" s="4">
        <v>340340.71969578479</v>
      </c>
    </row>
    <row r="1853" spans="1:6" x14ac:dyDescent="0.25">
      <c r="A1853" t="s">
        <v>25</v>
      </c>
      <c r="B1853" t="s">
        <v>110</v>
      </c>
      <c r="C1853">
        <v>4.67</v>
      </c>
      <c r="D1853" s="1">
        <v>1099990</v>
      </c>
      <c r="E1853" s="4">
        <v>1158012.0281661898</v>
      </c>
      <c r="F1853" s="4">
        <v>379523.67983521277</v>
      </c>
    </row>
    <row r="1854" spans="1:6" x14ac:dyDescent="0.25">
      <c r="A1854" t="s">
        <v>26</v>
      </c>
      <c r="B1854" t="s">
        <v>110</v>
      </c>
      <c r="C1854">
        <v>4.1399999999999997</v>
      </c>
      <c r="D1854" s="1">
        <v>952826</v>
      </c>
      <c r="E1854" s="4">
        <v>1117396.608449857</v>
      </c>
      <c r="F1854" s="4">
        <v>311580.24204166274</v>
      </c>
    </row>
    <row r="1855" spans="1:6" x14ac:dyDescent="0.25">
      <c r="A1855" t="s">
        <v>27</v>
      </c>
      <c r="B1855" t="s">
        <v>110</v>
      </c>
      <c r="C1855">
        <v>6.71</v>
      </c>
      <c r="D1855" s="1">
        <v>1465963</v>
      </c>
      <c r="E1855" s="4">
        <v>1002197.1825349571</v>
      </c>
      <c r="F1855" s="4">
        <v>195984.74812462073</v>
      </c>
    </row>
    <row r="1856" spans="1:6" x14ac:dyDescent="0.25">
      <c r="A1856" t="s">
        <v>28</v>
      </c>
      <c r="B1856" t="s">
        <v>110</v>
      </c>
      <c r="C1856">
        <v>4.55</v>
      </c>
      <c r="D1856" s="1">
        <v>1021737</v>
      </c>
      <c r="E1856" s="4">
        <v>1326833.254760487</v>
      </c>
      <c r="F1856" s="4">
        <v>286082.0245821664</v>
      </c>
    </row>
    <row r="1857" spans="1:6" x14ac:dyDescent="0.25">
      <c r="A1857" t="s">
        <v>29</v>
      </c>
      <c r="B1857" t="s">
        <v>110</v>
      </c>
      <c r="C1857">
        <v>6.24</v>
      </c>
      <c r="D1857" s="1">
        <v>1391842</v>
      </c>
      <c r="E1857" s="4">
        <v>1113265.8764281459</v>
      </c>
      <c r="F1857" s="4">
        <v>334288.27045104431</v>
      </c>
    </row>
    <row r="1858" spans="1:6" x14ac:dyDescent="0.25">
      <c r="A1858" t="s">
        <v>30</v>
      </c>
      <c r="B1858" t="s">
        <v>110</v>
      </c>
      <c r="C1858">
        <v>5.08</v>
      </c>
      <c r="D1858" s="1">
        <v>1189344</v>
      </c>
      <c r="E1858" s="4">
        <v>1308269.1629284436</v>
      </c>
      <c r="F1858" s="4">
        <v>358593.13747951936</v>
      </c>
    </row>
    <row r="1859" spans="1:6" x14ac:dyDescent="0.25">
      <c r="A1859" t="s">
        <v>31</v>
      </c>
      <c r="B1859" t="s">
        <v>110</v>
      </c>
      <c r="C1859">
        <v>5.95</v>
      </c>
      <c r="D1859" s="1">
        <v>1342406</v>
      </c>
      <c r="E1859" s="4">
        <v>1225021.5488785331</v>
      </c>
      <c r="F1859" s="4">
        <v>248214.67568132345</v>
      </c>
    </row>
    <row r="1860" spans="1:6" x14ac:dyDescent="0.25">
      <c r="A1860" t="s">
        <v>32</v>
      </c>
      <c r="B1860" t="s">
        <v>110</v>
      </c>
      <c r="C1860">
        <v>4.4800000000000004</v>
      </c>
      <c r="D1860" s="1">
        <v>1046068</v>
      </c>
      <c r="E1860" s="4">
        <v>1307190.6646635598</v>
      </c>
      <c r="F1860" s="4">
        <v>187551.73541094011</v>
      </c>
    </row>
    <row r="1861" spans="1:6" x14ac:dyDescent="0.25">
      <c r="A1861" t="s">
        <v>33</v>
      </c>
      <c r="B1861" t="s">
        <v>110</v>
      </c>
      <c r="C1861">
        <v>7.87</v>
      </c>
      <c r="D1861" s="1">
        <v>1748639</v>
      </c>
      <c r="E1861" s="4">
        <v>1124404.7993990679</v>
      </c>
      <c r="F1861" s="4">
        <v>178985.42747352627</v>
      </c>
    </row>
    <row r="1862" spans="1:6" x14ac:dyDescent="0.25">
      <c r="A1862" t="s">
        <v>34</v>
      </c>
      <c r="B1862" t="s">
        <v>110</v>
      </c>
      <c r="C1862">
        <v>8.7899999999999991</v>
      </c>
      <c r="D1862" s="1">
        <v>2098157</v>
      </c>
      <c r="E1862" s="4">
        <v>1561368.7398197202</v>
      </c>
      <c r="F1862" s="4">
        <v>396498.21040620544</v>
      </c>
    </row>
    <row r="1863" spans="1:6" x14ac:dyDescent="0.25">
      <c r="A1863" t="s">
        <v>35</v>
      </c>
      <c r="B1863" t="s">
        <v>110</v>
      </c>
      <c r="C1863">
        <v>8.7200000000000006</v>
      </c>
      <c r="D1863" s="1">
        <v>1952363</v>
      </c>
      <c r="E1863" s="4">
        <v>1937120.5219459159</v>
      </c>
      <c r="F1863" s="4">
        <v>498663.21950733254</v>
      </c>
    </row>
    <row r="1864" spans="1:6" x14ac:dyDescent="0.25">
      <c r="A1864" t="s">
        <v>36</v>
      </c>
      <c r="B1864" t="s">
        <v>110</v>
      </c>
      <c r="C1864">
        <v>5.63</v>
      </c>
      <c r="D1864" s="1">
        <v>1289227</v>
      </c>
      <c r="E1864" s="4">
        <v>1947790.2565837745</v>
      </c>
      <c r="F1864" s="4">
        <v>475409.40483071562</v>
      </c>
    </row>
    <row r="1865" spans="1:6" x14ac:dyDescent="0.25">
      <c r="A1865" t="s">
        <v>37</v>
      </c>
      <c r="B1865" t="s">
        <v>110</v>
      </c>
      <c r="C1865">
        <v>7.33</v>
      </c>
      <c r="D1865" s="1">
        <v>1658201</v>
      </c>
      <c r="E1865" s="4">
        <v>1486795.9769751322</v>
      </c>
      <c r="F1865" s="4">
        <v>490604.90972092381</v>
      </c>
    </row>
    <row r="1866" spans="1:6" x14ac:dyDescent="0.25">
      <c r="A1866" t="s">
        <v>38</v>
      </c>
      <c r="B1866" t="s">
        <v>110</v>
      </c>
      <c r="C1866">
        <v>7.56</v>
      </c>
      <c r="D1866" s="1">
        <v>1822650</v>
      </c>
      <c r="E1866" s="4">
        <v>1606779.4930925397</v>
      </c>
      <c r="F1866" s="4">
        <v>392987.52226909663</v>
      </c>
    </row>
    <row r="1867" spans="1:6" x14ac:dyDescent="0.25">
      <c r="A1867" t="s">
        <v>39</v>
      </c>
      <c r="B1867" t="s">
        <v>110</v>
      </c>
      <c r="C1867">
        <v>6.21</v>
      </c>
      <c r="D1867" s="1">
        <v>1472982</v>
      </c>
      <c r="E1867" s="4">
        <v>1757888.847927762</v>
      </c>
      <c r="F1867" s="4">
        <v>412183.34132311627</v>
      </c>
    </row>
    <row r="1868" spans="1:6" x14ac:dyDescent="0.25">
      <c r="A1868" t="s">
        <v>40</v>
      </c>
      <c r="B1868" t="s">
        <v>110</v>
      </c>
      <c r="C1868">
        <v>4.8</v>
      </c>
      <c r="D1868" s="1">
        <v>1105751</v>
      </c>
      <c r="E1868" s="4">
        <v>1558454.0543783284</v>
      </c>
      <c r="F1868" s="4">
        <v>228875.27146663103</v>
      </c>
    </row>
    <row r="1869" spans="1:6" x14ac:dyDescent="0.25">
      <c r="A1869" t="s">
        <v>41</v>
      </c>
      <c r="B1869" t="s">
        <v>110</v>
      </c>
      <c r="C1869">
        <v>6.37</v>
      </c>
      <c r="D1869" s="1">
        <v>1462503</v>
      </c>
      <c r="E1869" s="4">
        <v>1241561.9163134985</v>
      </c>
      <c r="F1869" s="4">
        <v>333022.54337711359</v>
      </c>
    </row>
    <row r="1870" spans="1:6" x14ac:dyDescent="0.25">
      <c r="A1870" t="s">
        <v>42</v>
      </c>
      <c r="B1870" t="s">
        <v>110</v>
      </c>
      <c r="C1870">
        <v>6.27</v>
      </c>
      <c r="D1870" s="1">
        <v>1526361</v>
      </c>
      <c r="E1870" s="4">
        <v>1396220.6748940495</v>
      </c>
      <c r="F1870" s="4">
        <v>334129.18155516154</v>
      </c>
    </row>
    <row r="1871" spans="1:6" x14ac:dyDescent="0.25">
      <c r="A1871" t="s">
        <v>43</v>
      </c>
      <c r="B1871" t="s">
        <v>110</v>
      </c>
      <c r="C1871">
        <v>5.73</v>
      </c>
      <c r="D1871" s="1">
        <v>1379986</v>
      </c>
      <c r="E1871" s="4">
        <v>1487318.9024682147</v>
      </c>
      <c r="F1871" s="4">
        <v>300383.93328245543</v>
      </c>
    </row>
    <row r="1872" spans="1:6" x14ac:dyDescent="0.25">
      <c r="A1872" t="s">
        <v>44</v>
      </c>
      <c r="B1872" t="s">
        <v>110</v>
      </c>
      <c r="C1872">
        <v>5.38</v>
      </c>
      <c r="D1872" s="1">
        <v>1260900</v>
      </c>
      <c r="E1872" s="4">
        <v>1412185.8707404644</v>
      </c>
      <c r="F1872" s="4">
        <v>160490.72520605818</v>
      </c>
    </row>
    <row r="1873" spans="1:6" x14ac:dyDescent="0.25">
      <c r="A1873" t="s">
        <v>45</v>
      </c>
      <c r="B1873" t="s">
        <v>110</v>
      </c>
      <c r="C1873">
        <v>6.7</v>
      </c>
      <c r="D1873" s="1">
        <v>1569022</v>
      </c>
      <c r="E1873" s="4">
        <v>1306285.7612221392</v>
      </c>
      <c r="F1873" s="4">
        <v>130823.38075516712</v>
      </c>
    </row>
    <row r="1874" spans="1:6" x14ac:dyDescent="0.25">
      <c r="A1874" t="s">
        <v>46</v>
      </c>
      <c r="B1874" t="s">
        <v>110</v>
      </c>
      <c r="C1874">
        <v>5.99</v>
      </c>
      <c r="D1874" s="1">
        <v>1477422</v>
      </c>
      <c r="E1874" s="4">
        <v>1490201.1283666417</v>
      </c>
      <c r="F1874" s="4">
        <v>185686.20286663633</v>
      </c>
    </row>
    <row r="1875" spans="1:6" x14ac:dyDescent="0.25">
      <c r="A1875" t="s">
        <v>47</v>
      </c>
      <c r="B1875" t="s">
        <v>110</v>
      </c>
      <c r="C1875">
        <v>5.54</v>
      </c>
      <c r="D1875" s="1">
        <v>1386860</v>
      </c>
      <c r="E1875" s="4">
        <v>1481255.7385099924</v>
      </c>
      <c r="F1875" s="4">
        <v>175196.130070129</v>
      </c>
    </row>
    <row r="1876" spans="1:6" x14ac:dyDescent="0.25">
      <c r="A1876" t="s">
        <v>48</v>
      </c>
      <c r="B1876" t="s">
        <v>110</v>
      </c>
      <c r="C1876">
        <v>6.51</v>
      </c>
      <c r="D1876" s="1">
        <v>1573326</v>
      </c>
      <c r="E1876" s="4">
        <v>1415178.7215529976</v>
      </c>
      <c r="F1876" s="4">
        <v>161352.81501293476</v>
      </c>
    </row>
    <row r="1877" spans="1:6" x14ac:dyDescent="0.25">
      <c r="A1877" t="s">
        <v>49</v>
      </c>
      <c r="B1877" t="s">
        <v>110</v>
      </c>
      <c r="C1877">
        <v>6.02</v>
      </c>
      <c r="D1877" s="1">
        <v>1411864</v>
      </c>
      <c r="E1877" s="4">
        <v>1525881.8164658993</v>
      </c>
      <c r="F1877" s="4">
        <v>106590.21726664488</v>
      </c>
    </row>
    <row r="1878" spans="1:6" x14ac:dyDescent="0.25">
      <c r="A1878" t="s">
        <v>50</v>
      </c>
      <c r="B1878" t="s">
        <v>110</v>
      </c>
      <c r="C1878">
        <v>5.85</v>
      </c>
      <c r="D1878" s="1">
        <v>1494294</v>
      </c>
      <c r="E1878" s="4">
        <v>1446069.3449397697</v>
      </c>
      <c r="F1878" s="4">
        <v>125061.55764354885</v>
      </c>
    </row>
    <row r="1879" spans="1:6" x14ac:dyDescent="0.25">
      <c r="A1879" t="s">
        <v>51</v>
      </c>
      <c r="B1879" t="s">
        <v>110</v>
      </c>
      <c r="C1879">
        <v>5.62</v>
      </c>
      <c r="D1879" s="1">
        <v>1397008</v>
      </c>
      <c r="E1879" s="4">
        <v>1479826.6034819309</v>
      </c>
      <c r="F1879" s="4">
        <v>115954.36100397921</v>
      </c>
    </row>
    <row r="1880" spans="1:6" x14ac:dyDescent="0.25">
      <c r="A1880" t="s">
        <v>52</v>
      </c>
      <c r="B1880" t="s">
        <v>110</v>
      </c>
      <c r="C1880">
        <v>5.58</v>
      </c>
      <c r="D1880" s="1">
        <v>1390806</v>
      </c>
      <c r="E1880" s="4">
        <v>1421853.5810445792</v>
      </c>
      <c r="F1880" s="4">
        <v>85993.412364023563</v>
      </c>
    </row>
    <row r="1881" spans="1:6" x14ac:dyDescent="0.25">
      <c r="A1881" t="s">
        <v>53</v>
      </c>
      <c r="B1881" t="s">
        <v>110</v>
      </c>
      <c r="C1881">
        <v>5.81</v>
      </c>
      <c r="D1881" s="1">
        <v>1430649</v>
      </c>
      <c r="E1881" s="4">
        <v>1400120.2743133737</v>
      </c>
      <c r="F1881" s="4">
        <v>58162.103145992478</v>
      </c>
    </row>
    <row r="1882" spans="1:6" x14ac:dyDescent="0.25">
      <c r="A1882" t="s">
        <v>54</v>
      </c>
      <c r="B1882" t="s">
        <v>110</v>
      </c>
      <c r="C1882">
        <v>6.78</v>
      </c>
      <c r="D1882" s="1">
        <v>1651134</v>
      </c>
      <c r="E1882" s="4">
        <v>1421490.382294012</v>
      </c>
      <c r="F1882" s="4">
        <v>54021.219483539629</v>
      </c>
    </row>
    <row r="1883" spans="1:6" x14ac:dyDescent="0.25">
      <c r="A1883" t="s">
        <v>55</v>
      </c>
      <c r="B1883" t="s">
        <v>110</v>
      </c>
      <c r="C1883">
        <v>5.83</v>
      </c>
      <c r="D1883" s="1">
        <v>1494249</v>
      </c>
      <c r="E1883" s="4">
        <v>1582240.9146882035</v>
      </c>
      <c r="F1883" s="4">
        <v>134947.08411554378</v>
      </c>
    </row>
    <row r="1884" spans="1:6" x14ac:dyDescent="0.25">
      <c r="A1884" t="s">
        <v>56</v>
      </c>
      <c r="B1884" t="s">
        <v>110</v>
      </c>
      <c r="C1884">
        <v>5.79</v>
      </c>
      <c r="D1884" s="1">
        <v>1442071</v>
      </c>
      <c r="E1884" s="4">
        <v>1520646.5744064609</v>
      </c>
      <c r="F1884" s="4">
        <v>143074.30621375187</v>
      </c>
    </row>
    <row r="1885" spans="1:6" x14ac:dyDescent="0.25">
      <c r="A1885" t="s">
        <v>57</v>
      </c>
      <c r="B1885" t="s">
        <v>110</v>
      </c>
      <c r="C1885">
        <v>6.79</v>
      </c>
      <c r="D1885" s="1">
        <v>1671166</v>
      </c>
      <c r="E1885" s="4">
        <v>1465643.6723219382</v>
      </c>
      <c r="F1885" s="4">
        <v>149055.79391276644</v>
      </c>
    </row>
    <row r="1886" spans="1:6" x14ac:dyDescent="0.25">
      <c r="A1886" t="s">
        <v>58</v>
      </c>
      <c r="B1886" t="s">
        <v>110</v>
      </c>
      <c r="C1886">
        <v>3.78</v>
      </c>
      <c r="D1886" s="1">
        <v>986316</v>
      </c>
      <c r="E1886" s="4">
        <v>1609509.3016965813</v>
      </c>
      <c r="F1886" s="4">
        <v>136816.33079669249</v>
      </c>
    </row>
    <row r="1887" spans="1:6" x14ac:dyDescent="0.25">
      <c r="A1887" t="s">
        <v>59</v>
      </c>
      <c r="B1887" t="s">
        <v>110</v>
      </c>
      <c r="C1887">
        <v>7.02</v>
      </c>
      <c r="D1887" s="1">
        <v>1761866</v>
      </c>
      <c r="E1887" s="4">
        <v>1173273.9905089743</v>
      </c>
      <c r="F1887" s="4">
        <v>381568.44704762124</v>
      </c>
    </row>
    <row r="1888" spans="1:6" x14ac:dyDescent="0.25">
      <c r="A1888" t="s">
        <v>60</v>
      </c>
      <c r="B1888" t="s">
        <v>110</v>
      </c>
      <c r="C1888">
        <v>18.32</v>
      </c>
      <c r="D1888" s="1">
        <v>3231533</v>
      </c>
      <c r="E1888" s="4">
        <v>1585288.3971526923</v>
      </c>
      <c r="F1888" s="4">
        <v>508936.7583797875</v>
      </c>
    </row>
    <row r="1889" spans="1:6" x14ac:dyDescent="0.25">
      <c r="A1889" t="s">
        <v>61</v>
      </c>
      <c r="B1889" t="s">
        <v>110</v>
      </c>
      <c r="C1889">
        <v>18.43</v>
      </c>
      <c r="D1889" s="1">
        <v>3523037</v>
      </c>
      <c r="E1889" s="4">
        <v>2737659.6191458073</v>
      </c>
      <c r="F1889" s="4">
        <v>1071592.5434168933</v>
      </c>
    </row>
    <row r="1890" spans="1:6" x14ac:dyDescent="0.25">
      <c r="A1890" t="s">
        <v>62</v>
      </c>
      <c r="B1890" t="s">
        <v>110</v>
      </c>
      <c r="C1890">
        <v>5.96</v>
      </c>
      <c r="D1890" s="1">
        <v>1283316</v>
      </c>
      <c r="E1890" s="4">
        <v>3287423.7857437422</v>
      </c>
      <c r="F1890" s="4">
        <v>1106553.1281714351</v>
      </c>
    </row>
    <row r="1891" spans="1:6" x14ac:dyDescent="0.25">
      <c r="A1891" t="s">
        <v>63</v>
      </c>
      <c r="B1891" t="s">
        <v>110</v>
      </c>
      <c r="C1891">
        <v>4.4000000000000004</v>
      </c>
      <c r="D1891" s="1">
        <v>1136935</v>
      </c>
      <c r="E1891" s="4">
        <v>1884548.3357231226</v>
      </c>
      <c r="F1891" s="4">
        <v>1564543.2709090074</v>
      </c>
    </row>
    <row r="1892" spans="1:6" x14ac:dyDescent="0.25">
      <c r="A1892" t="s">
        <v>64</v>
      </c>
      <c r="B1892" t="s">
        <v>110</v>
      </c>
      <c r="C1892">
        <v>13.13</v>
      </c>
      <c r="D1892" s="1">
        <v>3056161</v>
      </c>
      <c r="E1892" s="4">
        <v>1361219.0007169368</v>
      </c>
      <c r="F1892" s="4">
        <v>1315572.2895362729</v>
      </c>
    </row>
    <row r="1893" spans="1:6" x14ac:dyDescent="0.25">
      <c r="A1893" t="s">
        <v>65</v>
      </c>
      <c r="B1893" t="s">
        <v>110</v>
      </c>
      <c r="C1893">
        <v>8</v>
      </c>
      <c r="D1893" s="1">
        <v>2028407</v>
      </c>
      <c r="E1893" s="4">
        <v>2547678.4002150809</v>
      </c>
      <c r="F1893" s="4">
        <v>1575669.3918843307</v>
      </c>
    </row>
    <row r="1894" spans="1:6" x14ac:dyDescent="0.25">
      <c r="A1894" t="s">
        <v>66</v>
      </c>
      <c r="B1894" t="s">
        <v>110</v>
      </c>
      <c r="C1894">
        <v>10.48</v>
      </c>
      <c r="D1894" s="1">
        <v>2506132</v>
      </c>
      <c r="E1894" s="4">
        <v>2184188.4200645243</v>
      </c>
      <c r="F1894" s="4">
        <v>1110765.0318235704</v>
      </c>
    </row>
    <row r="1895" spans="1:6" x14ac:dyDescent="0.25">
      <c r="A1895" t="s">
        <v>67</v>
      </c>
      <c r="B1895" t="s">
        <v>110</v>
      </c>
      <c r="C1895">
        <v>12.38</v>
      </c>
      <c r="D1895" s="1">
        <v>2867102</v>
      </c>
      <c r="E1895" s="4">
        <v>2409548.9260193571</v>
      </c>
      <c r="F1895" s="4">
        <v>1040211.3305600723</v>
      </c>
    </row>
    <row r="1896" spans="1:6" x14ac:dyDescent="0.25">
      <c r="A1896" t="s">
        <v>68</v>
      </c>
      <c r="B1896" t="s">
        <v>110</v>
      </c>
      <c r="C1896">
        <v>5.52</v>
      </c>
      <c r="D1896" s="1">
        <v>1395293</v>
      </c>
      <c r="E1896" s="4">
        <v>2729836.0778058069</v>
      </c>
      <c r="F1896" s="4">
        <v>440698.41208856064</v>
      </c>
    </row>
    <row r="1897" spans="1:6" x14ac:dyDescent="0.25">
      <c r="A1897" t="s">
        <v>69</v>
      </c>
      <c r="B1897" t="s">
        <v>110</v>
      </c>
      <c r="C1897">
        <v>4.83</v>
      </c>
      <c r="D1897" s="1">
        <v>1249906</v>
      </c>
      <c r="E1897" s="4">
        <v>1795655.923341742</v>
      </c>
      <c r="F1897" s="4">
        <v>835465.48117206327</v>
      </c>
    </row>
    <row r="1898" spans="1:6" x14ac:dyDescent="0.25">
      <c r="A1898" t="s">
        <v>70</v>
      </c>
      <c r="B1898" t="s">
        <v>110</v>
      </c>
      <c r="C1898">
        <v>6.35</v>
      </c>
      <c r="D1898" s="1">
        <v>1668871</v>
      </c>
      <c r="E1898" s="4">
        <v>1413630.9770025224</v>
      </c>
      <c r="F1898" s="4">
        <v>873346.63237763138</v>
      </c>
    </row>
    <row r="1899" spans="1:6" x14ac:dyDescent="0.25">
      <c r="A1899" t="s">
        <v>71</v>
      </c>
      <c r="B1899" t="s">
        <v>110</v>
      </c>
      <c r="C1899">
        <v>7.68</v>
      </c>
      <c r="D1899" s="1">
        <v>1923408</v>
      </c>
      <c r="E1899" s="4">
        <v>1592298.9931007568</v>
      </c>
      <c r="F1899" s="4">
        <v>845378.74641816935</v>
      </c>
    </row>
    <row r="1900" spans="1:6" x14ac:dyDescent="0.25">
      <c r="A1900" t="s">
        <v>72</v>
      </c>
      <c r="B1900" t="s">
        <v>110</v>
      </c>
      <c r="C1900">
        <v>7.49</v>
      </c>
      <c r="D1900" s="1">
        <v>1788353</v>
      </c>
      <c r="E1900" s="4">
        <v>1824075.2979302269</v>
      </c>
      <c r="F1900" s="4">
        <v>396914.60988356732</v>
      </c>
    </row>
    <row r="1901" spans="1:6" x14ac:dyDescent="0.25">
      <c r="A1901" t="s">
        <v>73</v>
      </c>
      <c r="B1901" t="s">
        <v>110</v>
      </c>
      <c r="C1901">
        <v>21.81</v>
      </c>
      <c r="D1901" s="1">
        <v>4141206</v>
      </c>
      <c r="E1901" s="4">
        <v>1799069.6893790679</v>
      </c>
      <c r="F1901" s="4">
        <v>242251.05872418932</v>
      </c>
    </row>
    <row r="1902" spans="1:6" x14ac:dyDescent="0.25">
      <c r="A1902" t="s">
        <v>74</v>
      </c>
      <c r="B1902" t="s">
        <v>110</v>
      </c>
      <c r="C1902">
        <v>25.56</v>
      </c>
      <c r="D1902" s="1">
        <v>5055667</v>
      </c>
      <c r="E1902" s="4">
        <v>3438565.10681372</v>
      </c>
      <c r="F1902" s="4">
        <v>1365834.5134688718</v>
      </c>
    </row>
    <row r="1903" spans="1:6" x14ac:dyDescent="0.25">
      <c r="A1903" t="s">
        <v>75</v>
      </c>
      <c r="B1903" t="s">
        <v>110</v>
      </c>
      <c r="C1903">
        <v>6.59</v>
      </c>
      <c r="D1903" s="1">
        <v>1619414</v>
      </c>
      <c r="E1903" s="4">
        <v>4570536.4320441158</v>
      </c>
      <c r="F1903" s="4">
        <v>1643360.0856218436</v>
      </c>
    </row>
    <row r="1904" spans="1:6" x14ac:dyDescent="0.25">
      <c r="A1904" t="s">
        <v>76</v>
      </c>
      <c r="B1904" t="s">
        <v>110</v>
      </c>
      <c r="C1904">
        <v>6.62</v>
      </c>
      <c r="D1904" s="1">
        <v>1621548</v>
      </c>
      <c r="E1904" s="4">
        <v>2504750.7296132343</v>
      </c>
      <c r="F1904" s="4">
        <v>2367118.1240339247</v>
      </c>
    </row>
    <row r="1905" spans="1:6" x14ac:dyDescent="0.25">
      <c r="A1905" t="s">
        <v>77</v>
      </c>
      <c r="B1905" t="s">
        <v>110</v>
      </c>
      <c r="C1905">
        <v>6.59</v>
      </c>
      <c r="D1905" s="1">
        <v>1661345</v>
      </c>
      <c r="E1905" s="4">
        <v>1886508.8188839701</v>
      </c>
      <c r="F1905" s="4">
        <v>2008663.6688320003</v>
      </c>
    </row>
    <row r="1906" spans="1:6" x14ac:dyDescent="0.25">
      <c r="A1906" t="s">
        <v>78</v>
      </c>
      <c r="B1906" t="s">
        <v>110</v>
      </c>
      <c r="C1906">
        <v>5.6</v>
      </c>
      <c r="D1906" s="1">
        <v>1423788</v>
      </c>
      <c r="E1906" s="4">
        <v>1728894.1456651911</v>
      </c>
      <c r="F1906" s="4">
        <v>1783243.245311256</v>
      </c>
    </row>
    <row r="1907" spans="1:6" x14ac:dyDescent="0.25">
      <c r="A1907" t="s">
        <v>79</v>
      </c>
      <c r="B1907" t="s">
        <v>110</v>
      </c>
      <c r="C1907">
        <v>5.93</v>
      </c>
      <c r="D1907" s="1">
        <v>1482867</v>
      </c>
      <c r="E1907" s="4">
        <v>1515319.8436995572</v>
      </c>
      <c r="F1907" s="4">
        <v>554928.09355607803</v>
      </c>
    </row>
    <row r="1908" spans="1:6" x14ac:dyDescent="0.25">
      <c r="A1908" t="s">
        <v>80</v>
      </c>
      <c r="B1908" t="s">
        <v>110</v>
      </c>
      <c r="C1908">
        <v>6.8</v>
      </c>
      <c r="D1908" s="1">
        <v>1646647</v>
      </c>
      <c r="E1908" s="4">
        <v>1492602.8531098671</v>
      </c>
      <c r="F1908" s="4">
        <v>219728.38727337139</v>
      </c>
    </row>
    <row r="1909" spans="1:6" x14ac:dyDescent="0.25">
      <c r="A1909" t="s">
        <v>81</v>
      </c>
      <c r="B1909" t="s">
        <v>110</v>
      </c>
      <c r="C1909">
        <v>5.82</v>
      </c>
      <c r="D1909" s="1">
        <v>1492273</v>
      </c>
      <c r="E1909" s="4">
        <v>1600433.75593296</v>
      </c>
      <c r="F1909" s="4">
        <v>198219.1938048765</v>
      </c>
    </row>
    <row r="1910" spans="1:6" x14ac:dyDescent="0.25">
      <c r="A1910" t="s">
        <v>82</v>
      </c>
      <c r="B1910" t="s">
        <v>110</v>
      </c>
      <c r="C1910">
        <v>6.54</v>
      </c>
      <c r="D1910" s="1">
        <v>1656607</v>
      </c>
      <c r="E1910" s="4">
        <v>1524721.2267798879</v>
      </c>
      <c r="F1910" s="4">
        <v>110274.71057815276</v>
      </c>
    </row>
    <row r="1911" spans="1:6" x14ac:dyDescent="0.25">
      <c r="A1911" t="s">
        <v>83</v>
      </c>
      <c r="B1911" t="s">
        <v>110</v>
      </c>
      <c r="C1911">
        <v>5.0599999999999996</v>
      </c>
      <c r="D1911" s="1">
        <v>1243766</v>
      </c>
      <c r="E1911" s="4">
        <v>1617041.2680339662</v>
      </c>
      <c r="F1911" s="4">
        <v>132692.88538195385</v>
      </c>
    </row>
    <row r="1912" spans="1:6" x14ac:dyDescent="0.25">
      <c r="A1912" t="s">
        <v>84</v>
      </c>
      <c r="B1912" t="s">
        <v>110</v>
      </c>
      <c r="C1912">
        <v>5.26</v>
      </c>
      <c r="D1912" s="1">
        <v>1291249</v>
      </c>
      <c r="E1912" s="4">
        <v>1355748.5804101899</v>
      </c>
      <c r="F1912" s="4">
        <v>236943.75705898751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Unemployment Rate Rural monthly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Sattik Mohanta</dc:creator>
  <cp:lastModifiedBy>Sattik Mohanta</cp:lastModifiedBy>
  <cp:lastPrinted>2022-05-10T04:59:59Z</cp:lastPrinted>
  <dcterms:created xsi:type="dcterms:W3CDTF">2022-05-10T05:00:15Z</dcterms:created>
  <dcterms:modified xsi:type="dcterms:W3CDTF">2022-05-10T18:15:22Z</dcterms:modified>
</cp:coreProperties>
</file>