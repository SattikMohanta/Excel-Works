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filterPrivacy="1"/>
  <xr:revisionPtr revIDLastSave="0" documentId="13_ncr:1_{E51F21AB-70E0-46AA-BC4A-A320C42D1499}" xr6:coauthVersionLast="47" xr6:coauthVersionMax="47" xr10:uidLastSave="{00000000-0000-0000-0000-000000000000}"/>
  <bookViews>
    <workbookView xWindow="-120" yWindow="-120" windowWidth="20730" windowHeight="11160" activeTab="3" xr2:uid="{00000000-000D-0000-FFFF-FFFF00000000}"/>
  </bookViews>
  <sheets>
    <sheet name="Solution1" sheetId="2" r:id="rId1"/>
    <sheet name="Solution2" sheetId="3" r:id="rId2"/>
    <sheet name="Solution2 pivot count" sheetId="4" r:id="rId3"/>
    <sheet name="Solution3" sheetId="1" r:id="rId4"/>
  </sheets>
  <definedNames>
    <definedName name="_xlnm._FilterDatabase" localSheetId="0" hidden="1">Solution1!$B$1:$O$1</definedName>
  </definedNames>
  <calcPr calcId="18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K10" i="1" l="1"/>
  <c r="J2" i="2"/>
  <c r="I2" i="2"/>
  <c r="K13" i="1"/>
  <c r="K15" i="1" l="1"/>
  <c r="K3" i="2" l="1"/>
  <c r="K4" i="2"/>
  <c r="K5" i="2"/>
  <c r="K6" i="2"/>
  <c r="K7" i="2"/>
  <c r="K8" i="2"/>
  <c r="K9" i="2"/>
  <c r="K10" i="2"/>
  <c r="K11" i="2"/>
  <c r="K12" i="2"/>
  <c r="K13" i="2"/>
  <c r="K14" i="2"/>
  <c r="K15" i="2"/>
  <c r="K16" i="2"/>
  <c r="K17" i="2"/>
  <c r="K18" i="2"/>
  <c r="K19" i="2"/>
  <c r="K20" i="2"/>
  <c r="K21" i="2"/>
  <c r="K22" i="2"/>
  <c r="K23" i="2"/>
  <c r="K24" i="2"/>
  <c r="K25" i="2"/>
  <c r="K26" i="2"/>
  <c r="K2" i="2"/>
  <c r="J3" i="2"/>
  <c r="J4" i="2"/>
  <c r="J5" i="2"/>
  <c r="J6" i="2"/>
  <c r="J7" i="2"/>
  <c r="J8" i="2"/>
  <c r="J9" i="2"/>
  <c r="J10" i="2"/>
  <c r="J11" i="2"/>
  <c r="J12" i="2"/>
  <c r="J13" i="2"/>
  <c r="J14" i="2"/>
  <c r="J15" i="2"/>
  <c r="J16" i="2"/>
  <c r="J17" i="2"/>
  <c r="J18" i="2"/>
  <c r="J19" i="2"/>
  <c r="J20" i="2"/>
  <c r="J21" i="2"/>
  <c r="J22" i="2"/>
  <c r="J23" i="2"/>
  <c r="J24" i="2"/>
  <c r="J25" i="2"/>
  <c r="J26" i="2"/>
  <c r="J3" i="3" l="1"/>
  <c r="J4" i="3"/>
  <c r="J5" i="3"/>
  <c r="J6" i="3"/>
  <c r="J7" i="3"/>
  <c r="J8" i="3"/>
  <c r="J9" i="3"/>
  <c r="J10" i="3"/>
  <c r="K10" i="3" s="1"/>
  <c r="J11" i="3"/>
  <c r="J12" i="3"/>
  <c r="J13" i="3"/>
  <c r="J14" i="3"/>
  <c r="K14" i="3" s="1"/>
  <c r="J15" i="3"/>
  <c r="J16" i="3"/>
  <c r="J17" i="3"/>
  <c r="J18" i="3"/>
  <c r="K18" i="3" s="1"/>
  <c r="J19" i="3"/>
  <c r="J20" i="3"/>
  <c r="J21" i="3"/>
  <c r="J22" i="3"/>
  <c r="K22" i="3" s="1"/>
  <c r="J23" i="3"/>
  <c r="J24" i="3"/>
  <c r="J25" i="3"/>
  <c r="J26" i="3"/>
  <c r="K26" i="3" s="1"/>
  <c r="J2" i="3"/>
  <c r="I3" i="2"/>
  <c r="I4" i="2"/>
  <c r="I5" i="2"/>
  <c r="I6" i="2"/>
  <c r="I7" i="2"/>
  <c r="I8" i="2"/>
  <c r="I9" i="2"/>
  <c r="I10" i="2"/>
  <c r="I11" i="2"/>
  <c r="I12" i="2"/>
  <c r="I13" i="2"/>
  <c r="I14" i="2"/>
  <c r="I15" i="2"/>
  <c r="I16" i="2"/>
  <c r="I17" i="2"/>
  <c r="I18" i="2"/>
  <c r="I19" i="2"/>
  <c r="I20" i="2"/>
  <c r="I21" i="2"/>
  <c r="I22" i="2"/>
  <c r="I23" i="2"/>
  <c r="I24" i="2"/>
  <c r="I25" i="2"/>
  <c r="I26" i="2"/>
  <c r="K2" i="3" l="1"/>
  <c r="M2" i="3"/>
  <c r="L2" i="3"/>
  <c r="M6" i="3"/>
  <c r="L6" i="3"/>
  <c r="K6" i="3"/>
  <c r="M26" i="3"/>
  <c r="L26" i="3"/>
  <c r="M14" i="3"/>
  <c r="L14" i="3"/>
  <c r="M25" i="3"/>
  <c r="L25" i="3"/>
  <c r="M21" i="3"/>
  <c r="L21" i="3"/>
  <c r="M17" i="3"/>
  <c r="L17" i="3"/>
  <c r="M13" i="3"/>
  <c r="L13" i="3"/>
  <c r="M9" i="3"/>
  <c r="L9" i="3"/>
  <c r="M5" i="3"/>
  <c r="L5" i="3"/>
  <c r="K25" i="3"/>
  <c r="K21" i="3"/>
  <c r="K17" i="3"/>
  <c r="K13" i="3"/>
  <c r="K9" i="3"/>
  <c r="K5" i="3"/>
  <c r="M10" i="3"/>
  <c r="L10" i="3"/>
  <c r="M24" i="3"/>
  <c r="L24" i="3"/>
  <c r="M20" i="3"/>
  <c r="L20" i="3"/>
  <c r="M16" i="3"/>
  <c r="L16" i="3"/>
  <c r="M12" i="3"/>
  <c r="L12" i="3"/>
  <c r="M8" i="3"/>
  <c r="L8" i="3"/>
  <c r="M4" i="3"/>
  <c r="L4" i="3"/>
  <c r="K24" i="3"/>
  <c r="K20" i="3"/>
  <c r="K16" i="3"/>
  <c r="K12" i="3"/>
  <c r="K8" i="3"/>
  <c r="K4" i="3"/>
  <c r="M22" i="3"/>
  <c r="L22" i="3"/>
  <c r="M18" i="3"/>
  <c r="L18" i="3"/>
  <c r="M23" i="3"/>
  <c r="L23" i="3"/>
  <c r="M19" i="3"/>
  <c r="L19" i="3"/>
  <c r="M15" i="3"/>
  <c r="L15" i="3"/>
  <c r="M11" i="3"/>
  <c r="L11" i="3"/>
  <c r="M7" i="3"/>
  <c r="L7" i="3"/>
  <c r="M3" i="3"/>
  <c r="L3" i="3"/>
  <c r="K23" i="3"/>
  <c r="K19" i="3"/>
  <c r="K15" i="3"/>
  <c r="K11" i="3"/>
  <c r="K7" i="3"/>
  <c r="K3" i="3"/>
</calcChain>
</file>

<file path=xl/sharedStrings.xml><?xml version="1.0" encoding="utf-8"?>
<sst xmlns="http://schemas.openxmlformats.org/spreadsheetml/2006/main" count="386" uniqueCount="122">
  <si>
    <t>RollNo</t>
  </si>
  <si>
    <t>Name</t>
  </si>
  <si>
    <t>Section</t>
  </si>
  <si>
    <t>Gender</t>
  </si>
  <si>
    <t>Stream</t>
  </si>
  <si>
    <t>Education</t>
  </si>
  <si>
    <t>Fee Collected</t>
  </si>
  <si>
    <t>Fees</t>
  </si>
  <si>
    <t>Tax %</t>
  </si>
  <si>
    <t>FB01</t>
  </si>
  <si>
    <t>ABC1</t>
  </si>
  <si>
    <t>A</t>
  </si>
  <si>
    <t>Male</t>
  </si>
  <si>
    <t>MKTG</t>
  </si>
  <si>
    <t>Btech</t>
  </si>
  <si>
    <t>&lt; 3000</t>
  </si>
  <si>
    <t>FB02</t>
  </si>
  <si>
    <t>ABC2</t>
  </si>
  <si>
    <t>Female</t>
  </si>
  <si>
    <t>BA</t>
  </si>
  <si>
    <t>BBA</t>
  </si>
  <si>
    <t>FB03</t>
  </si>
  <si>
    <t>ABC3</t>
  </si>
  <si>
    <t>B</t>
  </si>
  <si>
    <t>FIN</t>
  </si>
  <si>
    <t>Bcom</t>
  </si>
  <si>
    <t>From 5001 to 7000</t>
  </si>
  <si>
    <t>FB04</t>
  </si>
  <si>
    <t>ABC4</t>
  </si>
  <si>
    <t>HR</t>
  </si>
  <si>
    <t>Bsc</t>
  </si>
  <si>
    <t>From 7001 to 9000</t>
  </si>
  <si>
    <t>FB05</t>
  </si>
  <si>
    <t>ABC5</t>
  </si>
  <si>
    <t>C</t>
  </si>
  <si>
    <t>OPS</t>
  </si>
  <si>
    <t>FB06</t>
  </si>
  <si>
    <t>ABC6</t>
  </si>
  <si>
    <t>FB07</t>
  </si>
  <si>
    <t>ABC7</t>
  </si>
  <si>
    <t>FB08</t>
  </si>
  <si>
    <t>ABC8</t>
  </si>
  <si>
    <t>FB09</t>
  </si>
  <si>
    <t>ABC9</t>
  </si>
  <si>
    <t xml:space="preserve">Problems:
1) Insert New column ‘Tax’– calculate using Lookup Function (Using above rules frame the lookup table) (10 marks)
2) Insert New column ‘Tax1’ – calculate using Nested IF Function (10 marks)
</t>
  </si>
  <si>
    <t>FB10</t>
  </si>
  <si>
    <t>ABC10</t>
  </si>
  <si>
    <t>FB11</t>
  </si>
  <si>
    <t>ABC11</t>
  </si>
  <si>
    <t>FB12</t>
  </si>
  <si>
    <t>ABC12</t>
  </si>
  <si>
    <t>FB13</t>
  </si>
  <si>
    <t>ABC13</t>
  </si>
  <si>
    <t>FB14</t>
  </si>
  <si>
    <t>ABC14</t>
  </si>
  <si>
    <t>FB15</t>
  </si>
  <si>
    <t>ABC15</t>
  </si>
  <si>
    <t>FB16</t>
  </si>
  <si>
    <t>ABC16</t>
  </si>
  <si>
    <t>FB17</t>
  </si>
  <si>
    <t>ABC17</t>
  </si>
  <si>
    <t>FB18</t>
  </si>
  <si>
    <t>ABC18</t>
  </si>
  <si>
    <t>FB19</t>
  </si>
  <si>
    <t>ABC19</t>
  </si>
  <si>
    <t>FB20</t>
  </si>
  <si>
    <t>ABC20</t>
  </si>
  <si>
    <t>FB21</t>
  </si>
  <si>
    <t>ABC21</t>
  </si>
  <si>
    <t>FB22</t>
  </si>
  <si>
    <t>ABC22</t>
  </si>
  <si>
    <t>FB23</t>
  </si>
  <si>
    <t>ABC23</t>
  </si>
  <si>
    <t>FB24</t>
  </si>
  <si>
    <t>ABC24</t>
  </si>
  <si>
    <t>FB25</t>
  </si>
  <si>
    <t>ABC25</t>
  </si>
  <si>
    <t>TermV GPA</t>
  </si>
  <si>
    <t>TermVI GPA</t>
  </si>
  <si>
    <t>*GPA</t>
  </si>
  <si>
    <t>Result</t>
  </si>
  <si>
    <t>&lt; 5</t>
  </si>
  <si>
    <t>From 5 to 5.9</t>
  </si>
  <si>
    <t>From 6 to 6.9</t>
  </si>
  <si>
    <t>B+</t>
  </si>
  <si>
    <t>From 7 to 7.9</t>
  </si>
  <si>
    <t>A+</t>
  </si>
  <si>
    <t>*GPA is average of V &amp; VI Term</t>
  </si>
  <si>
    <t xml:space="preserve">Problems:
1) Insert New column ‘Result’– calculate using Lookup Function (Using above rules frame the lookup table) (10 marks)
2) Insert New column ‘Result1’ – calculate using Nested IF Function (5 marks)
3) Result, Result1 wise number of students ( 5marks)
</t>
  </si>
  <si>
    <t>C1</t>
  </si>
  <si>
    <t>C2</t>
  </si>
  <si>
    <t>C3</t>
  </si>
  <si>
    <t>C4</t>
  </si>
  <si>
    <t>C5</t>
  </si>
  <si>
    <t>Tax</t>
  </si>
  <si>
    <t>Tax1</t>
  </si>
  <si>
    <t>From 3001 to 5000</t>
  </si>
  <si>
    <t>&gt;9001</t>
  </si>
  <si>
    <t>Min Scale</t>
  </si>
  <si>
    <t>&gt;8</t>
  </si>
  <si>
    <t>Result1</t>
  </si>
  <si>
    <t>Table below show Profits made by the companies for 4 years. Please accept Company and Year (for example C4, 2018  output should be 345).  However the problem should support any type of Company/Year combination. Use LOOKUP Functions (10 marks)</t>
  </si>
  <si>
    <t>Dropdrown</t>
  </si>
  <si>
    <t>B.Tech</t>
  </si>
  <si>
    <t>B.Com</t>
  </si>
  <si>
    <t>B.Sc</t>
  </si>
  <si>
    <t>Value</t>
  </si>
  <si>
    <t>`</t>
  </si>
  <si>
    <t>=VLOOKUP(I13,B1:G7,HLOOKUP(J13,D1:G2,2,FALSE),FALSE)</t>
  </si>
  <si>
    <t>=HLOOKUP(J19,B18:G23,VLOOKUP(I19,B18:C23,2,FALSE),FALSE)</t>
  </si>
  <si>
    <t>Result, Result1 wise number of students</t>
  </si>
  <si>
    <t>Grand Total</t>
  </si>
  <si>
    <t>Count of Result</t>
  </si>
  <si>
    <t>Tax2</t>
  </si>
  <si>
    <t>In this case - input &gt; min  (descending order)</t>
  </si>
  <si>
    <t>In this case - input &lt;= max  (ascending order)</t>
  </si>
  <si>
    <t>Input &gt;=min (descending order)</t>
  </si>
  <si>
    <t>Input &lt;max (ascending order)</t>
  </si>
  <si>
    <t>Conclusion -</t>
  </si>
  <si>
    <t>Index+Match+Match is far better than combo lookups when it comes to finding out the co-ordinates of any cell, especially when in the case of massive matrix tables with 1000s of data.
 It's nervewrecking to find the index numbers.
 One shouldn't be bothered by the fact that they have to figure out the index nos.</t>
  </si>
  <si>
    <t>Result2</t>
  </si>
  <si>
    <t>=INDEX($C$2:$F$6,MATCH(H9,$B$2:$B$6,0),MATCH(I9,$C$1:$F$1,0))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</si>
</sst>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13" x14ac:knownFonts="1">
    <font>
      <sz val="11"/>
      <color theme="1"/>
      <name val="Calibri"/>
      <family val="2"/>
      <scheme val="minor"/>
    </font>
    <font>
      <sz val="11"/>
      <color theme="1"/>
      <name val="Calibri"/>
      <family val="2"/>
      <scheme val="minor"/>
    </font>
    <font>
      <b/>
      <sz val="11"/>
      <color theme="4" tint="-0.499984740745262"/>
      <name val="Constantia"/>
      <family val="1"/>
    </font>
    <font>
      <b/>
      <sz val="12"/>
      <color theme="4" tint="-0.499984740745262"/>
      <name val="Constantia"/>
      <family val="1"/>
    </font>
    <font>
      <b/>
      <sz val="11"/>
      <color theme="4" tint="-0.499984740745262"/>
      <name val="Calibri"/>
      <family val="2"/>
      <scheme val="minor"/>
    </font>
    <font>
      <b/>
      <sz val="12"/>
      <color theme="4" tint="-0.499984740745262"/>
      <name val="Times New Roman"/>
      <family val="1"/>
    </font>
    <font>
      <sz val="8"/>
      <name val="Calibri"/>
      <family val="2"/>
      <scheme val="minor"/>
    </font>
    <font>
      <sz val="12"/>
      <name val="Times New Roman"/>
      <family val="1"/>
    </font>
    <font>
      <sz val="11"/>
      <name val="Calibri"/>
      <family val="2"/>
      <scheme val="minor"/>
    </font>
    <font>
      <sz val="16"/>
      <name val="Calibri"/>
      <family val="2"/>
      <scheme val="minor"/>
    </font>
    <font>
      <sz val="14"/>
      <name val="Calibri"/>
      <family val="2"/>
      <scheme val="minor"/>
    </font>
    <font>
      <sz val="11"/>
      <name val="Constantia"/>
      <family val="1"/>
    </font>
    <font>
      <sz val="12"/>
      <name val="Constantia"/>
      <family val="1"/>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medium">
        <color theme="4" tint="-0.499984740745262"/>
      </bottom>
      <diagonal/>
    </border>
    <border>
      <left/>
      <right/>
      <top style="medium">
        <color theme="4" tint="-0.499984740745262"/>
      </top>
      <bottom/>
      <diagonal/>
    </border>
    <border>
      <left/>
      <right style="medium">
        <color theme="4" tint="-0.499984740745262"/>
      </right>
      <top/>
      <bottom/>
      <diagonal/>
    </border>
    <border>
      <left/>
      <right/>
      <top style="medium">
        <color theme="4" tint="-0.499984740745262"/>
      </top>
      <bottom style="medium">
        <color theme="4" tint="-0.499984740745262"/>
      </bottom>
      <diagonal/>
    </border>
    <border>
      <left/>
      <right style="medium">
        <color theme="4" tint="-0.499984740745262"/>
      </right>
      <top style="medium">
        <color theme="4" tint="-0.499984740745262"/>
      </top>
      <bottom style="medium">
        <color theme="4" tint="-0.499984740745262"/>
      </bottom>
      <diagonal/>
    </border>
    <border>
      <left style="medium">
        <color theme="4" tint="-0.499984740745262"/>
      </left>
      <right style="medium">
        <color theme="4" tint="-0.499984740745262"/>
      </right>
      <top/>
      <bottom/>
      <diagonal/>
    </border>
    <border>
      <left style="medium">
        <color theme="4" tint="-0.499984740745262"/>
      </left>
      <right style="medium">
        <color theme="4" tint="-0.499984740745262"/>
      </right>
      <top style="medium">
        <color theme="4" tint="-0.499984740745262"/>
      </top>
      <bottom/>
      <diagonal/>
    </border>
    <border>
      <left/>
      <right style="medium">
        <color theme="4" tint="-0.499984740745262"/>
      </right>
      <top/>
      <bottom style="medium">
        <color theme="4" tint="-0.499984740745262"/>
      </bottom>
      <diagonal/>
    </border>
    <border>
      <left/>
      <right style="thin">
        <color auto="1"/>
      </right>
      <top/>
      <bottom/>
      <diagonal/>
    </border>
    <border>
      <left style="medium">
        <color theme="4" tint="-0.499984740745262"/>
      </left>
      <right style="medium">
        <color theme="4" tint="-0.499984740745262"/>
      </right>
      <top/>
      <bottom style="medium">
        <color theme="4" tint="-0.499984740745262"/>
      </bottom>
      <diagonal/>
    </border>
    <border>
      <left/>
      <right style="medium">
        <color theme="4" tint="-0.499984740745262"/>
      </right>
      <top style="medium">
        <color theme="4" tint="-0.499984740745262"/>
      </top>
      <bottom/>
      <diagonal/>
    </border>
    <border>
      <left style="medium">
        <color theme="4" tint="-0.499984740745262"/>
      </left>
      <right/>
      <top/>
      <bottom style="medium">
        <color theme="4" tint="-0.499984740745262"/>
      </bottom>
      <diagonal/>
    </border>
    <border>
      <left style="thin">
        <color auto="1"/>
      </left>
      <right style="thin">
        <color indexed="64"/>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62">
    <xf numFmtId="0" fontId="0" fillId="0" borderId="0" xfId="0"/>
    <xf numFmtId="0" fontId="0" fillId="2" borderId="0" xfId="0" applyFill="1"/>
    <xf numFmtId="0" fontId="2" fillId="2" borderId="0" xfId="0" applyFont="1" applyFill="1"/>
    <xf numFmtId="0" fontId="3" fillId="2" borderId="0" xfId="0" applyFont="1" applyFill="1" applyBorder="1" applyAlignment="1">
      <alignment vertical="center"/>
    </xf>
    <xf numFmtId="0" fontId="4" fillId="2" borderId="0" xfId="0" applyFont="1" applyFill="1"/>
    <xf numFmtId="0" fontId="4" fillId="2" borderId="4" xfId="0" applyFont="1" applyFill="1" applyBorder="1"/>
    <xf numFmtId="0" fontId="2" fillId="2" borderId="10" xfId="0" applyFont="1" applyFill="1" applyBorder="1"/>
    <xf numFmtId="0" fontId="4" fillId="2" borderId="10" xfId="0" applyFont="1" applyFill="1" applyBorder="1"/>
    <xf numFmtId="0" fontId="4" fillId="2" borderId="0" xfId="0" applyFont="1" applyFill="1" applyAlignment="1"/>
    <xf numFmtId="9" fontId="4" fillId="2" borderId="0" xfId="2" applyFont="1" applyFill="1"/>
    <xf numFmtId="9" fontId="5" fillId="2" borderId="0" xfId="2" applyFont="1" applyFill="1" applyBorder="1" applyAlignment="1">
      <alignment vertical="center" wrapText="1"/>
    </xf>
    <xf numFmtId="0" fontId="5" fillId="2" borderId="0" xfId="0" applyFont="1" applyFill="1" applyBorder="1" applyAlignment="1">
      <alignment vertical="center"/>
    </xf>
    <xf numFmtId="0" fontId="4" fillId="2" borderId="0" xfId="0" applyNumberFormat="1" applyFont="1" applyFill="1"/>
    <xf numFmtId="0" fontId="4" fillId="2" borderId="3" xfId="0" applyNumberFormat="1" applyFont="1" applyFill="1" applyBorder="1"/>
    <xf numFmtId="0" fontId="4" fillId="2" borderId="0" xfId="0" applyNumberFormat="1" applyFont="1" applyFill="1" applyBorder="1"/>
    <xf numFmtId="0" fontId="4" fillId="2" borderId="2" xfId="0" applyNumberFormat="1" applyFont="1" applyFill="1" applyBorder="1"/>
    <xf numFmtId="0" fontId="4" fillId="2" borderId="12" xfId="0" applyFont="1" applyFill="1" applyBorder="1" applyAlignment="1">
      <alignment horizontal="left"/>
    </xf>
    <xf numFmtId="0" fontId="4" fillId="2" borderId="4" xfId="0" applyFont="1" applyFill="1" applyBorder="1" applyAlignment="1">
      <alignment horizontal="left"/>
    </xf>
    <xf numFmtId="0" fontId="4" fillId="2" borderId="9" xfId="0" applyFont="1" applyFill="1" applyBorder="1" applyAlignment="1">
      <alignment horizontal="left"/>
    </xf>
    <xf numFmtId="0" fontId="7" fillId="2" borderId="0" xfId="0" applyFont="1" applyFill="1" applyBorder="1" applyAlignment="1">
      <alignment vertical="center" wrapText="1"/>
    </xf>
    <xf numFmtId="0" fontId="8" fillId="2" borderId="0" xfId="0" applyFont="1" applyFill="1" applyBorder="1"/>
    <xf numFmtId="0" fontId="8" fillId="2" borderId="2" xfId="0" applyFont="1" applyFill="1" applyBorder="1" applyAlignment="1">
      <alignment wrapText="1"/>
    </xf>
    <xf numFmtId="0" fontId="8" fillId="2" borderId="0" xfId="0" applyFont="1" applyFill="1" applyBorder="1" applyAlignment="1">
      <alignment wrapText="1"/>
    </xf>
    <xf numFmtId="0" fontId="7" fillId="2" borderId="4" xfId="0" applyFont="1" applyFill="1" applyBorder="1" applyAlignment="1">
      <alignment vertical="center" wrapText="1"/>
    </xf>
    <xf numFmtId="0" fontId="7" fillId="2" borderId="6" xfId="0" applyFont="1" applyFill="1" applyBorder="1" applyAlignment="1">
      <alignment vertical="center" wrapText="1"/>
    </xf>
    <xf numFmtId="0" fontId="8" fillId="2" borderId="5" xfId="0" applyFont="1" applyFill="1" applyBorder="1"/>
    <xf numFmtId="165" fontId="7" fillId="2" borderId="0" xfId="1" applyNumberFormat="1" applyFont="1" applyFill="1" applyBorder="1" applyAlignment="1">
      <alignment vertical="center" wrapText="1"/>
    </xf>
    <xf numFmtId="0" fontId="8" fillId="2" borderId="13" xfId="0" applyFont="1" applyFill="1" applyBorder="1"/>
    <xf numFmtId="0" fontId="7" fillId="2" borderId="7" xfId="0" applyFont="1" applyFill="1" applyBorder="1" applyAlignment="1">
      <alignment vertical="center" wrapText="1"/>
    </xf>
    <xf numFmtId="0" fontId="8" fillId="2" borderId="12" xfId="0" applyFont="1" applyFill="1" applyBorder="1"/>
    <xf numFmtId="0" fontId="8" fillId="2" borderId="8" xfId="0" applyFont="1" applyFill="1" applyBorder="1" applyAlignment="1">
      <alignment wrapText="1"/>
    </xf>
    <xf numFmtId="165" fontId="8" fillId="2" borderId="7" xfId="1" applyNumberFormat="1" applyFont="1" applyFill="1" applyBorder="1"/>
    <xf numFmtId="0" fontId="8" fillId="2" borderId="0" xfId="0" quotePrefix="1" applyFont="1" applyFill="1" applyBorder="1" applyAlignment="1">
      <alignment wrapText="1"/>
    </xf>
    <xf numFmtId="0" fontId="9" fillId="2" borderId="0" xfId="0" quotePrefix="1" applyFont="1" applyFill="1" applyBorder="1" applyAlignment="1"/>
    <xf numFmtId="0" fontId="7" fillId="2" borderId="3" xfId="0" applyFont="1" applyFill="1" applyBorder="1" applyAlignment="1">
      <alignment vertical="center" wrapText="1"/>
    </xf>
    <xf numFmtId="0" fontId="7" fillId="2" borderId="8" xfId="0" applyFont="1" applyFill="1" applyBorder="1" applyAlignment="1">
      <alignment vertical="center" wrapText="1"/>
    </xf>
    <xf numFmtId="165" fontId="7" fillId="2" borderId="3" xfId="1" applyNumberFormat="1" applyFont="1" applyFill="1" applyBorder="1" applyAlignment="1">
      <alignment vertical="center" wrapText="1"/>
    </xf>
    <xf numFmtId="0" fontId="8" fillId="2" borderId="4" xfId="0" applyFont="1" applyFill="1" applyBorder="1"/>
    <xf numFmtId="0" fontId="8" fillId="2" borderId="7" xfId="0" applyFont="1" applyFill="1" applyBorder="1"/>
    <xf numFmtId="0" fontId="8" fillId="2" borderId="9" xfId="0" applyFont="1" applyFill="1" applyBorder="1"/>
    <xf numFmtId="0" fontId="8" fillId="2" borderId="11" xfId="0" applyFont="1" applyFill="1" applyBorder="1"/>
    <xf numFmtId="0" fontId="10" fillId="2" borderId="0" xfId="0" applyFont="1" applyFill="1" applyBorder="1"/>
    <xf numFmtId="0" fontId="10" fillId="2" borderId="0" xfId="0" applyFont="1" applyFill="1" applyBorder="1" applyAlignment="1">
      <alignment wrapText="1"/>
    </xf>
    <xf numFmtId="0" fontId="11" fillId="2" borderId="0" xfId="0" applyFont="1" applyFill="1"/>
    <xf numFmtId="0" fontId="11" fillId="2" borderId="10" xfId="0" applyFont="1" applyFill="1" applyBorder="1"/>
    <xf numFmtId="0" fontId="12" fillId="2" borderId="0" xfId="0" applyFont="1" applyFill="1" applyBorder="1" applyAlignment="1">
      <alignment vertical="center"/>
    </xf>
    <xf numFmtId="0" fontId="8" fillId="2" borderId="0" xfId="0" applyFont="1" applyFill="1"/>
    <xf numFmtId="0" fontId="8" fillId="2" borderId="10" xfId="0" applyFont="1" applyFill="1" applyBorder="1"/>
    <xf numFmtId="0" fontId="8" fillId="2" borderId="0" xfId="0" applyFont="1" applyFill="1" applyAlignment="1"/>
    <xf numFmtId="0" fontId="3" fillId="2" borderId="14" xfId="0" applyFont="1" applyFill="1" applyBorder="1" applyAlignment="1">
      <alignment vertical="center"/>
    </xf>
    <xf numFmtId="0" fontId="5" fillId="2" borderId="14" xfId="0" applyFont="1" applyFill="1" applyBorder="1" applyAlignment="1">
      <alignment vertical="center"/>
    </xf>
    <xf numFmtId="0" fontId="2" fillId="2" borderId="0" xfId="0" applyFont="1" applyFill="1" applyAlignment="1">
      <alignment wrapText="1"/>
    </xf>
    <xf numFmtId="0" fontId="4" fillId="2" borderId="1" xfId="0" applyFont="1" applyFill="1" applyBorder="1" applyAlignment="1">
      <alignment horizontal="left" vertical="top" wrapText="1"/>
    </xf>
    <xf numFmtId="0" fontId="4" fillId="2" borderId="1" xfId="0" applyFont="1" applyFill="1" applyBorder="1" applyAlignment="1">
      <alignment horizontal="left" vertical="top"/>
    </xf>
    <xf numFmtId="0" fontId="4" fillId="2" borderId="0" xfId="0" applyFont="1" applyFill="1" applyAlignment="1">
      <alignment horizontal="center" wrapText="1"/>
    </xf>
    <xf numFmtId="0" fontId="8" fillId="2" borderId="1" xfId="0" applyFont="1" applyFill="1" applyBorder="1" applyAlignment="1">
      <alignment horizontal="left" vertical="top" wrapText="1"/>
    </xf>
    <xf numFmtId="0" fontId="8" fillId="2" borderId="1" xfId="0" applyFont="1" applyFill="1" applyBorder="1" applyAlignment="1">
      <alignment horizontal="left" vertical="top"/>
    </xf>
    <xf numFmtId="0" fontId="8" fillId="2" borderId="0" xfId="0" applyFont="1" applyFill="1" applyAlignment="1">
      <alignment horizontal="center" wrapText="1"/>
    </xf>
    <xf numFmtId="0" fontId="8" fillId="2" borderId="0" xfId="0" applyFont="1" applyFill="1" applyBorder="1" applyAlignment="1">
      <alignment horizontal="left" vertical="top" wrapText="1"/>
    </xf>
    <xf numFmtId="0" fontId="8" fillId="2" borderId="2" xfId="0" applyFont="1" applyFill="1" applyBorder="1"/>
    <xf numFmtId="0" fontId="8" fillId="2" borderId="9" xfId="0" applyFont="1" applyFill="1" applyBorder="1"/>
    <xf numFmtId="0" fontId="8" fillId="2" borderId="0" xfId="0" applyFont="1" applyFill="1" applyBorder="1" applyAlignment="1">
      <alignment vertical="top" wrapText="1"/>
    </xf>
  </cellXfs>
  <cellStyles count="3">
    <cellStyle name="Comma" xfId="1" builtinId="3"/>
    <cellStyle name="Normal" xfId="0" builtinId="0"/>
    <cellStyle name="Percent" xfId="2" builtinId="5"/>
  </cellStyles>
  <dxfs count="19">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right style="medium">
          <color theme="4" tint="-0.499984740745262"/>
        </right>
      </border>
    </dxf>
    <dxf>
      <border>
        <right style="medium">
          <color theme="4" tint="-0.499984740745262"/>
        </right>
      </border>
    </dxf>
    <dxf>
      <border>
        <right style="medium">
          <color theme="4" tint="-0.499984740745262"/>
        </right>
      </border>
    </dxf>
    <dxf>
      <border>
        <top style="medium">
          <color theme="4" tint="-0.499984740745262"/>
        </top>
        <bottom style="medium">
          <color theme="4" tint="-0.499984740745262"/>
        </bottom>
      </border>
    </dxf>
    <dxf>
      <font>
        <b/>
      </font>
    </dxf>
    <dxf>
      <font>
        <color theme="4" tint="-0.499984740745262"/>
      </font>
    </dxf>
    <dxf>
      <fill>
        <patternFill>
          <bgColor theme="0"/>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9</xdr:col>
      <xdr:colOff>390525</xdr:colOff>
      <xdr:row>25</xdr:row>
      <xdr:rowOff>171450</xdr:rowOff>
    </xdr:from>
    <xdr:to>
      <xdr:col>10</xdr:col>
      <xdr:colOff>133350</xdr:colOff>
      <xdr:row>36</xdr:row>
      <xdr:rowOff>95250</xdr:rowOff>
    </xdr:to>
    <xdr:cxnSp macro="">
      <xdr:nvCxnSpPr>
        <xdr:cNvPr id="3" name="Straight Arrow Connector 2">
          <a:extLst>
            <a:ext uri="{FF2B5EF4-FFF2-40B4-BE49-F238E27FC236}">
              <a16:creationId xmlns:a16="http://schemas.microsoft.com/office/drawing/2014/main" id="{682039DA-BAB3-4D5F-8268-929205B605EA}"/>
            </a:ext>
          </a:extLst>
        </xdr:cNvPr>
        <xdr:cNvCxnSpPr/>
      </xdr:nvCxnSpPr>
      <xdr:spPr>
        <a:xfrm>
          <a:off x="6629400" y="5000625"/>
          <a:ext cx="266700" cy="2019300"/>
        </a:xfrm>
        <a:prstGeom prst="straightConnector1">
          <a:avLst/>
        </a:prstGeom>
        <a:ln>
          <a:tailEnd type="triangle"/>
        </a:ln>
        <a:scene3d>
          <a:camera prst="orthographicFront"/>
          <a:lightRig rig="threePt" dir="t"/>
        </a:scene3d>
        <a:sp3d>
          <a:bevelT w="101600" prst="riblet"/>
        </a:sp3d>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600075</xdr:colOff>
      <xdr:row>25</xdr:row>
      <xdr:rowOff>161925</xdr:rowOff>
    </xdr:from>
    <xdr:to>
      <xdr:col>12</xdr:col>
      <xdr:colOff>714375</xdr:colOff>
      <xdr:row>33</xdr:row>
      <xdr:rowOff>76200</xdr:rowOff>
    </xdr:to>
    <xdr:cxnSp macro="">
      <xdr:nvCxnSpPr>
        <xdr:cNvPr id="4" name="Straight Arrow Connector 3">
          <a:extLst>
            <a:ext uri="{FF2B5EF4-FFF2-40B4-BE49-F238E27FC236}">
              <a16:creationId xmlns:a16="http://schemas.microsoft.com/office/drawing/2014/main" id="{E07C897C-B942-4130-9FD3-72FC922D6D6F}"/>
            </a:ext>
          </a:extLst>
        </xdr:cNvPr>
        <xdr:cNvCxnSpPr/>
      </xdr:nvCxnSpPr>
      <xdr:spPr>
        <a:xfrm>
          <a:off x="7362825" y="4991100"/>
          <a:ext cx="1619250" cy="1438275"/>
        </a:xfrm>
        <a:prstGeom prst="straightConnector1">
          <a:avLst/>
        </a:prstGeom>
        <a:ln>
          <a:tailEnd type="triangle"/>
        </a:ln>
        <a:scene3d>
          <a:camera prst="orthographicFront"/>
          <a:lightRig rig="threePt" dir="t"/>
        </a:scene3d>
        <a:sp3d>
          <a:bevelT w="101600" prst="riblet"/>
        </a:sp3d>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85725</xdr:colOff>
      <xdr:row>26</xdr:row>
      <xdr:rowOff>0</xdr:rowOff>
    </xdr:from>
    <xdr:to>
      <xdr:col>11</xdr:col>
      <xdr:colOff>161924</xdr:colOff>
      <xdr:row>31</xdr:row>
      <xdr:rowOff>19050</xdr:rowOff>
    </xdr:to>
    <xdr:cxnSp macro="">
      <xdr:nvCxnSpPr>
        <xdr:cNvPr id="9" name="Straight Arrow Connector 8">
          <a:extLst>
            <a:ext uri="{FF2B5EF4-FFF2-40B4-BE49-F238E27FC236}">
              <a16:creationId xmlns:a16="http://schemas.microsoft.com/office/drawing/2014/main" id="{78B29EC7-168A-4E0A-BEB7-5E55270FD0A1}"/>
            </a:ext>
          </a:extLst>
        </xdr:cNvPr>
        <xdr:cNvCxnSpPr/>
      </xdr:nvCxnSpPr>
      <xdr:spPr>
        <a:xfrm flipH="1" flipV="1">
          <a:off x="6819900" y="5019675"/>
          <a:ext cx="76199" cy="971550"/>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12</xdr:col>
      <xdr:colOff>95251</xdr:colOff>
      <xdr:row>26</xdr:row>
      <xdr:rowOff>0</xdr:rowOff>
    </xdr:from>
    <xdr:to>
      <xdr:col>14</xdr:col>
      <xdr:colOff>38100</xdr:colOff>
      <xdr:row>29</xdr:row>
      <xdr:rowOff>114300</xdr:rowOff>
    </xdr:to>
    <xdr:cxnSp macro="">
      <xdr:nvCxnSpPr>
        <xdr:cNvPr id="10" name="Straight Arrow Connector 9">
          <a:extLst>
            <a:ext uri="{FF2B5EF4-FFF2-40B4-BE49-F238E27FC236}">
              <a16:creationId xmlns:a16="http://schemas.microsoft.com/office/drawing/2014/main" id="{1E1DB794-54DC-4965-BD48-F8AA7AC3AB3A}"/>
            </a:ext>
          </a:extLst>
        </xdr:cNvPr>
        <xdr:cNvCxnSpPr/>
      </xdr:nvCxnSpPr>
      <xdr:spPr>
        <a:xfrm flipH="1" flipV="1">
          <a:off x="7439026" y="5019675"/>
          <a:ext cx="1295399" cy="685800"/>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657225</xdr:colOff>
      <xdr:row>7</xdr:row>
      <xdr:rowOff>57150</xdr:rowOff>
    </xdr:from>
    <xdr:to>
      <xdr:col>7</xdr:col>
      <xdr:colOff>590550</xdr:colOff>
      <xdr:row>12</xdr:row>
      <xdr:rowOff>19050</xdr:rowOff>
    </xdr:to>
    <xdr:cxnSp macro="">
      <xdr:nvCxnSpPr>
        <xdr:cNvPr id="3" name="Straight Arrow Connector 2">
          <a:extLst>
            <a:ext uri="{FF2B5EF4-FFF2-40B4-BE49-F238E27FC236}">
              <a16:creationId xmlns:a16="http://schemas.microsoft.com/office/drawing/2014/main" id="{C299817C-13BC-47C9-AB7E-D4F6B7072B00}"/>
            </a:ext>
          </a:extLst>
        </xdr:cNvPr>
        <xdr:cNvCxnSpPr/>
      </xdr:nvCxnSpPr>
      <xdr:spPr>
        <a:xfrm>
          <a:off x="4267200" y="1476375"/>
          <a:ext cx="685800" cy="1019175"/>
        </a:xfrm>
        <a:prstGeom prst="straightConnector1">
          <a:avLst/>
        </a:prstGeom>
        <a:ln>
          <a:tailEnd type="triangle"/>
        </a:ln>
        <a:scene3d>
          <a:camera prst="orthographicFront"/>
          <a:lightRig rig="threePt" dir="t"/>
        </a:scene3d>
        <a:sp3d>
          <a:bevelT w="139700" h="139700" prst="divot"/>
        </a:sp3d>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704850</xdr:colOff>
      <xdr:row>12</xdr:row>
      <xdr:rowOff>247650</xdr:rowOff>
    </xdr:from>
    <xdr:to>
      <xdr:col>8</xdr:col>
      <xdr:colOff>9525</xdr:colOff>
      <xdr:row>14</xdr:row>
      <xdr:rowOff>276225</xdr:rowOff>
    </xdr:to>
    <xdr:cxnSp macro="">
      <xdr:nvCxnSpPr>
        <xdr:cNvPr id="5" name="Straight Arrow Connector 4">
          <a:extLst>
            <a:ext uri="{FF2B5EF4-FFF2-40B4-BE49-F238E27FC236}">
              <a16:creationId xmlns:a16="http://schemas.microsoft.com/office/drawing/2014/main" id="{59BB29EF-FC39-4448-B2AB-7287DC38F039}"/>
            </a:ext>
          </a:extLst>
        </xdr:cNvPr>
        <xdr:cNvCxnSpPr/>
      </xdr:nvCxnSpPr>
      <xdr:spPr>
        <a:xfrm>
          <a:off x="4314825" y="2867025"/>
          <a:ext cx="666750" cy="609600"/>
        </a:xfrm>
        <a:prstGeom prst="straightConnector1">
          <a:avLst/>
        </a:prstGeom>
        <a:noFill/>
        <a:ln w="6350" cap="flat" cmpd="sng" algn="ctr">
          <a:solidFill>
            <a:sysClr val="windowText" lastClr="000000"/>
          </a:solidFill>
          <a:prstDash val="solid"/>
          <a:miter lim="800000"/>
          <a:tailEnd type="triangle"/>
        </a:ln>
        <a:effectLst/>
        <a:scene3d>
          <a:camera prst="orthographicFront"/>
          <a:lightRig rig="threePt" dir="t"/>
        </a:scene3d>
        <a:sp3d>
          <a:bevelT w="139700" h="139700" prst="divot"/>
        </a:sp3d>
      </xdr:spPr>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149.703476967596" createdVersion="6" refreshedVersion="6" minRefreshableVersion="3" recordCount="26" xr:uid="{40453CD8-73FF-404B-9C1E-3F6631790F9A}">
  <cacheSource type="worksheet">
    <worksheetSource ref="B1:L1048576" sheet="Solution2"/>
  </cacheSource>
  <cacheFields count="11">
    <cacheField name="RollNo" numFmtId="0">
      <sharedItems containsBlank="1"/>
    </cacheField>
    <cacheField name="Name" numFmtId="0">
      <sharedItems containsBlank="1"/>
    </cacheField>
    <cacheField name="Section" numFmtId="0">
      <sharedItems containsBlank="1"/>
    </cacheField>
    <cacheField name="Gender" numFmtId="0">
      <sharedItems containsBlank="1"/>
    </cacheField>
    <cacheField name="Stream" numFmtId="0">
      <sharedItems containsBlank="1"/>
    </cacheField>
    <cacheField name="Education" numFmtId="0">
      <sharedItems containsBlank="1"/>
    </cacheField>
    <cacheField name="TermV GPA" numFmtId="0">
      <sharedItems containsString="0" containsBlank="1" containsNumber="1" minValue="5" maxValue="9"/>
    </cacheField>
    <cacheField name="TermVI GPA" numFmtId="0">
      <sharedItems containsString="0" containsBlank="1" containsNumber="1" minValue="5.3" maxValue="9.6999999999999993"/>
    </cacheField>
    <cacheField name="*GPA" numFmtId="0">
      <sharedItems containsString="0" containsBlank="1" containsNumber="1" minValue="5.15" maxValue="9.35"/>
    </cacheField>
    <cacheField name="Result" numFmtId="0">
      <sharedItems containsBlank="1" count="5">
        <s v="A"/>
        <s v="A+"/>
        <s v="B"/>
        <s v="B+"/>
        <m/>
      </sharedItems>
    </cacheField>
    <cacheField name="Result1" numFmtId="0">
      <sharedItems containsBlank="1" count="5">
        <s v="A"/>
        <s v="A+"/>
        <s v="B"/>
        <s v="B+"/>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s v="FB01"/>
    <s v="ABC1"/>
    <s v="A"/>
    <s v="Male"/>
    <s v="MKTG"/>
    <s v="B.Tech"/>
    <n v="7.2"/>
    <n v="7.6"/>
    <n v="7.4"/>
    <x v="0"/>
    <x v="0"/>
  </r>
  <r>
    <s v="FB02"/>
    <s v="ABC2"/>
    <s v="A"/>
    <s v="Female"/>
    <s v="BA"/>
    <s v="BBA"/>
    <n v="7.1"/>
    <n v="7.5"/>
    <n v="7.3"/>
    <x v="0"/>
    <x v="0"/>
  </r>
  <r>
    <s v="FB03"/>
    <s v="ABC3"/>
    <s v="B"/>
    <s v="Male"/>
    <s v="FIN"/>
    <s v="B.Com"/>
    <n v="6.9"/>
    <n v="7.1"/>
    <n v="7"/>
    <x v="0"/>
    <x v="0"/>
  </r>
  <r>
    <s v="FB04"/>
    <s v="ABC4"/>
    <s v="B"/>
    <s v="Male"/>
    <s v="HR"/>
    <s v="B.Sc"/>
    <n v="8.1"/>
    <n v="9"/>
    <n v="8.5500000000000007"/>
    <x v="1"/>
    <x v="1"/>
  </r>
  <r>
    <s v="FB05"/>
    <s v="ABC5"/>
    <s v="C"/>
    <s v="Female"/>
    <s v="OPS"/>
    <s v="B.Tech"/>
    <n v="5"/>
    <n v="5.3"/>
    <n v="5.15"/>
    <x v="2"/>
    <x v="2"/>
  </r>
  <r>
    <s v="FB06"/>
    <s v="ABC6"/>
    <s v="A"/>
    <s v="Female"/>
    <s v="MKTG"/>
    <s v="B.Tech"/>
    <n v="8.1"/>
    <n v="7.5"/>
    <n v="7.8"/>
    <x v="0"/>
    <x v="0"/>
  </r>
  <r>
    <s v="FB07"/>
    <s v="ABC7"/>
    <s v="A"/>
    <s v="Male"/>
    <s v="MKTG"/>
    <s v="B.Com"/>
    <n v="7.6"/>
    <n v="7.7"/>
    <n v="7.65"/>
    <x v="0"/>
    <x v="0"/>
  </r>
  <r>
    <s v="FB08"/>
    <s v="ABC8"/>
    <s v="B"/>
    <s v="Male"/>
    <s v="BA"/>
    <s v="B.Com"/>
    <n v="7.6"/>
    <n v="7.1"/>
    <n v="7.35"/>
    <x v="0"/>
    <x v="0"/>
  </r>
  <r>
    <s v="FB09"/>
    <s v="ABC9"/>
    <s v="B"/>
    <s v="Male"/>
    <s v="BA"/>
    <s v="B.Com"/>
    <n v="8.9"/>
    <n v="8"/>
    <n v="8.4499999999999993"/>
    <x v="1"/>
    <x v="1"/>
  </r>
  <r>
    <s v="FB10"/>
    <s v="ABC10"/>
    <s v="C"/>
    <s v="Male"/>
    <s v="FIN"/>
    <s v="B.Sc"/>
    <n v="9"/>
    <n v="9.6999999999999993"/>
    <n v="9.35"/>
    <x v="1"/>
    <x v="1"/>
  </r>
  <r>
    <s v="FB11"/>
    <s v="ABC11"/>
    <s v="C"/>
    <s v="Female"/>
    <s v="FIN"/>
    <s v="B.Tech"/>
    <n v="5.6"/>
    <n v="7.6"/>
    <n v="6.6"/>
    <x v="3"/>
    <x v="3"/>
  </r>
  <r>
    <s v="FB12"/>
    <s v="ABC12"/>
    <s v="C"/>
    <s v="Male"/>
    <s v="HR"/>
    <s v="B.Tech"/>
    <n v="7"/>
    <n v="7.6"/>
    <n v="7.3"/>
    <x v="0"/>
    <x v="0"/>
  </r>
  <r>
    <s v="FB13"/>
    <s v="ABC13"/>
    <s v="A"/>
    <s v="Female"/>
    <s v="HR"/>
    <s v="B.Tech"/>
    <n v="7.2"/>
    <n v="8.9"/>
    <n v="8.0500000000000007"/>
    <x v="1"/>
    <x v="1"/>
  </r>
  <r>
    <s v="FB14"/>
    <s v="ABC14"/>
    <s v="A"/>
    <s v="Female"/>
    <s v="OPS"/>
    <s v="B.Com"/>
    <n v="7.1"/>
    <n v="9"/>
    <n v="8.0500000000000007"/>
    <x v="1"/>
    <x v="1"/>
  </r>
  <r>
    <s v="FB15"/>
    <s v="ABC15"/>
    <s v="C"/>
    <s v="Female"/>
    <s v="MKTG"/>
    <s v="B.Com"/>
    <n v="6.9"/>
    <n v="5.6"/>
    <n v="6.25"/>
    <x v="3"/>
    <x v="3"/>
  </r>
  <r>
    <s v="FB16"/>
    <s v="ABC16"/>
    <s v="C"/>
    <s v="Male"/>
    <s v="BA"/>
    <s v="BBA"/>
    <n v="8.1"/>
    <n v="8.5"/>
    <n v="8.3000000000000007"/>
    <x v="1"/>
    <x v="1"/>
  </r>
  <r>
    <s v="FB17"/>
    <s v="ABC17"/>
    <s v="C"/>
    <s v="Female"/>
    <s v="BA"/>
    <s v="BBA"/>
    <n v="7.6"/>
    <n v="8.6"/>
    <n v="8.1"/>
    <x v="1"/>
    <x v="1"/>
  </r>
  <r>
    <s v="FB18"/>
    <s v="ABC18"/>
    <s v="B"/>
    <s v="Female"/>
    <s v="BA"/>
    <s v="B.Sc"/>
    <n v="7.6"/>
    <n v="8.1999999999999993"/>
    <n v="7.8999999999999995"/>
    <x v="0"/>
    <x v="0"/>
  </r>
  <r>
    <s v="FB19"/>
    <s v="ABC19"/>
    <s v="A"/>
    <s v="Male"/>
    <s v="OPS"/>
    <s v="BBA"/>
    <n v="8.9"/>
    <n v="9.1999999999999993"/>
    <n v="9.0500000000000007"/>
    <x v="1"/>
    <x v="1"/>
  </r>
  <r>
    <s v="FB20"/>
    <s v="ABC20"/>
    <s v="B"/>
    <s v="Male"/>
    <s v="MKTG"/>
    <s v="B.Tech"/>
    <n v="9"/>
    <n v="9.5"/>
    <n v="9.25"/>
    <x v="1"/>
    <x v="1"/>
  </r>
  <r>
    <s v="FB21"/>
    <s v="ABC21"/>
    <s v="B"/>
    <s v="Female"/>
    <s v="HR"/>
    <s v="B.Tech"/>
    <n v="5.6"/>
    <n v="5.9"/>
    <n v="5.75"/>
    <x v="2"/>
    <x v="2"/>
  </r>
  <r>
    <s v="FB22"/>
    <s v="ABC22"/>
    <s v="B"/>
    <s v="Female"/>
    <s v="FIN"/>
    <s v="B.Com"/>
    <n v="7"/>
    <n v="7.5"/>
    <n v="7.25"/>
    <x v="0"/>
    <x v="0"/>
  </r>
  <r>
    <s v="FB23"/>
    <s v="ABC23"/>
    <s v="C"/>
    <s v="Female"/>
    <s v="OPS"/>
    <s v="B.Com"/>
    <n v="9"/>
    <n v="9.1999999999999993"/>
    <n v="9.1"/>
    <x v="1"/>
    <x v="1"/>
  </r>
  <r>
    <s v="FB24"/>
    <s v="ABC24"/>
    <s v="B"/>
    <s v="Male"/>
    <s v="MKTG"/>
    <s v="B.Sc"/>
    <n v="5.6"/>
    <n v="7.1"/>
    <n v="6.35"/>
    <x v="3"/>
    <x v="3"/>
  </r>
  <r>
    <s v="FB25"/>
    <s v="ABC25"/>
    <s v="A"/>
    <s v="Male"/>
    <s v="BA"/>
    <s v="B.Tech"/>
    <n v="7"/>
    <n v="8"/>
    <n v="7.5"/>
    <x v="0"/>
    <x v="0"/>
  </r>
  <r>
    <m/>
    <m/>
    <m/>
    <m/>
    <m/>
    <m/>
    <m/>
    <m/>
    <m/>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911082-4E9F-4732-A1C9-644A1A862D8F}"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ult1" colHeaderCaption="Result">
  <location ref="A3:F9" firstHeaderRow="1" firstDataRow="2" firstDataCol="1"/>
  <pivotFields count="11">
    <pivotField showAll="0"/>
    <pivotField showAll="0"/>
    <pivotField showAll="0"/>
    <pivotField showAll="0"/>
    <pivotField showAll="0"/>
    <pivotField showAll="0"/>
    <pivotField showAll="0"/>
    <pivotField showAll="0"/>
    <pivotField showAll="0"/>
    <pivotField axis="axisCol" dataField="1" showAll="0">
      <items count="6">
        <item x="0"/>
        <item x="1"/>
        <item x="2"/>
        <item x="3"/>
        <item h="1" x="4"/>
        <item t="default"/>
      </items>
    </pivotField>
    <pivotField axis="axisRow" showAll="0">
      <items count="6">
        <item x="0"/>
        <item x="1"/>
        <item x="2"/>
        <item x="3"/>
        <item h="1" x="4"/>
        <item t="default"/>
      </items>
    </pivotField>
  </pivotFields>
  <rowFields count="1">
    <field x="10"/>
  </rowFields>
  <rowItems count="5">
    <i>
      <x/>
    </i>
    <i>
      <x v="1"/>
    </i>
    <i>
      <x v="2"/>
    </i>
    <i>
      <x v="3"/>
    </i>
    <i t="grand">
      <x/>
    </i>
  </rowItems>
  <colFields count="1">
    <field x="9"/>
  </colFields>
  <colItems count="5">
    <i>
      <x/>
    </i>
    <i>
      <x v="1"/>
    </i>
    <i>
      <x v="2"/>
    </i>
    <i>
      <x v="3"/>
    </i>
    <i t="grand">
      <x/>
    </i>
  </colItems>
  <dataFields count="1">
    <dataField name="Count of Result" fld="9" subtotal="count" baseField="0" baseItem="0"/>
  </dataFields>
  <formats count="19">
    <format dxfId="18">
      <pivotArea type="all" dataOnly="0" outline="0" fieldPosition="0"/>
    </format>
    <format dxfId="17">
      <pivotArea dataOnly="0" labelOnly="1" grandRow="1" outline="0" fieldPosition="0"/>
    </format>
    <format dxfId="16">
      <pivotArea dataOnly="0" labelOnly="1" outline="0" axis="axisValues" fieldPosition="0"/>
    </format>
    <format dxfId="15">
      <pivotArea type="all" dataOnly="0" outline="0" fieldPosition="0"/>
    </format>
    <format dxfId="14">
      <pivotArea type="all" dataOnly="0" outline="0" fieldPosition="0"/>
    </format>
    <format dxfId="13">
      <pivotArea dataOnly="0" fieldPosition="0">
        <references count="1">
          <reference field="10" count="0"/>
        </references>
      </pivotArea>
    </format>
    <format dxfId="12">
      <pivotArea field="10" type="button" dataOnly="0" labelOnly="1" outline="0" axis="axisRow" fieldPosition="0"/>
    </format>
    <format dxfId="11">
      <pivotArea dataOnly="0" labelOnly="1" fieldPosition="0">
        <references count="1">
          <reference field="10" count="0"/>
        </references>
      </pivotArea>
    </format>
    <format dxfId="10">
      <pivotArea dataOnly="0" labelOnly="1" grandRow="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9" type="button" dataOnly="0" labelOnly="1" outline="0" axis="axisCol" fieldPosition="0"/>
    </format>
    <format dxfId="5">
      <pivotArea type="topRight" dataOnly="0" labelOnly="1" outline="0" fieldPosition="0"/>
    </format>
    <format dxfId="4">
      <pivotArea field="10" type="button" dataOnly="0" labelOnly="1" outline="0" axis="axisRow" fieldPosition="0"/>
    </format>
    <format dxfId="3">
      <pivotArea dataOnly="0" labelOnly="1" fieldPosition="0">
        <references count="1">
          <reference field="10" count="0"/>
        </references>
      </pivotArea>
    </format>
    <format dxfId="2">
      <pivotArea dataOnly="0" labelOnly="1" grandRow="1" outline="0" fieldPosition="0"/>
    </format>
    <format dxfId="1">
      <pivotArea dataOnly="0" labelOnly="1" fieldPosition="0">
        <references count="1">
          <reference field="9"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40"/>
  <sheetViews>
    <sheetView workbookViewId="0">
      <pane ySplit="1" topLeftCell="A8" activePane="bottomLeft" state="frozen"/>
      <selection pane="bottomLeft" activeCell="J2" sqref="J2"/>
    </sheetView>
  </sheetViews>
  <sheetFormatPr defaultRowHeight="15" x14ac:dyDescent="0.25"/>
  <cols>
    <col min="1" max="1" width="2" style="4" customWidth="1"/>
    <col min="2" max="2" width="8.42578125" style="4" bestFit="1" customWidth="1"/>
    <col min="3" max="3" width="7.140625" style="4" bestFit="1" customWidth="1"/>
    <col min="4" max="5" width="8.85546875" style="4" bestFit="1" customWidth="1"/>
    <col min="6" max="6" width="8.5703125" style="4" bestFit="1" customWidth="1"/>
    <col min="7" max="7" width="11.5703125" style="4" bestFit="1" customWidth="1"/>
    <col min="8" max="8" width="11" style="4" customWidth="1"/>
    <col min="9" max="9" width="4.85546875" style="4" bestFit="1" customWidth="1"/>
    <col min="10" max="10" width="5.5703125" style="4" bestFit="1" customWidth="1"/>
    <col min="11" max="11" width="5.85546875" style="4" bestFit="1" customWidth="1"/>
    <col min="12" max="12" width="11.140625" style="4" bestFit="1" customWidth="1"/>
    <col min="13" max="13" width="19" style="8" bestFit="1" customWidth="1"/>
    <col min="14" max="14" width="7.7109375" style="4" bestFit="1" customWidth="1"/>
    <col min="15" max="16384" width="9.140625" style="4"/>
  </cols>
  <sheetData>
    <row r="1" spans="2:15" s="2" customFormat="1" ht="30" x14ac:dyDescent="0.25">
      <c r="B1" s="2" t="s">
        <v>0</v>
      </c>
      <c r="C1" s="2" t="s">
        <v>1</v>
      </c>
      <c r="D1" s="2" t="s">
        <v>2</v>
      </c>
      <c r="E1" s="2" t="s">
        <v>3</v>
      </c>
      <c r="F1" s="2" t="s">
        <v>4</v>
      </c>
      <c r="G1" s="2" t="s">
        <v>5</v>
      </c>
      <c r="H1" s="51" t="s">
        <v>6</v>
      </c>
      <c r="I1" s="2" t="s">
        <v>94</v>
      </c>
      <c r="J1" s="2" t="s">
        <v>95</v>
      </c>
      <c r="K1" s="2" t="s">
        <v>113</v>
      </c>
      <c r="L1" s="6" t="s">
        <v>98</v>
      </c>
      <c r="M1" s="49" t="s">
        <v>7</v>
      </c>
      <c r="N1" s="3" t="s">
        <v>8</v>
      </c>
    </row>
    <row r="2" spans="2:15" ht="15.75" x14ac:dyDescent="0.25">
      <c r="B2" s="4" t="s">
        <v>9</v>
      </c>
      <c r="C2" s="4" t="s">
        <v>10</v>
      </c>
      <c r="D2" s="4" t="s">
        <v>11</v>
      </c>
      <c r="E2" s="4" t="s">
        <v>12</v>
      </c>
      <c r="F2" s="4" t="s">
        <v>13</v>
      </c>
      <c r="G2" s="4" t="s">
        <v>14</v>
      </c>
      <c r="H2" s="4">
        <v>5000</v>
      </c>
      <c r="I2" s="9">
        <f>VLOOKUP(H2,$L$1:$N$6,3,TRUE)</f>
        <v>0.1</v>
      </c>
      <c r="J2" s="9">
        <f>IF(H2&gt;9001,$N$6,IF(H2&gt;7001,$N$5,IF(H2&gt;5001,$N$4,IF(H2&gt;3001,$N$3,$N$2))))</f>
        <v>0.1</v>
      </c>
      <c r="K2" s="9">
        <f>IF(H2&lt;=3000,$N$2,IF(H2&lt;=5000,$N$3,IF(H2&lt;=7000,$N$4,IF(H2&lt;=9000,$N$5,$N$6))))</f>
        <v>0.1</v>
      </c>
      <c r="L2" s="7">
        <v>0</v>
      </c>
      <c r="M2" s="50" t="s">
        <v>15</v>
      </c>
      <c r="N2" s="10">
        <v>0</v>
      </c>
    </row>
    <row r="3" spans="2:15" ht="15.75" x14ac:dyDescent="0.25">
      <c r="B3" s="4" t="s">
        <v>16</v>
      </c>
      <c r="C3" s="4" t="s">
        <v>17</v>
      </c>
      <c r="D3" s="4" t="s">
        <v>11</v>
      </c>
      <c r="E3" s="4" t="s">
        <v>18</v>
      </c>
      <c r="F3" s="4" t="s">
        <v>19</v>
      </c>
      <c r="G3" s="4" t="s">
        <v>20</v>
      </c>
      <c r="H3" s="4">
        <v>4000</v>
      </c>
      <c r="I3" s="9">
        <f t="shared" ref="I3:I26" si="0">VLOOKUP(H3,$L$1:$N$6,3,TRUE)</f>
        <v>0.1</v>
      </c>
      <c r="J3" s="9">
        <f t="shared" ref="J3:J26" si="1">IF(H3&gt;9001,$N$6,IF(H3&gt;7001,$N$5,IF(H3&gt;5001,$N$4,IF(H3&gt;3001,$N$3,$N$2))))</f>
        <v>0.1</v>
      </c>
      <c r="K3" s="9">
        <f t="shared" ref="K3:K26" si="2">IF(H3&lt;=3000,$N$2,IF(H3&lt;=5000,$N$3,IF(H3&lt;=7000,$N$4,IF(H3&lt;=9000,$N$5,$N$6))))</f>
        <v>0.1</v>
      </c>
      <c r="L3" s="7">
        <v>3001</v>
      </c>
      <c r="M3" s="50" t="s">
        <v>96</v>
      </c>
      <c r="N3" s="10">
        <v>0.1</v>
      </c>
    </row>
    <row r="4" spans="2:15" ht="15.75" x14ac:dyDescent="0.25">
      <c r="B4" s="4" t="s">
        <v>21</v>
      </c>
      <c r="C4" s="4" t="s">
        <v>22</v>
      </c>
      <c r="D4" s="4" t="s">
        <v>23</v>
      </c>
      <c r="E4" s="4" t="s">
        <v>12</v>
      </c>
      <c r="F4" s="4" t="s">
        <v>24</v>
      </c>
      <c r="G4" s="4" t="s">
        <v>25</v>
      </c>
      <c r="H4" s="4">
        <v>6000</v>
      </c>
      <c r="I4" s="9">
        <f t="shared" si="0"/>
        <v>0.2</v>
      </c>
      <c r="J4" s="9">
        <f t="shared" si="1"/>
        <v>0.2</v>
      </c>
      <c r="K4" s="9">
        <f t="shared" si="2"/>
        <v>0.2</v>
      </c>
      <c r="L4" s="7">
        <v>5001</v>
      </c>
      <c r="M4" s="50" t="s">
        <v>26</v>
      </c>
      <c r="N4" s="10">
        <v>0.2</v>
      </c>
    </row>
    <row r="5" spans="2:15" ht="15.75" x14ac:dyDescent="0.25">
      <c r="B5" s="4" t="s">
        <v>27</v>
      </c>
      <c r="C5" s="4" t="s">
        <v>28</v>
      </c>
      <c r="D5" s="4" t="s">
        <v>23</v>
      </c>
      <c r="E5" s="4" t="s">
        <v>12</v>
      </c>
      <c r="F5" s="4" t="s">
        <v>29</v>
      </c>
      <c r="G5" s="4" t="s">
        <v>30</v>
      </c>
      <c r="H5" s="4">
        <v>10000</v>
      </c>
      <c r="I5" s="9">
        <f t="shared" si="0"/>
        <v>0.3</v>
      </c>
      <c r="J5" s="9">
        <f t="shared" si="1"/>
        <v>0.3</v>
      </c>
      <c r="K5" s="9">
        <f t="shared" si="2"/>
        <v>0.3</v>
      </c>
      <c r="L5" s="7">
        <v>7001</v>
      </c>
      <c r="M5" s="50" t="s">
        <v>31</v>
      </c>
      <c r="N5" s="10">
        <v>0.25</v>
      </c>
    </row>
    <row r="6" spans="2:15" ht="15.75" x14ac:dyDescent="0.25">
      <c r="B6" s="4" t="s">
        <v>32</v>
      </c>
      <c r="C6" s="4" t="s">
        <v>33</v>
      </c>
      <c r="D6" s="4" t="s">
        <v>34</v>
      </c>
      <c r="E6" s="4" t="s">
        <v>18</v>
      </c>
      <c r="F6" s="4" t="s">
        <v>35</v>
      </c>
      <c r="G6" s="4" t="s">
        <v>14</v>
      </c>
      <c r="H6" s="4">
        <v>4000</v>
      </c>
      <c r="I6" s="9">
        <f t="shared" si="0"/>
        <v>0.1</v>
      </c>
      <c r="J6" s="9">
        <f t="shared" si="1"/>
        <v>0.1</v>
      </c>
      <c r="K6" s="9">
        <f t="shared" si="2"/>
        <v>0.1</v>
      </c>
      <c r="L6" s="7">
        <v>9001</v>
      </c>
      <c r="M6" s="50" t="s">
        <v>97</v>
      </c>
      <c r="N6" s="10">
        <v>0.3</v>
      </c>
    </row>
    <row r="7" spans="2:15" x14ac:dyDescent="0.25">
      <c r="B7" s="4" t="s">
        <v>36</v>
      </c>
      <c r="C7" s="4" t="s">
        <v>37</v>
      </c>
      <c r="D7" s="4" t="s">
        <v>11</v>
      </c>
      <c r="E7" s="4" t="s">
        <v>18</v>
      </c>
      <c r="F7" s="4" t="s">
        <v>13</v>
      </c>
      <c r="G7" s="4" t="s">
        <v>14</v>
      </c>
      <c r="H7" s="4">
        <v>12000</v>
      </c>
      <c r="I7" s="9">
        <f t="shared" si="0"/>
        <v>0.3</v>
      </c>
      <c r="J7" s="9">
        <f t="shared" si="1"/>
        <v>0.3</v>
      </c>
      <c r="K7" s="9">
        <f t="shared" si="2"/>
        <v>0.3</v>
      </c>
    </row>
    <row r="8" spans="2:15" ht="15.75" x14ac:dyDescent="0.25">
      <c r="B8" s="4" t="s">
        <v>38</v>
      </c>
      <c r="C8" s="4" t="s">
        <v>39</v>
      </c>
      <c r="D8" s="4" t="s">
        <v>11</v>
      </c>
      <c r="E8" s="4" t="s">
        <v>12</v>
      </c>
      <c r="F8" s="4" t="s">
        <v>13</v>
      </c>
      <c r="G8" s="4" t="s">
        <v>25</v>
      </c>
      <c r="H8" s="4">
        <v>3000</v>
      </c>
      <c r="I8" s="9">
        <f t="shared" si="0"/>
        <v>0</v>
      </c>
      <c r="J8" s="9">
        <f t="shared" si="1"/>
        <v>0</v>
      </c>
      <c r="K8" s="9">
        <f t="shared" si="2"/>
        <v>0</v>
      </c>
      <c r="M8" s="11"/>
    </row>
    <row r="9" spans="2:15" x14ac:dyDescent="0.25">
      <c r="B9" s="4" t="s">
        <v>40</v>
      </c>
      <c r="C9" s="4" t="s">
        <v>41</v>
      </c>
      <c r="D9" s="4" t="s">
        <v>23</v>
      </c>
      <c r="E9" s="4" t="s">
        <v>12</v>
      </c>
      <c r="F9" s="4" t="s">
        <v>19</v>
      </c>
      <c r="G9" s="4" t="s">
        <v>25</v>
      </c>
      <c r="H9" s="4">
        <v>8000</v>
      </c>
      <c r="I9" s="9">
        <f t="shared" si="0"/>
        <v>0.25</v>
      </c>
      <c r="J9" s="9">
        <f t="shared" si="1"/>
        <v>0.25</v>
      </c>
      <c r="K9" s="9">
        <f t="shared" si="2"/>
        <v>0.25</v>
      </c>
    </row>
    <row r="10" spans="2:15" x14ac:dyDescent="0.25">
      <c r="B10" s="4" t="s">
        <v>42</v>
      </c>
      <c r="C10" s="4" t="s">
        <v>43</v>
      </c>
      <c r="D10" s="4" t="s">
        <v>23</v>
      </c>
      <c r="E10" s="4" t="s">
        <v>12</v>
      </c>
      <c r="F10" s="4" t="s">
        <v>19</v>
      </c>
      <c r="G10" s="4" t="s">
        <v>25</v>
      </c>
      <c r="H10" s="4">
        <v>7000</v>
      </c>
      <c r="I10" s="9">
        <f t="shared" si="0"/>
        <v>0.2</v>
      </c>
      <c r="J10" s="9">
        <f t="shared" si="1"/>
        <v>0.2</v>
      </c>
      <c r="K10" s="9">
        <f t="shared" si="2"/>
        <v>0.2</v>
      </c>
      <c r="M10" s="52" t="s">
        <v>44</v>
      </c>
      <c r="N10" s="53"/>
      <c r="O10" s="53"/>
    </row>
    <row r="11" spans="2:15" x14ac:dyDescent="0.25">
      <c r="B11" s="4" t="s">
        <v>45</v>
      </c>
      <c r="C11" s="4" t="s">
        <v>46</v>
      </c>
      <c r="D11" s="4" t="s">
        <v>34</v>
      </c>
      <c r="E11" s="4" t="s">
        <v>12</v>
      </c>
      <c r="F11" s="4" t="s">
        <v>24</v>
      </c>
      <c r="G11" s="4" t="s">
        <v>30</v>
      </c>
      <c r="H11" s="4">
        <v>2000</v>
      </c>
      <c r="I11" s="9">
        <f t="shared" si="0"/>
        <v>0</v>
      </c>
      <c r="J11" s="9">
        <f t="shared" si="1"/>
        <v>0</v>
      </c>
      <c r="K11" s="9">
        <f t="shared" si="2"/>
        <v>0</v>
      </c>
      <c r="M11" s="53"/>
      <c r="N11" s="53"/>
      <c r="O11" s="53"/>
    </row>
    <row r="12" spans="2:15" x14ac:dyDescent="0.25">
      <c r="B12" s="4" t="s">
        <v>47</v>
      </c>
      <c r="C12" s="4" t="s">
        <v>48</v>
      </c>
      <c r="D12" s="4" t="s">
        <v>34</v>
      </c>
      <c r="E12" s="4" t="s">
        <v>18</v>
      </c>
      <c r="F12" s="4" t="s">
        <v>24</v>
      </c>
      <c r="G12" s="4" t="s">
        <v>14</v>
      </c>
      <c r="H12" s="4">
        <v>1000</v>
      </c>
      <c r="I12" s="9">
        <f t="shared" si="0"/>
        <v>0</v>
      </c>
      <c r="J12" s="9">
        <f t="shared" si="1"/>
        <v>0</v>
      </c>
      <c r="K12" s="9">
        <f t="shared" si="2"/>
        <v>0</v>
      </c>
      <c r="M12" s="53"/>
      <c r="N12" s="53"/>
      <c r="O12" s="53"/>
    </row>
    <row r="13" spans="2:15" x14ac:dyDescent="0.25">
      <c r="B13" s="4" t="s">
        <v>49</v>
      </c>
      <c r="C13" s="4" t="s">
        <v>50</v>
      </c>
      <c r="D13" s="4" t="s">
        <v>34</v>
      </c>
      <c r="E13" s="4" t="s">
        <v>12</v>
      </c>
      <c r="F13" s="4" t="s">
        <v>29</v>
      </c>
      <c r="G13" s="4" t="s">
        <v>14</v>
      </c>
      <c r="H13" s="4">
        <v>7000</v>
      </c>
      <c r="I13" s="9">
        <f t="shared" si="0"/>
        <v>0.2</v>
      </c>
      <c r="J13" s="9">
        <f t="shared" si="1"/>
        <v>0.2</v>
      </c>
      <c r="K13" s="9">
        <f t="shared" si="2"/>
        <v>0.2</v>
      </c>
      <c r="M13" s="53"/>
      <c r="N13" s="53"/>
      <c r="O13" s="53"/>
    </row>
    <row r="14" spans="2:15" x14ac:dyDescent="0.25">
      <c r="B14" s="4" t="s">
        <v>51</v>
      </c>
      <c r="C14" s="4" t="s">
        <v>52</v>
      </c>
      <c r="D14" s="4" t="s">
        <v>11</v>
      </c>
      <c r="E14" s="4" t="s">
        <v>18</v>
      </c>
      <c r="F14" s="4" t="s">
        <v>29</v>
      </c>
      <c r="G14" s="4" t="s">
        <v>14</v>
      </c>
      <c r="H14" s="4">
        <v>5000</v>
      </c>
      <c r="I14" s="9">
        <f t="shared" si="0"/>
        <v>0.1</v>
      </c>
      <c r="J14" s="9">
        <f t="shared" si="1"/>
        <v>0.1</v>
      </c>
      <c r="K14" s="9">
        <f t="shared" si="2"/>
        <v>0.1</v>
      </c>
      <c r="M14" s="53"/>
      <c r="N14" s="53"/>
      <c r="O14" s="53"/>
    </row>
    <row r="15" spans="2:15" x14ac:dyDescent="0.25">
      <c r="B15" s="4" t="s">
        <v>53</v>
      </c>
      <c r="C15" s="4" t="s">
        <v>54</v>
      </c>
      <c r="D15" s="4" t="s">
        <v>11</v>
      </c>
      <c r="E15" s="4" t="s">
        <v>18</v>
      </c>
      <c r="F15" s="4" t="s">
        <v>35</v>
      </c>
      <c r="G15" s="4" t="s">
        <v>25</v>
      </c>
      <c r="H15" s="4">
        <v>4000</v>
      </c>
      <c r="I15" s="9">
        <f t="shared" si="0"/>
        <v>0.1</v>
      </c>
      <c r="J15" s="9">
        <f t="shared" si="1"/>
        <v>0.1</v>
      </c>
      <c r="K15" s="9">
        <f t="shared" si="2"/>
        <v>0.1</v>
      </c>
      <c r="M15" s="53"/>
      <c r="N15" s="53"/>
      <c r="O15" s="53"/>
    </row>
    <row r="16" spans="2:15" x14ac:dyDescent="0.25">
      <c r="B16" s="4" t="s">
        <v>55</v>
      </c>
      <c r="C16" s="4" t="s">
        <v>56</v>
      </c>
      <c r="D16" s="4" t="s">
        <v>34</v>
      </c>
      <c r="E16" s="4" t="s">
        <v>18</v>
      </c>
      <c r="F16" s="4" t="s">
        <v>13</v>
      </c>
      <c r="G16" s="4" t="s">
        <v>25</v>
      </c>
      <c r="H16" s="4">
        <v>6000</v>
      </c>
      <c r="I16" s="9">
        <f t="shared" si="0"/>
        <v>0.2</v>
      </c>
      <c r="J16" s="9">
        <f t="shared" si="1"/>
        <v>0.2</v>
      </c>
      <c r="K16" s="9">
        <f t="shared" si="2"/>
        <v>0.2</v>
      </c>
      <c r="M16" s="53"/>
      <c r="N16" s="53"/>
      <c r="O16" s="53"/>
    </row>
    <row r="17" spans="2:15" x14ac:dyDescent="0.25">
      <c r="B17" s="4" t="s">
        <v>57</v>
      </c>
      <c r="C17" s="4" t="s">
        <v>58</v>
      </c>
      <c r="D17" s="4" t="s">
        <v>34</v>
      </c>
      <c r="E17" s="4" t="s">
        <v>12</v>
      </c>
      <c r="F17" s="4" t="s">
        <v>19</v>
      </c>
      <c r="G17" s="4" t="s">
        <v>20</v>
      </c>
      <c r="H17" s="4">
        <v>10000</v>
      </c>
      <c r="I17" s="9">
        <f t="shared" si="0"/>
        <v>0.3</v>
      </c>
      <c r="J17" s="9">
        <f t="shared" si="1"/>
        <v>0.3</v>
      </c>
      <c r="K17" s="9">
        <f t="shared" si="2"/>
        <v>0.3</v>
      </c>
      <c r="M17" s="53"/>
      <c r="N17" s="53"/>
      <c r="O17" s="53"/>
    </row>
    <row r="18" spans="2:15" x14ac:dyDescent="0.25">
      <c r="B18" s="4" t="s">
        <v>59</v>
      </c>
      <c r="C18" s="4" t="s">
        <v>60</v>
      </c>
      <c r="D18" s="4" t="s">
        <v>34</v>
      </c>
      <c r="E18" s="4" t="s">
        <v>18</v>
      </c>
      <c r="F18" s="4" t="s">
        <v>19</v>
      </c>
      <c r="G18" s="4" t="s">
        <v>20</v>
      </c>
      <c r="H18" s="4">
        <v>4000</v>
      </c>
      <c r="I18" s="9">
        <f t="shared" si="0"/>
        <v>0.1</v>
      </c>
      <c r="J18" s="9">
        <f t="shared" si="1"/>
        <v>0.1</v>
      </c>
      <c r="K18" s="9">
        <f t="shared" si="2"/>
        <v>0.1</v>
      </c>
      <c r="M18" s="53"/>
      <c r="N18" s="53"/>
      <c r="O18" s="53"/>
    </row>
    <row r="19" spans="2:15" x14ac:dyDescent="0.25">
      <c r="B19" s="4" t="s">
        <v>61</v>
      </c>
      <c r="C19" s="4" t="s">
        <v>62</v>
      </c>
      <c r="D19" s="4" t="s">
        <v>23</v>
      </c>
      <c r="E19" s="4" t="s">
        <v>18</v>
      </c>
      <c r="F19" s="4" t="s">
        <v>19</v>
      </c>
      <c r="G19" s="4" t="s">
        <v>30</v>
      </c>
      <c r="H19" s="4">
        <v>12000</v>
      </c>
      <c r="I19" s="9">
        <f t="shared" si="0"/>
        <v>0.3</v>
      </c>
      <c r="J19" s="9">
        <f t="shared" si="1"/>
        <v>0.3</v>
      </c>
      <c r="K19" s="9">
        <f t="shared" si="2"/>
        <v>0.3</v>
      </c>
      <c r="M19" s="53"/>
      <c r="N19" s="53"/>
      <c r="O19" s="53"/>
    </row>
    <row r="20" spans="2:15" x14ac:dyDescent="0.25">
      <c r="B20" s="4" t="s">
        <v>63</v>
      </c>
      <c r="C20" s="4" t="s">
        <v>64</v>
      </c>
      <c r="D20" s="4" t="s">
        <v>11</v>
      </c>
      <c r="E20" s="4" t="s">
        <v>12</v>
      </c>
      <c r="F20" s="4" t="s">
        <v>35</v>
      </c>
      <c r="G20" s="4" t="s">
        <v>20</v>
      </c>
      <c r="H20" s="4">
        <v>3000</v>
      </c>
      <c r="I20" s="9">
        <f t="shared" si="0"/>
        <v>0</v>
      </c>
      <c r="J20" s="9">
        <f t="shared" si="1"/>
        <v>0</v>
      </c>
      <c r="K20" s="9">
        <f t="shared" si="2"/>
        <v>0</v>
      </c>
      <c r="M20" s="53"/>
      <c r="N20" s="53"/>
      <c r="O20" s="53"/>
    </row>
    <row r="21" spans="2:15" x14ac:dyDescent="0.25">
      <c r="B21" s="4" t="s">
        <v>65</v>
      </c>
      <c r="C21" s="4" t="s">
        <v>66</v>
      </c>
      <c r="D21" s="4" t="s">
        <v>23</v>
      </c>
      <c r="E21" s="4" t="s">
        <v>12</v>
      </c>
      <c r="F21" s="4" t="s">
        <v>13</v>
      </c>
      <c r="G21" s="4" t="s">
        <v>14</v>
      </c>
      <c r="H21" s="4">
        <v>5000</v>
      </c>
      <c r="I21" s="9">
        <f t="shared" si="0"/>
        <v>0.1</v>
      </c>
      <c r="J21" s="9">
        <f t="shared" si="1"/>
        <v>0.1</v>
      </c>
      <c r="K21" s="9">
        <f t="shared" si="2"/>
        <v>0.1</v>
      </c>
    </row>
    <row r="22" spans="2:15" x14ac:dyDescent="0.25">
      <c r="B22" s="4" t="s">
        <v>67</v>
      </c>
      <c r="C22" s="4" t="s">
        <v>68</v>
      </c>
      <c r="D22" s="4" t="s">
        <v>23</v>
      </c>
      <c r="E22" s="4" t="s">
        <v>18</v>
      </c>
      <c r="F22" s="4" t="s">
        <v>29</v>
      </c>
      <c r="G22" s="4" t="s">
        <v>14</v>
      </c>
      <c r="H22" s="4">
        <v>4000</v>
      </c>
      <c r="I22" s="9">
        <f t="shared" si="0"/>
        <v>0.1</v>
      </c>
      <c r="J22" s="9">
        <f t="shared" si="1"/>
        <v>0.1</v>
      </c>
      <c r="K22" s="9">
        <f t="shared" si="2"/>
        <v>0.1</v>
      </c>
    </row>
    <row r="23" spans="2:15" x14ac:dyDescent="0.25">
      <c r="B23" s="4" t="s">
        <v>69</v>
      </c>
      <c r="C23" s="4" t="s">
        <v>70</v>
      </c>
      <c r="D23" s="4" t="s">
        <v>23</v>
      </c>
      <c r="E23" s="4" t="s">
        <v>18</v>
      </c>
      <c r="F23" s="4" t="s">
        <v>24</v>
      </c>
      <c r="G23" s="4" t="s">
        <v>25</v>
      </c>
      <c r="H23" s="4">
        <v>6000</v>
      </c>
      <c r="I23" s="9">
        <f t="shared" si="0"/>
        <v>0.2</v>
      </c>
      <c r="J23" s="9">
        <f t="shared" si="1"/>
        <v>0.2</v>
      </c>
      <c r="K23" s="9">
        <f t="shared" si="2"/>
        <v>0.2</v>
      </c>
    </row>
    <row r="24" spans="2:15" x14ac:dyDescent="0.25">
      <c r="B24" s="4" t="s">
        <v>71</v>
      </c>
      <c r="C24" s="4" t="s">
        <v>72</v>
      </c>
      <c r="D24" s="4" t="s">
        <v>34</v>
      </c>
      <c r="E24" s="4" t="s">
        <v>18</v>
      </c>
      <c r="F24" s="4" t="s">
        <v>35</v>
      </c>
      <c r="G24" s="4" t="s">
        <v>25</v>
      </c>
      <c r="H24" s="4">
        <v>10000</v>
      </c>
      <c r="I24" s="9">
        <f t="shared" si="0"/>
        <v>0.3</v>
      </c>
      <c r="J24" s="9">
        <f t="shared" si="1"/>
        <v>0.3</v>
      </c>
      <c r="K24" s="9">
        <f t="shared" si="2"/>
        <v>0.3</v>
      </c>
    </row>
    <row r="25" spans="2:15" x14ac:dyDescent="0.25">
      <c r="B25" s="4" t="s">
        <v>73</v>
      </c>
      <c r="C25" s="4" t="s">
        <v>74</v>
      </c>
      <c r="D25" s="4" t="s">
        <v>23</v>
      </c>
      <c r="E25" s="4" t="s">
        <v>12</v>
      </c>
      <c r="F25" s="4" t="s">
        <v>13</v>
      </c>
      <c r="G25" s="4" t="s">
        <v>30</v>
      </c>
      <c r="H25" s="4">
        <v>4000</v>
      </c>
      <c r="I25" s="9">
        <f t="shared" si="0"/>
        <v>0.1</v>
      </c>
      <c r="J25" s="9">
        <f t="shared" si="1"/>
        <v>0.1</v>
      </c>
      <c r="K25" s="9">
        <f t="shared" si="2"/>
        <v>0.1</v>
      </c>
    </row>
    <row r="26" spans="2:15" x14ac:dyDescent="0.25">
      <c r="B26" s="4" t="s">
        <v>75</v>
      </c>
      <c r="C26" s="4" t="s">
        <v>76</v>
      </c>
      <c r="D26" s="4" t="s">
        <v>11</v>
      </c>
      <c r="E26" s="4" t="s">
        <v>12</v>
      </c>
      <c r="F26" s="4" t="s">
        <v>19</v>
      </c>
      <c r="G26" s="4" t="s">
        <v>14</v>
      </c>
      <c r="H26" s="4">
        <v>12000</v>
      </c>
      <c r="I26" s="9">
        <f t="shared" si="0"/>
        <v>0.3</v>
      </c>
      <c r="J26" s="9">
        <f t="shared" si="1"/>
        <v>0.3</v>
      </c>
      <c r="K26" s="9">
        <f t="shared" si="2"/>
        <v>0.3</v>
      </c>
    </row>
    <row r="34" spans="11:14" x14ac:dyDescent="0.25">
      <c r="M34" s="54" t="s">
        <v>115</v>
      </c>
      <c r="N34" s="54"/>
    </row>
    <row r="35" spans="11:14" x14ac:dyDescent="0.25">
      <c r="M35" s="54"/>
      <c r="N35" s="54"/>
    </row>
    <row r="36" spans="11:14" x14ac:dyDescent="0.25">
      <c r="M36" s="54"/>
      <c r="N36" s="54"/>
    </row>
    <row r="38" spans="11:14" x14ac:dyDescent="0.25">
      <c r="K38" s="54" t="s">
        <v>114</v>
      </c>
      <c r="L38" s="54"/>
    </row>
    <row r="39" spans="11:14" x14ac:dyDescent="0.25">
      <c r="K39" s="54"/>
      <c r="L39" s="54"/>
    </row>
    <row r="40" spans="11:14" x14ac:dyDescent="0.25">
      <c r="K40" s="54"/>
      <c r="L40" s="54"/>
    </row>
  </sheetData>
  <mergeCells count="3">
    <mergeCell ref="M10:O20"/>
    <mergeCell ref="K38:L40"/>
    <mergeCell ref="M34:N36"/>
  </mergeCells>
  <phoneticPr fontId="6" type="noConversion"/>
  <pageMargins left="0.7" right="0.7" top="0.75" bottom="0.75" header="0.3" footer="0.3"/>
  <pageSetup paperSize="9" orientation="portrait" horizontalDpi="4294967292"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U35"/>
  <sheetViews>
    <sheetView workbookViewId="0">
      <pane ySplit="1" topLeftCell="A2" activePane="bottomLeft" state="frozen"/>
      <selection pane="bottomLeft" activeCell="P5" sqref="P5"/>
    </sheetView>
  </sheetViews>
  <sheetFormatPr defaultRowHeight="15" x14ac:dyDescent="0.25"/>
  <cols>
    <col min="1" max="1" width="2" style="46" customWidth="1"/>
    <col min="2" max="2" width="8.42578125" style="46" bestFit="1" customWidth="1"/>
    <col min="3" max="3" width="7.140625" style="46" bestFit="1" customWidth="1"/>
    <col min="4" max="5" width="8.85546875" style="46" bestFit="1" customWidth="1"/>
    <col min="6" max="6" width="8.5703125" style="46" bestFit="1" customWidth="1"/>
    <col min="7" max="7" width="11.5703125" style="46" bestFit="1" customWidth="1"/>
    <col min="8" max="8" width="13.140625" style="46" bestFit="1" customWidth="1"/>
    <col min="9" max="9" width="14.140625" style="46" bestFit="1" customWidth="1"/>
    <col min="10" max="13" width="9.140625" style="46"/>
    <col min="14" max="14" width="11.140625" style="46" bestFit="1" customWidth="1"/>
    <col min="15" max="15" width="31.140625" style="46" bestFit="1" customWidth="1"/>
    <col min="16" max="16" width="8.140625" style="46" bestFit="1" customWidth="1"/>
    <col min="17" max="16384" width="9.140625" style="46"/>
  </cols>
  <sheetData>
    <row r="1" spans="2:21" s="43" customFormat="1" ht="15.75" x14ac:dyDescent="0.25">
      <c r="B1" s="43" t="s">
        <v>0</v>
      </c>
      <c r="C1" s="43" t="s">
        <v>1</v>
      </c>
      <c r="D1" s="43" t="s">
        <v>2</v>
      </c>
      <c r="E1" s="43" t="s">
        <v>3</v>
      </c>
      <c r="F1" s="43" t="s">
        <v>4</v>
      </c>
      <c r="G1" s="43" t="s">
        <v>5</v>
      </c>
      <c r="H1" s="43" t="s">
        <v>77</v>
      </c>
      <c r="I1" s="43" t="s">
        <v>78</v>
      </c>
      <c r="J1" s="43" t="s">
        <v>79</v>
      </c>
      <c r="K1" s="43" t="s">
        <v>80</v>
      </c>
      <c r="L1" s="43" t="s">
        <v>100</v>
      </c>
      <c r="M1" s="43" t="s">
        <v>120</v>
      </c>
      <c r="N1" s="44" t="s">
        <v>98</v>
      </c>
      <c r="O1" s="45" t="s">
        <v>79</v>
      </c>
      <c r="P1" s="45" t="s">
        <v>80</v>
      </c>
    </row>
    <row r="2" spans="2:21" ht="15.75" x14ac:dyDescent="0.25">
      <c r="B2" s="46" t="s">
        <v>9</v>
      </c>
      <c r="C2" s="46" t="s">
        <v>10</v>
      </c>
      <c r="D2" s="46" t="s">
        <v>11</v>
      </c>
      <c r="E2" s="46" t="s">
        <v>12</v>
      </c>
      <c r="F2" s="46" t="s">
        <v>13</v>
      </c>
      <c r="G2" s="46" t="s">
        <v>103</v>
      </c>
      <c r="H2" s="46">
        <v>7.2</v>
      </c>
      <c r="I2" s="46">
        <v>7.6</v>
      </c>
      <c r="J2" s="46">
        <f>MEDIAN(H2,I2)</f>
        <v>7.4</v>
      </c>
      <c r="K2" s="46" t="str">
        <f>VLOOKUP(J2,$N$1:$P$6,3,TRUE)</f>
        <v>A</v>
      </c>
      <c r="L2" s="46" t="str">
        <f>IF(J2&gt;=8,$P$6,IF(J2&gt;=7,$P$5,IF(J2&gt;=6,$P$4,IF(J2&gt;=5,$P$3,$P$2))))</f>
        <v>A</v>
      </c>
      <c r="M2" s="46" t="str">
        <f>IF(J2&lt;5,$P$2,IF(J2&lt;5.9,$P$3,IF(J2&lt;6.9,$P$4,IF(J2&lt;7.9,$P$5,$P$6))))</f>
        <v>A</v>
      </c>
      <c r="N2" s="47">
        <v>0</v>
      </c>
      <c r="O2" s="19" t="s">
        <v>81</v>
      </c>
      <c r="P2" s="19" t="s">
        <v>34</v>
      </c>
      <c r="Q2" s="48"/>
      <c r="R2" s="48"/>
      <c r="S2" s="48"/>
      <c r="T2" s="48"/>
      <c r="U2" s="48"/>
    </row>
    <row r="3" spans="2:21" ht="15.75" x14ac:dyDescent="0.25">
      <c r="B3" s="46" t="s">
        <v>16</v>
      </c>
      <c r="C3" s="46" t="s">
        <v>17</v>
      </c>
      <c r="D3" s="46" t="s">
        <v>11</v>
      </c>
      <c r="E3" s="46" t="s">
        <v>18</v>
      </c>
      <c r="F3" s="46" t="s">
        <v>19</v>
      </c>
      <c r="G3" s="46" t="s">
        <v>20</v>
      </c>
      <c r="H3" s="46">
        <v>7.1</v>
      </c>
      <c r="I3" s="46">
        <v>7.5</v>
      </c>
      <c r="J3" s="46">
        <f t="shared" ref="J3:J26" si="0">MEDIAN(H3,I3)</f>
        <v>7.3</v>
      </c>
      <c r="K3" s="46" t="str">
        <f t="shared" ref="K3:K26" si="1">VLOOKUP(J3,$N$1:$P$6,3,TRUE)</f>
        <v>A</v>
      </c>
      <c r="L3" s="46" t="str">
        <f t="shared" ref="L3:L26" si="2">IF(J3&gt;=8,$P$6,IF(J3&gt;=7,$P$5,IF(J3&gt;=6,$P$4,IF(J3&gt;=5,$P$3,$P$2))))</f>
        <v>A</v>
      </c>
      <c r="M3" s="46" t="str">
        <f t="shared" ref="M3:M26" si="3">IF(J3&lt;5,$P$2,IF(J3&lt;5.9,$P$3,IF(J3&lt;6.9,$P$4,IF(J3&lt;7.9,$P$5,$P$6))))</f>
        <v>A</v>
      </c>
      <c r="N3" s="47">
        <v>5</v>
      </c>
      <c r="O3" s="19" t="s">
        <v>82</v>
      </c>
      <c r="P3" s="19" t="s">
        <v>23</v>
      </c>
      <c r="Q3" s="48"/>
      <c r="R3" s="48"/>
      <c r="S3" s="48"/>
      <c r="T3" s="48"/>
      <c r="U3" s="48"/>
    </row>
    <row r="4" spans="2:21" ht="15.75" x14ac:dyDescent="0.25">
      <c r="B4" s="46" t="s">
        <v>21</v>
      </c>
      <c r="C4" s="46" t="s">
        <v>22</v>
      </c>
      <c r="D4" s="46" t="s">
        <v>23</v>
      </c>
      <c r="E4" s="46" t="s">
        <v>12</v>
      </c>
      <c r="F4" s="46" t="s">
        <v>24</v>
      </c>
      <c r="G4" s="46" t="s">
        <v>104</v>
      </c>
      <c r="H4" s="46">
        <v>6.9</v>
      </c>
      <c r="I4" s="46">
        <v>7.1</v>
      </c>
      <c r="J4" s="46">
        <f t="shared" si="0"/>
        <v>7</v>
      </c>
      <c r="K4" s="46" t="str">
        <f t="shared" si="1"/>
        <v>A</v>
      </c>
      <c r="L4" s="46" t="str">
        <f t="shared" si="2"/>
        <v>A</v>
      </c>
      <c r="M4" s="46" t="str">
        <f t="shared" si="3"/>
        <v>A</v>
      </c>
      <c r="N4" s="47">
        <v>6</v>
      </c>
      <c r="O4" s="19" t="s">
        <v>83</v>
      </c>
      <c r="P4" s="19" t="s">
        <v>84</v>
      </c>
      <c r="Q4" s="48"/>
      <c r="R4" s="48"/>
      <c r="S4" s="48"/>
      <c r="T4" s="48"/>
      <c r="U4" s="48"/>
    </row>
    <row r="5" spans="2:21" ht="15.75" x14ac:dyDescent="0.25">
      <c r="B5" s="46" t="s">
        <v>27</v>
      </c>
      <c r="C5" s="46" t="s">
        <v>28</v>
      </c>
      <c r="D5" s="46" t="s">
        <v>23</v>
      </c>
      <c r="E5" s="46" t="s">
        <v>12</v>
      </c>
      <c r="F5" s="46" t="s">
        <v>29</v>
      </c>
      <c r="G5" s="46" t="s">
        <v>105</v>
      </c>
      <c r="H5" s="46">
        <v>8.1</v>
      </c>
      <c r="I5" s="46">
        <v>9</v>
      </c>
      <c r="J5" s="46">
        <f t="shared" si="0"/>
        <v>8.5500000000000007</v>
      </c>
      <c r="K5" s="46" t="str">
        <f t="shared" si="1"/>
        <v>A+</v>
      </c>
      <c r="L5" s="46" t="str">
        <f t="shared" si="2"/>
        <v>A+</v>
      </c>
      <c r="M5" s="46" t="str">
        <f t="shared" si="3"/>
        <v>A+</v>
      </c>
      <c r="N5" s="47">
        <v>7</v>
      </c>
      <c r="O5" s="19" t="s">
        <v>85</v>
      </c>
      <c r="P5" s="19" t="s">
        <v>11</v>
      </c>
      <c r="Q5" s="48"/>
      <c r="R5" s="48"/>
      <c r="S5" s="48"/>
      <c r="T5" s="48"/>
      <c r="U5" s="48"/>
    </row>
    <row r="6" spans="2:21" ht="15.75" x14ac:dyDescent="0.25">
      <c r="B6" s="46" t="s">
        <v>32</v>
      </c>
      <c r="C6" s="46" t="s">
        <v>33</v>
      </c>
      <c r="D6" s="46" t="s">
        <v>34</v>
      </c>
      <c r="E6" s="46" t="s">
        <v>18</v>
      </c>
      <c r="F6" s="46" t="s">
        <v>35</v>
      </c>
      <c r="G6" s="46" t="s">
        <v>103</v>
      </c>
      <c r="H6" s="46">
        <v>5</v>
      </c>
      <c r="I6" s="46">
        <v>5.3</v>
      </c>
      <c r="J6" s="46">
        <f t="shared" si="0"/>
        <v>5.15</v>
      </c>
      <c r="K6" s="46" t="str">
        <f t="shared" si="1"/>
        <v>B</v>
      </c>
      <c r="L6" s="46" t="str">
        <f t="shared" si="2"/>
        <v>B</v>
      </c>
      <c r="M6" s="46" t="str">
        <f t="shared" si="3"/>
        <v>B</v>
      </c>
      <c r="N6" s="47">
        <v>8</v>
      </c>
      <c r="O6" s="19" t="s">
        <v>99</v>
      </c>
      <c r="P6" s="19" t="s">
        <v>86</v>
      </c>
      <c r="Q6" s="48"/>
      <c r="R6" s="48"/>
      <c r="S6" s="48"/>
      <c r="T6" s="48"/>
      <c r="U6" s="48"/>
    </row>
    <row r="7" spans="2:21" x14ac:dyDescent="0.25">
      <c r="B7" s="46" t="s">
        <v>36</v>
      </c>
      <c r="C7" s="46" t="s">
        <v>37</v>
      </c>
      <c r="D7" s="46" t="s">
        <v>11</v>
      </c>
      <c r="E7" s="46" t="s">
        <v>18</v>
      </c>
      <c r="F7" s="46" t="s">
        <v>13</v>
      </c>
      <c r="G7" s="46" t="s">
        <v>103</v>
      </c>
      <c r="H7" s="46">
        <v>8.1</v>
      </c>
      <c r="I7" s="46">
        <v>7.5</v>
      </c>
      <c r="J7" s="46">
        <f t="shared" si="0"/>
        <v>7.8</v>
      </c>
      <c r="K7" s="46" t="str">
        <f t="shared" si="1"/>
        <v>A</v>
      </c>
      <c r="L7" s="46" t="str">
        <f t="shared" si="2"/>
        <v>A</v>
      </c>
      <c r="M7" s="46" t="str">
        <f t="shared" si="3"/>
        <v>A</v>
      </c>
    </row>
    <row r="8" spans="2:21" ht="15.75" x14ac:dyDescent="0.25">
      <c r="B8" s="46" t="s">
        <v>38</v>
      </c>
      <c r="C8" s="46" t="s">
        <v>39</v>
      </c>
      <c r="D8" s="46" t="s">
        <v>11</v>
      </c>
      <c r="E8" s="46" t="s">
        <v>12</v>
      </c>
      <c r="F8" s="46" t="s">
        <v>13</v>
      </c>
      <c r="G8" s="46" t="s">
        <v>104</v>
      </c>
      <c r="H8" s="46">
        <v>7.6</v>
      </c>
      <c r="I8" s="46">
        <v>7.7</v>
      </c>
      <c r="J8" s="46">
        <f t="shared" si="0"/>
        <v>7.65</v>
      </c>
      <c r="K8" s="46" t="str">
        <f t="shared" si="1"/>
        <v>A</v>
      </c>
      <c r="L8" s="46" t="str">
        <f t="shared" si="2"/>
        <v>A</v>
      </c>
      <c r="M8" s="46" t="str">
        <f t="shared" si="3"/>
        <v>A</v>
      </c>
      <c r="O8" s="19" t="s">
        <v>87</v>
      </c>
    </row>
    <row r="9" spans="2:21" x14ac:dyDescent="0.25">
      <c r="B9" s="46" t="s">
        <v>40</v>
      </c>
      <c r="C9" s="46" t="s">
        <v>41</v>
      </c>
      <c r="D9" s="46" t="s">
        <v>23</v>
      </c>
      <c r="E9" s="46" t="s">
        <v>12</v>
      </c>
      <c r="F9" s="46" t="s">
        <v>19</v>
      </c>
      <c r="G9" s="46" t="s">
        <v>104</v>
      </c>
      <c r="H9" s="46">
        <v>7.6</v>
      </c>
      <c r="I9" s="46">
        <v>7.1</v>
      </c>
      <c r="J9" s="46">
        <f t="shared" si="0"/>
        <v>7.35</v>
      </c>
      <c r="K9" s="46" t="str">
        <f t="shared" si="1"/>
        <v>A</v>
      </c>
      <c r="L9" s="46" t="str">
        <f t="shared" si="2"/>
        <v>A</v>
      </c>
      <c r="M9" s="46" t="str">
        <f t="shared" si="3"/>
        <v>A</v>
      </c>
    </row>
    <row r="10" spans="2:21" x14ac:dyDescent="0.25">
      <c r="B10" s="46" t="s">
        <v>42</v>
      </c>
      <c r="C10" s="46" t="s">
        <v>43</v>
      </c>
      <c r="D10" s="46" t="s">
        <v>23</v>
      </c>
      <c r="E10" s="46" t="s">
        <v>12</v>
      </c>
      <c r="F10" s="46" t="s">
        <v>19</v>
      </c>
      <c r="G10" s="46" t="s">
        <v>104</v>
      </c>
      <c r="H10" s="46">
        <v>8.9</v>
      </c>
      <c r="I10" s="46">
        <v>8</v>
      </c>
      <c r="J10" s="46">
        <f t="shared" si="0"/>
        <v>8.4499999999999993</v>
      </c>
      <c r="K10" s="46" t="str">
        <f t="shared" si="1"/>
        <v>A+</v>
      </c>
      <c r="L10" s="46" t="str">
        <f t="shared" si="2"/>
        <v>A+</v>
      </c>
      <c r="M10" s="46" t="str">
        <f t="shared" si="3"/>
        <v>A+</v>
      </c>
      <c r="O10" s="55" t="s">
        <v>88</v>
      </c>
      <c r="P10" s="56"/>
      <c r="Q10" s="56"/>
    </row>
    <row r="11" spans="2:21" x14ac:dyDescent="0.25">
      <c r="B11" s="46" t="s">
        <v>45</v>
      </c>
      <c r="C11" s="46" t="s">
        <v>46</v>
      </c>
      <c r="D11" s="46" t="s">
        <v>34</v>
      </c>
      <c r="E11" s="46" t="s">
        <v>12</v>
      </c>
      <c r="F11" s="46" t="s">
        <v>24</v>
      </c>
      <c r="G11" s="46" t="s">
        <v>105</v>
      </c>
      <c r="H11" s="46">
        <v>9</v>
      </c>
      <c r="I11" s="46">
        <v>9.6999999999999993</v>
      </c>
      <c r="J11" s="46">
        <f t="shared" si="0"/>
        <v>9.35</v>
      </c>
      <c r="K11" s="46" t="str">
        <f t="shared" si="1"/>
        <v>A+</v>
      </c>
      <c r="L11" s="46" t="str">
        <f t="shared" si="2"/>
        <v>A+</v>
      </c>
      <c r="M11" s="46" t="str">
        <f t="shared" si="3"/>
        <v>A+</v>
      </c>
      <c r="O11" s="56"/>
      <c r="P11" s="56"/>
      <c r="Q11" s="56"/>
    </row>
    <row r="12" spans="2:21" x14ac:dyDescent="0.25">
      <c r="B12" s="46" t="s">
        <v>47</v>
      </c>
      <c r="C12" s="46" t="s">
        <v>48</v>
      </c>
      <c r="D12" s="46" t="s">
        <v>34</v>
      </c>
      <c r="E12" s="46" t="s">
        <v>18</v>
      </c>
      <c r="F12" s="46" t="s">
        <v>24</v>
      </c>
      <c r="G12" s="46" t="s">
        <v>103</v>
      </c>
      <c r="H12" s="46">
        <v>5.6</v>
      </c>
      <c r="I12" s="46">
        <v>7.6</v>
      </c>
      <c r="J12" s="46">
        <f t="shared" si="0"/>
        <v>6.6</v>
      </c>
      <c r="K12" s="46" t="str">
        <f t="shared" si="1"/>
        <v>B+</v>
      </c>
      <c r="L12" s="46" t="str">
        <f t="shared" si="2"/>
        <v>B+</v>
      </c>
      <c r="M12" s="46" t="str">
        <f t="shared" si="3"/>
        <v>B+</v>
      </c>
      <c r="O12" s="56"/>
      <c r="P12" s="56"/>
      <c r="Q12" s="56"/>
    </row>
    <row r="13" spans="2:21" x14ac:dyDescent="0.25">
      <c r="B13" s="46" t="s">
        <v>49</v>
      </c>
      <c r="C13" s="46" t="s">
        <v>50</v>
      </c>
      <c r="D13" s="46" t="s">
        <v>34</v>
      </c>
      <c r="E13" s="46" t="s">
        <v>12</v>
      </c>
      <c r="F13" s="46" t="s">
        <v>29</v>
      </c>
      <c r="G13" s="46" t="s">
        <v>103</v>
      </c>
      <c r="H13" s="46">
        <v>7</v>
      </c>
      <c r="I13" s="46">
        <v>7.6</v>
      </c>
      <c r="J13" s="46">
        <f t="shared" si="0"/>
        <v>7.3</v>
      </c>
      <c r="K13" s="46" t="str">
        <f t="shared" si="1"/>
        <v>A</v>
      </c>
      <c r="L13" s="46" t="str">
        <f t="shared" si="2"/>
        <v>A</v>
      </c>
      <c r="M13" s="46" t="str">
        <f t="shared" si="3"/>
        <v>A</v>
      </c>
      <c r="O13" s="56"/>
      <c r="P13" s="56"/>
      <c r="Q13" s="56"/>
    </row>
    <row r="14" spans="2:21" x14ac:dyDescent="0.25">
      <c r="B14" s="46" t="s">
        <v>51</v>
      </c>
      <c r="C14" s="46" t="s">
        <v>52</v>
      </c>
      <c r="D14" s="46" t="s">
        <v>11</v>
      </c>
      <c r="E14" s="46" t="s">
        <v>18</v>
      </c>
      <c r="F14" s="46" t="s">
        <v>29</v>
      </c>
      <c r="G14" s="46" t="s">
        <v>103</v>
      </c>
      <c r="H14" s="46">
        <v>7.2</v>
      </c>
      <c r="I14" s="46">
        <v>8.9</v>
      </c>
      <c r="J14" s="46">
        <f t="shared" si="0"/>
        <v>8.0500000000000007</v>
      </c>
      <c r="K14" s="46" t="str">
        <f t="shared" si="1"/>
        <v>A+</v>
      </c>
      <c r="L14" s="46" t="str">
        <f t="shared" si="2"/>
        <v>A+</v>
      </c>
      <c r="M14" s="46" t="str">
        <f t="shared" si="3"/>
        <v>A+</v>
      </c>
      <c r="O14" s="56"/>
      <c r="P14" s="56"/>
      <c r="Q14" s="56"/>
    </row>
    <row r="15" spans="2:21" x14ac:dyDescent="0.25">
      <c r="B15" s="46" t="s">
        <v>53</v>
      </c>
      <c r="C15" s="46" t="s">
        <v>54</v>
      </c>
      <c r="D15" s="46" t="s">
        <v>11</v>
      </c>
      <c r="E15" s="46" t="s">
        <v>18</v>
      </c>
      <c r="F15" s="46" t="s">
        <v>35</v>
      </c>
      <c r="G15" s="46" t="s">
        <v>104</v>
      </c>
      <c r="H15" s="46">
        <v>7.1</v>
      </c>
      <c r="I15" s="46">
        <v>9</v>
      </c>
      <c r="J15" s="46">
        <f t="shared" si="0"/>
        <v>8.0500000000000007</v>
      </c>
      <c r="K15" s="46" t="str">
        <f t="shared" si="1"/>
        <v>A+</v>
      </c>
      <c r="L15" s="46" t="str">
        <f t="shared" si="2"/>
        <v>A+</v>
      </c>
      <c r="M15" s="46" t="str">
        <f t="shared" si="3"/>
        <v>A+</v>
      </c>
      <c r="O15" s="56"/>
      <c r="P15" s="56"/>
      <c r="Q15" s="56"/>
    </row>
    <row r="16" spans="2:21" x14ac:dyDescent="0.25">
      <c r="B16" s="46" t="s">
        <v>55</v>
      </c>
      <c r="C16" s="46" t="s">
        <v>56</v>
      </c>
      <c r="D16" s="46" t="s">
        <v>34</v>
      </c>
      <c r="E16" s="46" t="s">
        <v>18</v>
      </c>
      <c r="F16" s="46" t="s">
        <v>13</v>
      </c>
      <c r="G16" s="46" t="s">
        <v>104</v>
      </c>
      <c r="H16" s="46">
        <v>6.9</v>
      </c>
      <c r="I16" s="46">
        <v>5.6</v>
      </c>
      <c r="J16" s="46">
        <f t="shared" si="0"/>
        <v>6.25</v>
      </c>
      <c r="K16" s="46" t="str">
        <f t="shared" si="1"/>
        <v>B+</v>
      </c>
      <c r="L16" s="46" t="str">
        <f t="shared" si="2"/>
        <v>B+</v>
      </c>
      <c r="M16" s="46" t="str">
        <f t="shared" si="3"/>
        <v>B+</v>
      </c>
      <c r="O16" s="56"/>
      <c r="P16" s="56"/>
      <c r="Q16" s="56"/>
    </row>
    <row r="17" spans="2:17" x14ac:dyDescent="0.25">
      <c r="B17" s="46" t="s">
        <v>57</v>
      </c>
      <c r="C17" s="46" t="s">
        <v>58</v>
      </c>
      <c r="D17" s="46" t="s">
        <v>34</v>
      </c>
      <c r="E17" s="46" t="s">
        <v>12</v>
      </c>
      <c r="F17" s="46" t="s">
        <v>19</v>
      </c>
      <c r="G17" s="46" t="s">
        <v>20</v>
      </c>
      <c r="H17" s="46">
        <v>8.1</v>
      </c>
      <c r="I17" s="46">
        <v>8.5</v>
      </c>
      <c r="J17" s="46">
        <f t="shared" si="0"/>
        <v>8.3000000000000007</v>
      </c>
      <c r="K17" s="46" t="str">
        <f t="shared" si="1"/>
        <v>A+</v>
      </c>
      <c r="L17" s="46" t="str">
        <f t="shared" si="2"/>
        <v>A+</v>
      </c>
      <c r="M17" s="46" t="str">
        <f t="shared" si="3"/>
        <v>A+</v>
      </c>
      <c r="O17" s="56"/>
      <c r="P17" s="56"/>
      <c r="Q17" s="56"/>
    </row>
    <row r="18" spans="2:17" x14ac:dyDescent="0.25">
      <c r="B18" s="46" t="s">
        <v>59</v>
      </c>
      <c r="C18" s="46" t="s">
        <v>60</v>
      </c>
      <c r="D18" s="46" t="s">
        <v>34</v>
      </c>
      <c r="E18" s="46" t="s">
        <v>18</v>
      </c>
      <c r="F18" s="46" t="s">
        <v>19</v>
      </c>
      <c r="G18" s="46" t="s">
        <v>20</v>
      </c>
      <c r="H18" s="46">
        <v>7.6</v>
      </c>
      <c r="I18" s="46">
        <v>8.6</v>
      </c>
      <c r="J18" s="46">
        <f t="shared" si="0"/>
        <v>8.1</v>
      </c>
      <c r="K18" s="46" t="str">
        <f t="shared" si="1"/>
        <v>A+</v>
      </c>
      <c r="L18" s="46" t="str">
        <f t="shared" si="2"/>
        <v>A+</v>
      </c>
      <c r="M18" s="46" t="str">
        <f t="shared" si="3"/>
        <v>A+</v>
      </c>
      <c r="O18" s="56"/>
      <c r="P18" s="56"/>
      <c r="Q18" s="56"/>
    </row>
    <row r="19" spans="2:17" x14ac:dyDescent="0.25">
      <c r="B19" s="46" t="s">
        <v>61</v>
      </c>
      <c r="C19" s="46" t="s">
        <v>62</v>
      </c>
      <c r="D19" s="46" t="s">
        <v>23</v>
      </c>
      <c r="E19" s="46" t="s">
        <v>18</v>
      </c>
      <c r="F19" s="46" t="s">
        <v>19</v>
      </c>
      <c r="G19" s="46" t="s">
        <v>105</v>
      </c>
      <c r="H19" s="46">
        <v>7.6</v>
      </c>
      <c r="I19" s="46">
        <v>8.1999999999999993</v>
      </c>
      <c r="J19" s="46">
        <f t="shared" si="0"/>
        <v>7.8999999999999995</v>
      </c>
      <c r="K19" s="46" t="str">
        <f t="shared" si="1"/>
        <v>A</v>
      </c>
      <c r="L19" s="46" t="str">
        <f t="shared" si="2"/>
        <v>A</v>
      </c>
      <c r="M19" s="46" t="str">
        <f t="shared" si="3"/>
        <v>A+</v>
      </c>
      <c r="O19" s="56"/>
      <c r="P19" s="56"/>
      <c r="Q19" s="56"/>
    </row>
    <row r="20" spans="2:17" x14ac:dyDescent="0.25">
      <c r="B20" s="46" t="s">
        <v>63</v>
      </c>
      <c r="C20" s="46" t="s">
        <v>64</v>
      </c>
      <c r="D20" s="46" t="s">
        <v>11</v>
      </c>
      <c r="E20" s="46" t="s">
        <v>12</v>
      </c>
      <c r="F20" s="46" t="s">
        <v>35</v>
      </c>
      <c r="G20" s="46" t="s">
        <v>20</v>
      </c>
      <c r="H20" s="46">
        <v>8.9</v>
      </c>
      <c r="I20" s="46">
        <v>9.1999999999999993</v>
      </c>
      <c r="J20" s="46">
        <f t="shared" si="0"/>
        <v>9.0500000000000007</v>
      </c>
      <c r="K20" s="46" t="str">
        <f t="shared" si="1"/>
        <v>A+</v>
      </c>
      <c r="L20" s="46" t="str">
        <f t="shared" si="2"/>
        <v>A+</v>
      </c>
      <c r="M20" s="46" t="str">
        <f t="shared" si="3"/>
        <v>A+</v>
      </c>
      <c r="O20" s="56"/>
      <c r="P20" s="56"/>
      <c r="Q20" s="56"/>
    </row>
    <row r="21" spans="2:17" x14ac:dyDescent="0.25">
      <c r="B21" s="46" t="s">
        <v>65</v>
      </c>
      <c r="C21" s="46" t="s">
        <v>66</v>
      </c>
      <c r="D21" s="46" t="s">
        <v>23</v>
      </c>
      <c r="E21" s="46" t="s">
        <v>12</v>
      </c>
      <c r="F21" s="46" t="s">
        <v>13</v>
      </c>
      <c r="G21" s="46" t="s">
        <v>103</v>
      </c>
      <c r="H21" s="46">
        <v>9</v>
      </c>
      <c r="I21" s="46">
        <v>9.5</v>
      </c>
      <c r="J21" s="46">
        <f t="shared" si="0"/>
        <v>9.25</v>
      </c>
      <c r="K21" s="46" t="str">
        <f t="shared" si="1"/>
        <v>A+</v>
      </c>
      <c r="L21" s="46" t="str">
        <f t="shared" si="2"/>
        <v>A+</v>
      </c>
      <c r="M21" s="46" t="str">
        <f t="shared" si="3"/>
        <v>A+</v>
      </c>
    </row>
    <row r="22" spans="2:17" x14ac:dyDescent="0.25">
      <c r="B22" s="46" t="s">
        <v>67</v>
      </c>
      <c r="C22" s="46" t="s">
        <v>68</v>
      </c>
      <c r="D22" s="46" t="s">
        <v>23</v>
      </c>
      <c r="E22" s="46" t="s">
        <v>18</v>
      </c>
      <c r="F22" s="46" t="s">
        <v>29</v>
      </c>
      <c r="G22" s="46" t="s">
        <v>103</v>
      </c>
      <c r="H22" s="46">
        <v>5.6</v>
      </c>
      <c r="I22" s="46">
        <v>5.9</v>
      </c>
      <c r="J22" s="46">
        <f t="shared" si="0"/>
        <v>5.75</v>
      </c>
      <c r="K22" s="46" t="str">
        <f t="shared" si="1"/>
        <v>B</v>
      </c>
      <c r="L22" s="46" t="str">
        <f t="shared" si="2"/>
        <v>B</v>
      </c>
      <c r="M22" s="46" t="str">
        <f t="shared" si="3"/>
        <v>B</v>
      </c>
    </row>
    <row r="23" spans="2:17" x14ac:dyDescent="0.25">
      <c r="B23" s="46" t="s">
        <v>69</v>
      </c>
      <c r="C23" s="46" t="s">
        <v>70</v>
      </c>
      <c r="D23" s="46" t="s">
        <v>23</v>
      </c>
      <c r="E23" s="46" t="s">
        <v>18</v>
      </c>
      <c r="F23" s="46" t="s">
        <v>24</v>
      </c>
      <c r="G23" s="46" t="s">
        <v>104</v>
      </c>
      <c r="H23" s="46">
        <v>7</v>
      </c>
      <c r="I23" s="46">
        <v>7.5</v>
      </c>
      <c r="J23" s="46">
        <f t="shared" si="0"/>
        <v>7.25</v>
      </c>
      <c r="K23" s="46" t="str">
        <f t="shared" si="1"/>
        <v>A</v>
      </c>
      <c r="L23" s="46" t="str">
        <f t="shared" si="2"/>
        <v>A</v>
      </c>
      <c r="M23" s="46" t="str">
        <f t="shared" si="3"/>
        <v>A</v>
      </c>
    </row>
    <row r="24" spans="2:17" x14ac:dyDescent="0.25">
      <c r="B24" s="46" t="s">
        <v>71</v>
      </c>
      <c r="C24" s="46" t="s">
        <v>72</v>
      </c>
      <c r="D24" s="46" t="s">
        <v>34</v>
      </c>
      <c r="E24" s="46" t="s">
        <v>18</v>
      </c>
      <c r="F24" s="46" t="s">
        <v>35</v>
      </c>
      <c r="G24" s="46" t="s">
        <v>104</v>
      </c>
      <c r="H24" s="46">
        <v>9</v>
      </c>
      <c r="I24" s="46">
        <v>9.1999999999999993</v>
      </c>
      <c r="J24" s="46">
        <f t="shared" si="0"/>
        <v>9.1</v>
      </c>
      <c r="K24" s="46" t="str">
        <f t="shared" si="1"/>
        <v>A+</v>
      </c>
      <c r="L24" s="46" t="str">
        <f t="shared" si="2"/>
        <v>A+</v>
      </c>
      <c r="M24" s="46" t="str">
        <f t="shared" si="3"/>
        <v>A+</v>
      </c>
    </row>
    <row r="25" spans="2:17" x14ac:dyDescent="0.25">
      <c r="B25" s="46" t="s">
        <v>73</v>
      </c>
      <c r="C25" s="46" t="s">
        <v>74</v>
      </c>
      <c r="D25" s="46" t="s">
        <v>23</v>
      </c>
      <c r="E25" s="46" t="s">
        <v>12</v>
      </c>
      <c r="F25" s="46" t="s">
        <v>13</v>
      </c>
      <c r="G25" s="46" t="s">
        <v>105</v>
      </c>
      <c r="H25" s="46">
        <v>5.6</v>
      </c>
      <c r="I25" s="46">
        <v>7.1</v>
      </c>
      <c r="J25" s="46">
        <f t="shared" si="0"/>
        <v>6.35</v>
      </c>
      <c r="K25" s="46" t="str">
        <f t="shared" si="1"/>
        <v>B+</v>
      </c>
      <c r="L25" s="46" t="str">
        <f t="shared" si="2"/>
        <v>B+</v>
      </c>
      <c r="M25" s="46" t="str">
        <f t="shared" si="3"/>
        <v>B+</v>
      </c>
    </row>
    <row r="26" spans="2:17" x14ac:dyDescent="0.25">
      <c r="B26" s="46" t="s">
        <v>75</v>
      </c>
      <c r="C26" s="46" t="s">
        <v>76</v>
      </c>
      <c r="D26" s="46" t="s">
        <v>11</v>
      </c>
      <c r="E26" s="46" t="s">
        <v>12</v>
      </c>
      <c r="F26" s="46" t="s">
        <v>19</v>
      </c>
      <c r="G26" s="46" t="s">
        <v>103</v>
      </c>
      <c r="H26" s="46">
        <v>7</v>
      </c>
      <c r="I26" s="46">
        <v>8</v>
      </c>
      <c r="J26" s="46">
        <f t="shared" si="0"/>
        <v>7.5</v>
      </c>
      <c r="K26" s="46" t="str">
        <f t="shared" si="1"/>
        <v>A</v>
      </c>
      <c r="L26" s="46" t="str">
        <f t="shared" si="2"/>
        <v>A</v>
      </c>
      <c r="M26" s="46" t="str">
        <f t="shared" si="3"/>
        <v>A</v>
      </c>
    </row>
    <row r="30" spans="2:17" x14ac:dyDescent="0.25">
      <c r="O30" s="57" t="s">
        <v>117</v>
      </c>
    </row>
    <row r="31" spans="2:17" x14ac:dyDescent="0.25">
      <c r="O31" s="57"/>
    </row>
    <row r="32" spans="2:17" x14ac:dyDescent="0.25">
      <c r="L32" s="57" t="s">
        <v>116</v>
      </c>
      <c r="M32" s="57"/>
      <c r="O32" s="57"/>
    </row>
    <row r="33" spans="12:13" x14ac:dyDescent="0.25">
      <c r="L33" s="57"/>
      <c r="M33" s="57"/>
    </row>
    <row r="34" spans="12:13" x14ac:dyDescent="0.25">
      <c r="L34" s="57"/>
      <c r="M34" s="57"/>
    </row>
    <row r="35" spans="12:13" x14ac:dyDescent="0.25">
      <c r="L35" s="57"/>
      <c r="M35" s="57"/>
    </row>
  </sheetData>
  <mergeCells count="3">
    <mergeCell ref="O10:Q20"/>
    <mergeCell ref="L32:M35"/>
    <mergeCell ref="O30:O32"/>
  </mergeCells>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FF0AC-9B90-4E07-A38A-0C21FBE6D205}">
  <dimension ref="A2:F9"/>
  <sheetViews>
    <sheetView workbookViewId="0">
      <selection sqref="A1:XFD1048576"/>
    </sheetView>
  </sheetViews>
  <sheetFormatPr defaultRowHeight="15" x14ac:dyDescent="0.25"/>
  <cols>
    <col min="1" max="1" width="14.7109375" style="1" bestFit="1" customWidth="1"/>
    <col min="2" max="2" width="8.85546875" style="1" bestFit="1" customWidth="1"/>
    <col min="3" max="3" width="3.28515625" style="1" bestFit="1" customWidth="1"/>
    <col min="4" max="4" width="2.140625" style="1" bestFit="1" customWidth="1"/>
    <col min="5" max="5" width="3.140625" style="1" bestFit="1" customWidth="1"/>
    <col min="6" max="7" width="11.28515625" style="1" bestFit="1" customWidth="1"/>
    <col min="8" max="8" width="4" style="1" bestFit="1" customWidth="1"/>
    <col min="9" max="9" width="2.140625" style="1" bestFit="1" customWidth="1"/>
    <col min="10" max="10" width="7" style="1" bestFit="1" customWidth="1"/>
    <col min="11" max="11" width="5" style="1" bestFit="1" customWidth="1"/>
    <col min="12" max="12" width="8" style="1" bestFit="1" customWidth="1"/>
    <col min="13" max="13" width="9.140625" style="1"/>
    <col min="14" max="14" width="12.140625" style="1" bestFit="1" customWidth="1"/>
    <col min="15" max="15" width="11.28515625" style="1" bestFit="1" customWidth="1"/>
    <col min="16" max="16384" width="9.140625" style="1"/>
  </cols>
  <sheetData>
    <row r="2" spans="1:6" x14ac:dyDescent="0.25">
      <c r="B2" s="4" t="s">
        <v>110</v>
      </c>
    </row>
    <row r="3" spans="1:6" ht="15.75" thickBot="1" x14ac:dyDescent="0.3">
      <c r="A3" s="4" t="s">
        <v>112</v>
      </c>
      <c r="B3" s="4" t="s">
        <v>80</v>
      </c>
      <c r="C3" s="4"/>
      <c r="D3" s="4"/>
      <c r="E3" s="4"/>
      <c r="F3" s="4"/>
    </row>
    <row r="4" spans="1:6" ht="15.75" thickBot="1" x14ac:dyDescent="0.3">
      <c r="A4" s="5" t="s">
        <v>100</v>
      </c>
      <c r="B4" s="4" t="s">
        <v>11</v>
      </c>
      <c r="C4" s="4" t="s">
        <v>86</v>
      </c>
      <c r="D4" s="4" t="s">
        <v>23</v>
      </c>
      <c r="E4" s="4" t="s">
        <v>84</v>
      </c>
      <c r="F4" s="4" t="s">
        <v>111</v>
      </c>
    </row>
    <row r="5" spans="1:6" x14ac:dyDescent="0.25">
      <c r="A5" s="16" t="s">
        <v>11</v>
      </c>
      <c r="B5" s="13">
        <v>10</v>
      </c>
      <c r="C5" s="13"/>
      <c r="D5" s="13"/>
      <c r="E5" s="13"/>
      <c r="F5" s="13">
        <v>10</v>
      </c>
    </row>
    <row r="6" spans="1:6" x14ac:dyDescent="0.25">
      <c r="A6" s="17" t="s">
        <v>86</v>
      </c>
      <c r="B6" s="14"/>
      <c r="C6" s="14">
        <v>10</v>
      </c>
      <c r="D6" s="14"/>
      <c r="E6" s="14"/>
      <c r="F6" s="14">
        <v>10</v>
      </c>
    </row>
    <row r="7" spans="1:6" x14ac:dyDescent="0.25">
      <c r="A7" s="17" t="s">
        <v>23</v>
      </c>
      <c r="B7" s="14"/>
      <c r="C7" s="14"/>
      <c r="D7" s="14">
        <v>2</v>
      </c>
      <c r="E7" s="14"/>
      <c r="F7" s="14">
        <v>2</v>
      </c>
    </row>
    <row r="8" spans="1:6" ht="15.75" customHeight="1" thickBot="1" x14ac:dyDescent="0.3">
      <c r="A8" s="18" t="s">
        <v>84</v>
      </c>
      <c r="B8" s="15"/>
      <c r="C8" s="15"/>
      <c r="D8" s="15"/>
      <c r="E8" s="15">
        <v>3</v>
      </c>
      <c r="F8" s="15">
        <v>3</v>
      </c>
    </row>
    <row r="9" spans="1:6" ht="15.75" customHeight="1" x14ac:dyDescent="0.25">
      <c r="A9" s="17" t="s">
        <v>111</v>
      </c>
      <c r="B9" s="12">
        <v>10</v>
      </c>
      <c r="C9" s="12">
        <v>10</v>
      </c>
      <c r="D9" s="12">
        <v>2</v>
      </c>
      <c r="E9" s="12">
        <v>3</v>
      </c>
      <c r="F9" s="12">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P18"/>
  <sheetViews>
    <sheetView tabSelected="1" workbookViewId="0">
      <pane xSplit="1" topLeftCell="B1" activePane="topRight" state="frozen"/>
      <selection pane="topRight" activeCell="K10" sqref="K10"/>
    </sheetView>
  </sheetViews>
  <sheetFormatPr defaultRowHeight="15" x14ac:dyDescent="0.25"/>
  <cols>
    <col min="1" max="1" width="2" style="20" customWidth="1"/>
    <col min="2" max="3" width="3.7109375" style="20" bestFit="1" customWidth="1"/>
    <col min="4" max="7" width="7.28515625" style="20" bestFit="1" customWidth="1"/>
    <col min="8" max="8" width="9.140625" style="20"/>
    <col min="9" max="9" width="9.5703125" style="20" customWidth="1"/>
    <col min="10" max="10" width="9.42578125" style="20" customWidth="1"/>
    <col min="11" max="11" width="15.140625" style="20" bestFit="1" customWidth="1"/>
    <col min="12" max="12" width="43.42578125" style="22" customWidth="1"/>
    <col min="13" max="16384" width="9.140625" style="20"/>
  </cols>
  <sheetData>
    <row r="1" spans="2:16" ht="16.5" customHeight="1" thickBot="1" x14ac:dyDescent="0.3">
      <c r="B1" s="19"/>
      <c r="C1" s="23"/>
      <c r="D1" s="19">
        <v>2015</v>
      </c>
      <c r="E1" s="19">
        <v>2016</v>
      </c>
      <c r="F1" s="19">
        <v>2017</v>
      </c>
      <c r="G1" s="19">
        <v>2018</v>
      </c>
      <c r="I1" s="58" t="s">
        <v>101</v>
      </c>
      <c r="J1" s="58"/>
      <c r="K1" s="58"/>
      <c r="L1" s="58"/>
      <c r="M1" s="58"/>
      <c r="N1" s="58"/>
      <c r="O1" s="58"/>
      <c r="P1" s="58"/>
    </row>
    <row r="2" spans="2:16" ht="16.5" thickBot="1" x14ac:dyDescent="0.3">
      <c r="C2" s="24">
        <v>1</v>
      </c>
      <c r="D2" s="25">
        <v>2</v>
      </c>
      <c r="E2" s="25">
        <v>3</v>
      </c>
      <c r="F2" s="25">
        <v>4</v>
      </c>
      <c r="G2" s="25">
        <v>5</v>
      </c>
      <c r="I2" s="58"/>
      <c r="J2" s="58"/>
      <c r="K2" s="58"/>
      <c r="L2" s="58"/>
      <c r="M2" s="58"/>
      <c r="N2" s="58"/>
      <c r="O2" s="58"/>
      <c r="P2" s="58"/>
    </row>
    <row r="3" spans="2:16" ht="15.75" x14ac:dyDescent="0.25">
      <c r="C3" s="23" t="s">
        <v>89</v>
      </c>
      <c r="D3" s="26">
        <v>5612</v>
      </c>
      <c r="E3" s="26">
        <v>8765</v>
      </c>
      <c r="F3" s="26">
        <v>3456</v>
      </c>
      <c r="G3" s="26">
        <v>134</v>
      </c>
      <c r="I3" s="58"/>
      <c r="J3" s="58"/>
      <c r="K3" s="58"/>
      <c r="L3" s="58"/>
      <c r="M3" s="58"/>
      <c r="N3" s="58"/>
      <c r="O3" s="58"/>
      <c r="P3" s="58"/>
    </row>
    <row r="4" spans="2:16" ht="15.75" x14ac:dyDescent="0.25">
      <c r="C4" s="23" t="s">
        <v>90</v>
      </c>
      <c r="D4" s="26">
        <v>8713</v>
      </c>
      <c r="E4" s="26">
        <v>4567</v>
      </c>
      <c r="F4" s="26">
        <v>2309</v>
      </c>
      <c r="G4" s="26">
        <v>6934</v>
      </c>
      <c r="I4" s="61"/>
      <c r="J4" s="61"/>
      <c r="K4" s="61"/>
      <c r="L4" s="61"/>
      <c r="M4" s="61"/>
      <c r="N4" s="61"/>
      <c r="O4" s="61"/>
      <c r="P4" s="61"/>
    </row>
    <row r="5" spans="2:16" ht="15.75" x14ac:dyDescent="0.25">
      <c r="C5" s="23" t="s">
        <v>91</v>
      </c>
      <c r="D5" s="26">
        <v>5673</v>
      </c>
      <c r="E5" s="26">
        <v>6545</v>
      </c>
      <c r="F5" s="26">
        <v>1234</v>
      </c>
      <c r="G5" s="26">
        <v>987</v>
      </c>
      <c r="I5" s="61"/>
      <c r="J5" s="61"/>
      <c r="K5" s="61"/>
      <c r="L5" s="61"/>
      <c r="M5" s="61"/>
      <c r="N5" s="61"/>
      <c r="O5" s="61"/>
      <c r="P5" s="61"/>
    </row>
    <row r="6" spans="2:16" ht="15.75" x14ac:dyDescent="0.25">
      <c r="C6" s="23" t="s">
        <v>92</v>
      </c>
      <c r="D6" s="26">
        <v>876</v>
      </c>
      <c r="E6" s="26">
        <v>7654</v>
      </c>
      <c r="F6" s="26">
        <v>8712</v>
      </c>
      <c r="G6" s="26">
        <v>345</v>
      </c>
      <c r="I6" s="61"/>
      <c r="J6" s="61"/>
      <c r="K6" s="61"/>
      <c r="L6" s="61"/>
      <c r="M6" s="61"/>
      <c r="N6" s="61"/>
      <c r="O6" s="61"/>
      <c r="P6" s="61"/>
    </row>
    <row r="7" spans="2:16" ht="15.75" x14ac:dyDescent="0.25">
      <c r="C7" s="23" t="s">
        <v>93</v>
      </c>
      <c r="D7" s="26">
        <v>8765</v>
      </c>
      <c r="E7" s="26">
        <v>9876</v>
      </c>
      <c r="F7" s="26">
        <v>8756</v>
      </c>
      <c r="G7" s="26">
        <v>3412</v>
      </c>
      <c r="I7" s="61"/>
      <c r="J7" s="61"/>
      <c r="K7" s="61"/>
      <c r="L7" s="61"/>
      <c r="M7" s="61"/>
      <c r="N7" s="61"/>
      <c r="O7" s="61"/>
      <c r="P7" s="61"/>
    </row>
    <row r="8" spans="2:16" x14ac:dyDescent="0.25">
      <c r="I8" s="61"/>
      <c r="J8" s="61"/>
      <c r="K8" s="61"/>
      <c r="L8" s="61"/>
      <c r="M8" s="61"/>
      <c r="N8" s="61"/>
      <c r="O8" s="61"/>
      <c r="P8" s="61"/>
    </row>
    <row r="9" spans="2:16" ht="15.75" thickBot="1" x14ac:dyDescent="0.3">
      <c r="I9" s="59" t="s">
        <v>102</v>
      </c>
      <c r="J9" s="60"/>
      <c r="K9" s="27" t="s">
        <v>106</v>
      </c>
      <c r="L9" s="21"/>
    </row>
    <row r="10" spans="2:16" ht="32.25" thickBot="1" x14ac:dyDescent="0.4">
      <c r="B10" s="19"/>
      <c r="C10" s="28">
        <v>1</v>
      </c>
      <c r="D10" s="19">
        <v>2015</v>
      </c>
      <c r="E10" s="19">
        <v>2016</v>
      </c>
      <c r="F10" s="19">
        <v>2017</v>
      </c>
      <c r="G10" s="19">
        <v>2018</v>
      </c>
      <c r="I10" s="29" t="s">
        <v>90</v>
      </c>
      <c r="J10" s="30">
        <v>2016</v>
      </c>
      <c r="K10" s="31">
        <f>INDEX($D$3:$G$7,MATCH(I10,$C$3:$C$7,0),MATCH(J10,$D$1:$G$1,0))</f>
        <v>4567</v>
      </c>
      <c r="L10" s="32" t="s">
        <v>121</v>
      </c>
      <c r="M10" s="33"/>
    </row>
    <row r="11" spans="2:16" ht="15.75" x14ac:dyDescent="0.25">
      <c r="B11" s="34" t="s">
        <v>89</v>
      </c>
      <c r="C11" s="35">
        <v>2</v>
      </c>
      <c r="D11" s="36">
        <v>5612</v>
      </c>
      <c r="E11" s="36">
        <v>8765</v>
      </c>
      <c r="F11" s="36">
        <v>3456</v>
      </c>
      <c r="G11" s="36">
        <v>134</v>
      </c>
    </row>
    <row r="12" spans="2:16" ht="15.75" x14ac:dyDescent="0.25">
      <c r="B12" s="19" t="s">
        <v>90</v>
      </c>
      <c r="C12" s="28">
        <v>3</v>
      </c>
      <c r="D12" s="26">
        <v>8713</v>
      </c>
      <c r="E12" s="26">
        <v>4567</v>
      </c>
      <c r="F12" s="26">
        <v>2309</v>
      </c>
      <c r="G12" s="26">
        <v>6934</v>
      </c>
    </row>
    <row r="13" spans="2:16" ht="30" x14ac:dyDescent="0.25">
      <c r="B13" s="19" t="s">
        <v>91</v>
      </c>
      <c r="C13" s="28">
        <v>4</v>
      </c>
      <c r="D13" s="26">
        <v>5673</v>
      </c>
      <c r="E13" s="26">
        <v>6545</v>
      </c>
      <c r="F13" s="26">
        <v>1234</v>
      </c>
      <c r="G13" s="26">
        <v>987</v>
      </c>
      <c r="I13" s="37" t="s">
        <v>91</v>
      </c>
      <c r="J13" s="38">
        <v>2017</v>
      </c>
      <c r="K13" s="38">
        <f>VLOOKUP(I13,C1:G7,HLOOKUP(J13,D1:G2,2,FALSE),FALSE)</f>
        <v>1234</v>
      </c>
      <c r="L13" s="32" t="s">
        <v>108</v>
      </c>
    </row>
    <row r="14" spans="2:16" ht="15.75" x14ac:dyDescent="0.25">
      <c r="B14" s="19" t="s">
        <v>92</v>
      </c>
      <c r="C14" s="28">
        <v>5</v>
      </c>
      <c r="D14" s="26">
        <v>876</v>
      </c>
      <c r="E14" s="26">
        <v>7654</v>
      </c>
      <c r="F14" s="26">
        <v>8712</v>
      </c>
      <c r="G14" s="26">
        <v>345</v>
      </c>
    </row>
    <row r="15" spans="2:16" ht="30.75" thickBot="1" x14ac:dyDescent="0.3">
      <c r="B15" s="19" t="s">
        <v>93</v>
      </c>
      <c r="C15" s="28">
        <v>6</v>
      </c>
      <c r="D15" s="26">
        <v>8765</v>
      </c>
      <c r="E15" s="26">
        <v>9876</v>
      </c>
      <c r="F15" s="26">
        <v>8756</v>
      </c>
      <c r="G15" s="26">
        <v>3412</v>
      </c>
      <c r="I15" s="39" t="s">
        <v>91</v>
      </c>
      <c r="J15" s="40">
        <v>2018</v>
      </c>
      <c r="K15" s="38">
        <f>HLOOKUP(J15,B10:G15,VLOOKUP(I15,B10:C15,2,FALSE),FALSE)</f>
        <v>987</v>
      </c>
      <c r="L15" s="32" t="s">
        <v>109</v>
      </c>
    </row>
    <row r="16" spans="2:16" x14ac:dyDescent="0.25">
      <c r="I16" s="20" t="s">
        <v>107</v>
      </c>
    </row>
    <row r="17" spans="11:12" ht="18.75" x14ac:dyDescent="0.3">
      <c r="K17" s="41" t="s">
        <v>118</v>
      </c>
    </row>
    <row r="18" spans="11:12" ht="206.25" x14ac:dyDescent="0.3">
      <c r="L18" s="42" t="s">
        <v>119</v>
      </c>
    </row>
  </sheetData>
  <mergeCells count="2">
    <mergeCell ref="I9:J9"/>
    <mergeCell ref="I1:P3"/>
  </mergeCells>
  <dataValidations count="2">
    <dataValidation type="list" allowBlank="1" showInputMessage="1" showErrorMessage="1" sqref="J10 J13 J15" xr:uid="{A6EEC727-E2D3-4E0E-A023-E67D7CE6C8E7}">
      <formula1>$D$1:$G$1</formula1>
    </dataValidation>
    <dataValidation type="list" allowBlank="1" showInputMessage="1" showErrorMessage="1" sqref="I10 I15 I13" xr:uid="{FB552F1F-F6EF-44D0-A701-16DCC8C7F3F7}">
      <formula1>$C$3:$C$7</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Solution1</vt:lpstr>
      <vt:lpstr>Solution2</vt:lpstr>
      <vt:lpstr>Solution2 pivot count</vt:lpstr>
      <vt:lpstr>Solution3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2022-01-14T16:54:15Z</dcterms:modified>
</cp:coreProperties>
</file>