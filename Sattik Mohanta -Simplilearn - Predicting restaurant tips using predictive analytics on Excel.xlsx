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tikM\Downloads\Anik Project - IMP\SIMPLI LEARN MASTER CLASS BA\Excel\Projects\CEP Dataset\"/>
    </mc:Choice>
  </mc:AlternateContent>
  <xr:revisionPtr revIDLastSave="0" documentId="13_ncr:1_{33FAED62-E323-4015-B8BA-1074A80FFB4A}" xr6:coauthVersionLast="47" xr6:coauthVersionMax="47" xr10:uidLastSave="{00000000-0000-0000-0000-000000000000}"/>
  <bookViews>
    <workbookView xWindow="-108" yWindow="-108" windowWidth="23256" windowHeight="12456" xr2:uid="{E39F1B53-3127-4D6C-88BD-079CCE5E8692}"/>
  </bookViews>
  <sheets>
    <sheet name="tips" sheetId="1" r:id="rId1"/>
    <sheet name="CORRELATION IN %" sheetId="2" r:id="rId2"/>
    <sheet name="Linear Regression -prediction" sheetId="4" r:id="rId3"/>
    <sheet name="Parameters" sheetId="3" r:id="rId4"/>
  </sheets>
  <definedNames>
    <definedName name="_xlnm._FilterDatabase" localSheetId="1" hidden="1">'CORRELATION IN %'!$A$1:$J$245</definedName>
    <definedName name="_xlnm._FilterDatabase" localSheetId="2" hidden="1">'Linear Regression -prediction'!$A$1:$E$1</definedName>
    <definedName name="_xlnm._FilterDatabase" localSheetId="0" hidden="1">tips!$A$1:$G$245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5" i="4" l="1"/>
  <c r="E245" i="4" s="1"/>
  <c r="D244" i="4"/>
  <c r="E244" i="4" s="1"/>
  <c r="D243" i="4"/>
  <c r="E243" i="4" s="1"/>
  <c r="D242" i="4"/>
  <c r="E242" i="4" s="1"/>
  <c r="D241" i="4"/>
  <c r="E241" i="4" s="1"/>
  <c r="D240" i="4"/>
  <c r="E240" i="4" s="1"/>
  <c r="D239" i="4"/>
  <c r="E239" i="4" s="1"/>
  <c r="D238" i="4"/>
  <c r="E238" i="4" s="1"/>
  <c r="D237" i="4"/>
  <c r="E237" i="4" s="1"/>
  <c r="D236" i="4"/>
  <c r="E236" i="4" s="1"/>
  <c r="D235" i="4"/>
  <c r="E235" i="4" s="1"/>
  <c r="D234" i="4"/>
  <c r="E234" i="4" s="1"/>
  <c r="D233" i="4"/>
  <c r="E233" i="4" s="1"/>
  <c r="D232" i="4"/>
  <c r="E232" i="4" s="1"/>
  <c r="D231" i="4"/>
  <c r="E231" i="4" s="1"/>
  <c r="D230" i="4"/>
  <c r="E230" i="4" s="1"/>
  <c r="D229" i="4"/>
  <c r="E229" i="4" s="1"/>
  <c r="D228" i="4"/>
  <c r="E228" i="4" s="1"/>
  <c r="D227" i="4"/>
  <c r="E227" i="4" s="1"/>
  <c r="D226" i="4"/>
  <c r="E226" i="4" s="1"/>
  <c r="D225" i="4"/>
  <c r="E225" i="4" s="1"/>
  <c r="D224" i="4"/>
  <c r="E224" i="4" s="1"/>
  <c r="D223" i="4"/>
  <c r="E223" i="4" s="1"/>
  <c r="D222" i="4"/>
  <c r="E222" i="4" s="1"/>
  <c r="D221" i="4"/>
  <c r="E221" i="4" s="1"/>
  <c r="D220" i="4"/>
  <c r="E220" i="4" s="1"/>
  <c r="D219" i="4"/>
  <c r="E219" i="4" s="1"/>
  <c r="D218" i="4"/>
  <c r="E218" i="4" s="1"/>
  <c r="D217" i="4"/>
  <c r="E217" i="4" s="1"/>
  <c r="D216" i="4"/>
  <c r="E216" i="4" s="1"/>
  <c r="D215" i="4"/>
  <c r="E215" i="4" s="1"/>
  <c r="D214" i="4"/>
  <c r="E214" i="4" s="1"/>
  <c r="D213" i="4"/>
  <c r="E213" i="4" s="1"/>
  <c r="D212" i="4"/>
  <c r="E212" i="4" s="1"/>
  <c r="D211" i="4"/>
  <c r="E211" i="4" s="1"/>
  <c r="D210" i="4"/>
  <c r="E210" i="4" s="1"/>
  <c r="D209" i="4"/>
  <c r="E209" i="4" s="1"/>
  <c r="D208" i="4"/>
  <c r="E208" i="4" s="1"/>
  <c r="D207" i="4"/>
  <c r="E207" i="4" s="1"/>
  <c r="D206" i="4"/>
  <c r="E206" i="4" s="1"/>
  <c r="D205" i="4"/>
  <c r="E205" i="4" s="1"/>
  <c r="D204" i="4"/>
  <c r="E204" i="4" s="1"/>
  <c r="D203" i="4"/>
  <c r="E203" i="4" s="1"/>
  <c r="D202" i="4"/>
  <c r="E202" i="4" s="1"/>
  <c r="D201" i="4"/>
  <c r="E201" i="4" s="1"/>
  <c r="D200" i="4"/>
  <c r="E200" i="4" s="1"/>
  <c r="D199" i="4"/>
  <c r="E199" i="4" s="1"/>
  <c r="D198" i="4"/>
  <c r="E198" i="4" s="1"/>
  <c r="D197" i="4"/>
  <c r="E197" i="4" s="1"/>
  <c r="D196" i="4"/>
  <c r="E196" i="4" s="1"/>
  <c r="D195" i="4"/>
  <c r="E195" i="4" s="1"/>
  <c r="D194" i="4"/>
  <c r="E194" i="4" s="1"/>
  <c r="D193" i="4"/>
  <c r="E193" i="4" s="1"/>
  <c r="D192" i="4"/>
  <c r="E192" i="4" s="1"/>
  <c r="D191" i="4"/>
  <c r="E191" i="4" s="1"/>
  <c r="D190" i="4"/>
  <c r="E190" i="4" s="1"/>
  <c r="D189" i="4"/>
  <c r="E189" i="4" s="1"/>
  <c r="D188" i="4"/>
  <c r="E188" i="4" s="1"/>
  <c r="D187" i="4"/>
  <c r="E187" i="4" s="1"/>
  <c r="D186" i="4"/>
  <c r="E186" i="4" s="1"/>
  <c r="D185" i="4"/>
  <c r="E185" i="4" s="1"/>
  <c r="D184" i="4"/>
  <c r="E184" i="4" s="1"/>
  <c r="D183" i="4"/>
  <c r="E183" i="4" s="1"/>
  <c r="D182" i="4"/>
  <c r="E182" i="4" s="1"/>
  <c r="D181" i="4"/>
  <c r="E181" i="4" s="1"/>
  <c r="D180" i="4"/>
  <c r="E180" i="4" s="1"/>
  <c r="D179" i="4"/>
  <c r="E179" i="4" s="1"/>
  <c r="D178" i="4"/>
  <c r="E178" i="4" s="1"/>
  <c r="D177" i="4"/>
  <c r="E177" i="4" s="1"/>
  <c r="D176" i="4"/>
  <c r="E176" i="4" s="1"/>
  <c r="D175" i="4"/>
  <c r="E175" i="4" s="1"/>
  <c r="D174" i="4"/>
  <c r="E174" i="4" s="1"/>
  <c r="D173" i="4"/>
  <c r="E173" i="4" s="1"/>
  <c r="D172" i="4"/>
  <c r="E172" i="4" s="1"/>
  <c r="D171" i="4"/>
  <c r="E171" i="4" s="1"/>
  <c r="D170" i="4"/>
  <c r="E170" i="4" s="1"/>
  <c r="D169" i="4"/>
  <c r="E169" i="4" s="1"/>
  <c r="D168" i="4"/>
  <c r="E168" i="4" s="1"/>
  <c r="D167" i="4"/>
  <c r="E167" i="4" s="1"/>
  <c r="D166" i="4"/>
  <c r="E166" i="4" s="1"/>
  <c r="D165" i="4"/>
  <c r="E165" i="4" s="1"/>
  <c r="D164" i="4"/>
  <c r="E164" i="4" s="1"/>
  <c r="D163" i="4"/>
  <c r="E163" i="4" s="1"/>
  <c r="D162" i="4"/>
  <c r="E162" i="4" s="1"/>
  <c r="D161" i="4"/>
  <c r="E161" i="4" s="1"/>
  <c r="D160" i="4"/>
  <c r="E160" i="4" s="1"/>
  <c r="D159" i="4"/>
  <c r="E159" i="4" s="1"/>
  <c r="D158" i="4"/>
  <c r="E158" i="4" s="1"/>
  <c r="D157" i="4"/>
  <c r="E157" i="4" s="1"/>
  <c r="D156" i="4"/>
  <c r="E156" i="4" s="1"/>
  <c r="D155" i="4"/>
  <c r="E155" i="4" s="1"/>
  <c r="D154" i="4"/>
  <c r="E154" i="4" s="1"/>
  <c r="D153" i="4"/>
  <c r="E153" i="4" s="1"/>
  <c r="D152" i="4"/>
  <c r="E152" i="4" s="1"/>
  <c r="D151" i="4"/>
  <c r="E151" i="4" s="1"/>
  <c r="D150" i="4"/>
  <c r="E150" i="4" s="1"/>
  <c r="D149" i="4"/>
  <c r="E149" i="4" s="1"/>
  <c r="D148" i="4"/>
  <c r="E148" i="4" s="1"/>
  <c r="D147" i="4"/>
  <c r="E147" i="4" s="1"/>
  <c r="D146" i="4"/>
  <c r="E146" i="4" s="1"/>
  <c r="D145" i="4"/>
  <c r="E145" i="4" s="1"/>
  <c r="D144" i="4"/>
  <c r="E144" i="4" s="1"/>
  <c r="D143" i="4"/>
  <c r="E143" i="4" s="1"/>
  <c r="D142" i="4"/>
  <c r="E142" i="4" s="1"/>
  <c r="D141" i="4"/>
  <c r="E141" i="4" s="1"/>
  <c r="D140" i="4"/>
  <c r="E140" i="4" s="1"/>
  <c r="D139" i="4"/>
  <c r="E139" i="4" s="1"/>
  <c r="D138" i="4"/>
  <c r="E138" i="4" s="1"/>
  <c r="D137" i="4"/>
  <c r="E137" i="4" s="1"/>
  <c r="D136" i="4"/>
  <c r="E136" i="4" s="1"/>
  <c r="D135" i="4"/>
  <c r="E135" i="4" s="1"/>
  <c r="D134" i="4"/>
  <c r="E134" i="4" s="1"/>
  <c r="D133" i="4"/>
  <c r="E133" i="4" s="1"/>
  <c r="D132" i="4"/>
  <c r="E132" i="4" s="1"/>
  <c r="D131" i="4"/>
  <c r="E131" i="4" s="1"/>
  <c r="D130" i="4"/>
  <c r="E130" i="4" s="1"/>
  <c r="D129" i="4"/>
  <c r="E129" i="4" s="1"/>
  <c r="D128" i="4"/>
  <c r="E128" i="4" s="1"/>
  <c r="D127" i="4"/>
  <c r="E127" i="4" s="1"/>
  <c r="D126" i="4"/>
  <c r="E126" i="4" s="1"/>
  <c r="D125" i="4"/>
  <c r="E125" i="4" s="1"/>
  <c r="D124" i="4"/>
  <c r="E124" i="4" s="1"/>
  <c r="D123" i="4"/>
  <c r="E123" i="4" s="1"/>
  <c r="D122" i="4"/>
  <c r="E122" i="4" s="1"/>
  <c r="D121" i="4"/>
  <c r="E121" i="4" s="1"/>
  <c r="D120" i="4"/>
  <c r="E120" i="4" s="1"/>
  <c r="D119" i="4"/>
  <c r="E119" i="4" s="1"/>
  <c r="D118" i="4"/>
  <c r="E118" i="4" s="1"/>
  <c r="D117" i="4"/>
  <c r="E117" i="4" s="1"/>
  <c r="D116" i="4"/>
  <c r="E116" i="4" s="1"/>
  <c r="D115" i="4"/>
  <c r="E115" i="4" s="1"/>
  <c r="D114" i="4"/>
  <c r="E114" i="4" s="1"/>
  <c r="D113" i="4"/>
  <c r="E113" i="4" s="1"/>
  <c r="D112" i="4"/>
  <c r="E112" i="4" s="1"/>
  <c r="D111" i="4"/>
  <c r="E111" i="4" s="1"/>
  <c r="D110" i="4"/>
  <c r="E110" i="4" s="1"/>
  <c r="D109" i="4"/>
  <c r="E109" i="4" s="1"/>
  <c r="D108" i="4"/>
  <c r="E108" i="4" s="1"/>
  <c r="D107" i="4"/>
  <c r="E107" i="4" s="1"/>
  <c r="D106" i="4"/>
  <c r="E106" i="4" s="1"/>
  <c r="D105" i="4"/>
  <c r="E105" i="4" s="1"/>
  <c r="D104" i="4"/>
  <c r="E104" i="4" s="1"/>
  <c r="D103" i="4"/>
  <c r="E103" i="4" s="1"/>
  <c r="D102" i="4"/>
  <c r="E102" i="4" s="1"/>
  <c r="D101" i="4"/>
  <c r="E101" i="4" s="1"/>
  <c r="D100" i="4"/>
  <c r="E100" i="4" s="1"/>
  <c r="D99" i="4"/>
  <c r="E99" i="4" s="1"/>
  <c r="D98" i="4"/>
  <c r="E98" i="4" s="1"/>
  <c r="D97" i="4"/>
  <c r="E97" i="4" s="1"/>
  <c r="D96" i="4"/>
  <c r="E96" i="4" s="1"/>
  <c r="D95" i="4"/>
  <c r="E95" i="4" s="1"/>
  <c r="D94" i="4"/>
  <c r="E94" i="4" s="1"/>
  <c r="D93" i="4"/>
  <c r="E93" i="4" s="1"/>
  <c r="D92" i="4"/>
  <c r="E92" i="4" s="1"/>
  <c r="D91" i="4"/>
  <c r="E91" i="4" s="1"/>
  <c r="D90" i="4"/>
  <c r="E90" i="4" s="1"/>
  <c r="D89" i="4"/>
  <c r="E89" i="4" s="1"/>
  <c r="D88" i="4"/>
  <c r="E88" i="4" s="1"/>
  <c r="D87" i="4"/>
  <c r="E87" i="4" s="1"/>
  <c r="D86" i="4"/>
  <c r="E86" i="4" s="1"/>
  <c r="D85" i="4"/>
  <c r="E85" i="4" s="1"/>
  <c r="D84" i="4"/>
  <c r="E84" i="4" s="1"/>
  <c r="D83" i="4"/>
  <c r="E83" i="4" s="1"/>
  <c r="D82" i="4"/>
  <c r="E82" i="4" s="1"/>
  <c r="D81" i="4"/>
  <c r="E81" i="4" s="1"/>
  <c r="D80" i="4"/>
  <c r="E80" i="4" s="1"/>
  <c r="D79" i="4"/>
  <c r="E79" i="4" s="1"/>
  <c r="D78" i="4"/>
  <c r="E78" i="4" s="1"/>
  <c r="D77" i="4"/>
  <c r="E77" i="4" s="1"/>
  <c r="D76" i="4"/>
  <c r="E76" i="4" s="1"/>
  <c r="D75" i="4"/>
  <c r="E75" i="4" s="1"/>
  <c r="D74" i="4"/>
  <c r="E74" i="4" s="1"/>
  <c r="D73" i="4"/>
  <c r="E73" i="4" s="1"/>
  <c r="D72" i="4"/>
  <c r="E72" i="4" s="1"/>
  <c r="D71" i="4"/>
  <c r="E71" i="4" s="1"/>
  <c r="D70" i="4"/>
  <c r="E70" i="4" s="1"/>
  <c r="D69" i="4"/>
  <c r="E69" i="4" s="1"/>
  <c r="D68" i="4"/>
  <c r="E68" i="4" s="1"/>
  <c r="D67" i="4"/>
  <c r="E67" i="4" s="1"/>
  <c r="D66" i="4"/>
  <c r="E66" i="4" s="1"/>
  <c r="D65" i="4"/>
  <c r="E65" i="4" s="1"/>
  <c r="D64" i="4"/>
  <c r="E64" i="4" s="1"/>
  <c r="D63" i="4"/>
  <c r="E63" i="4" s="1"/>
  <c r="D62" i="4"/>
  <c r="E62" i="4" s="1"/>
  <c r="D61" i="4"/>
  <c r="E61" i="4" s="1"/>
  <c r="D60" i="4"/>
  <c r="E60" i="4" s="1"/>
  <c r="D59" i="4"/>
  <c r="E59" i="4" s="1"/>
  <c r="D58" i="4"/>
  <c r="E58" i="4" s="1"/>
  <c r="D57" i="4"/>
  <c r="E57" i="4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D5" i="4"/>
  <c r="E5" i="4" s="1"/>
  <c r="D4" i="4"/>
  <c r="E4" i="4" s="1"/>
  <c r="D3" i="4"/>
  <c r="E3" i="4" s="1"/>
  <c r="D2" i="4"/>
  <c r="E2" i="4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" i="2"/>
  <c r="F2" i="4" l="1"/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" i="2"/>
  <c r="D3" i="2"/>
  <c r="E3" i="2"/>
  <c r="F3" i="2"/>
  <c r="D4" i="2"/>
  <c r="E4" i="2"/>
  <c r="F4" i="2"/>
  <c r="D5" i="2"/>
  <c r="E5" i="2"/>
  <c r="F5" i="2"/>
  <c r="D6" i="2"/>
  <c r="E6" i="2"/>
  <c r="F6" i="2"/>
  <c r="D7" i="2"/>
  <c r="E7" i="2"/>
  <c r="F7" i="2"/>
  <c r="D8" i="2"/>
  <c r="E8" i="2"/>
  <c r="F8" i="2"/>
  <c r="D9" i="2"/>
  <c r="E9" i="2"/>
  <c r="F9" i="2"/>
  <c r="D10" i="2"/>
  <c r="E10" i="2"/>
  <c r="F10" i="2"/>
  <c r="D11" i="2"/>
  <c r="E11" i="2"/>
  <c r="F11" i="2"/>
  <c r="D12" i="2"/>
  <c r="E12" i="2"/>
  <c r="F12" i="2"/>
  <c r="D13" i="2"/>
  <c r="E13" i="2"/>
  <c r="F13" i="2"/>
  <c r="D14" i="2"/>
  <c r="E14" i="2"/>
  <c r="F14" i="2"/>
  <c r="D15" i="2"/>
  <c r="E15" i="2"/>
  <c r="F15" i="2"/>
  <c r="D16" i="2"/>
  <c r="E16" i="2"/>
  <c r="F16" i="2"/>
  <c r="D17" i="2"/>
  <c r="E17" i="2"/>
  <c r="F17" i="2"/>
  <c r="D18" i="2"/>
  <c r="E18" i="2"/>
  <c r="F18" i="2"/>
  <c r="D19" i="2"/>
  <c r="E19" i="2"/>
  <c r="F19" i="2"/>
  <c r="D20" i="2"/>
  <c r="E20" i="2"/>
  <c r="F20" i="2"/>
  <c r="D21" i="2"/>
  <c r="E21" i="2"/>
  <c r="F21" i="2"/>
  <c r="D22" i="2"/>
  <c r="E22" i="2"/>
  <c r="F22" i="2"/>
  <c r="D23" i="2"/>
  <c r="E23" i="2"/>
  <c r="F23" i="2"/>
  <c r="D24" i="2"/>
  <c r="E24" i="2"/>
  <c r="F24" i="2"/>
  <c r="D25" i="2"/>
  <c r="E25" i="2"/>
  <c r="F25" i="2"/>
  <c r="D26" i="2"/>
  <c r="E26" i="2"/>
  <c r="F26" i="2"/>
  <c r="D27" i="2"/>
  <c r="E27" i="2"/>
  <c r="F27" i="2"/>
  <c r="D28" i="2"/>
  <c r="E28" i="2"/>
  <c r="F28" i="2"/>
  <c r="D29" i="2"/>
  <c r="E29" i="2"/>
  <c r="F29" i="2"/>
  <c r="D30" i="2"/>
  <c r="E30" i="2"/>
  <c r="F30" i="2"/>
  <c r="D31" i="2"/>
  <c r="E31" i="2"/>
  <c r="F31" i="2"/>
  <c r="D32" i="2"/>
  <c r="E32" i="2"/>
  <c r="F32" i="2"/>
  <c r="D33" i="2"/>
  <c r="E33" i="2"/>
  <c r="F33" i="2"/>
  <c r="D34" i="2"/>
  <c r="E34" i="2"/>
  <c r="F34" i="2"/>
  <c r="D35" i="2"/>
  <c r="E35" i="2"/>
  <c r="F35" i="2"/>
  <c r="D36" i="2"/>
  <c r="E36" i="2"/>
  <c r="F36" i="2"/>
  <c r="D37" i="2"/>
  <c r="E37" i="2"/>
  <c r="F37" i="2"/>
  <c r="D38" i="2"/>
  <c r="E38" i="2"/>
  <c r="F38" i="2"/>
  <c r="D39" i="2"/>
  <c r="E39" i="2"/>
  <c r="F39" i="2"/>
  <c r="D40" i="2"/>
  <c r="E40" i="2"/>
  <c r="F40" i="2"/>
  <c r="D41" i="2"/>
  <c r="E41" i="2"/>
  <c r="F41" i="2"/>
  <c r="D42" i="2"/>
  <c r="E42" i="2"/>
  <c r="F42" i="2"/>
  <c r="D43" i="2"/>
  <c r="E43" i="2"/>
  <c r="F43" i="2"/>
  <c r="D44" i="2"/>
  <c r="E44" i="2"/>
  <c r="F44" i="2"/>
  <c r="D45" i="2"/>
  <c r="E45" i="2"/>
  <c r="F45" i="2"/>
  <c r="D46" i="2"/>
  <c r="E46" i="2"/>
  <c r="F46" i="2"/>
  <c r="D47" i="2"/>
  <c r="E47" i="2"/>
  <c r="F47" i="2"/>
  <c r="D48" i="2"/>
  <c r="E48" i="2"/>
  <c r="F48" i="2"/>
  <c r="D49" i="2"/>
  <c r="E49" i="2"/>
  <c r="F49" i="2"/>
  <c r="D50" i="2"/>
  <c r="E50" i="2"/>
  <c r="F50" i="2"/>
  <c r="D51" i="2"/>
  <c r="E51" i="2"/>
  <c r="F51" i="2"/>
  <c r="D52" i="2"/>
  <c r="E52" i="2"/>
  <c r="F52" i="2"/>
  <c r="D53" i="2"/>
  <c r="E53" i="2"/>
  <c r="F53" i="2"/>
  <c r="D54" i="2"/>
  <c r="E54" i="2"/>
  <c r="F54" i="2"/>
  <c r="D55" i="2"/>
  <c r="E55" i="2"/>
  <c r="F55" i="2"/>
  <c r="D56" i="2"/>
  <c r="E56" i="2"/>
  <c r="F56" i="2"/>
  <c r="D57" i="2"/>
  <c r="E57" i="2"/>
  <c r="F57" i="2"/>
  <c r="D58" i="2"/>
  <c r="E58" i="2"/>
  <c r="F58" i="2"/>
  <c r="D59" i="2"/>
  <c r="E59" i="2"/>
  <c r="F59" i="2"/>
  <c r="D60" i="2"/>
  <c r="E60" i="2"/>
  <c r="F60" i="2"/>
  <c r="D61" i="2"/>
  <c r="E61" i="2"/>
  <c r="F61" i="2"/>
  <c r="D62" i="2"/>
  <c r="E62" i="2"/>
  <c r="F62" i="2"/>
  <c r="D63" i="2"/>
  <c r="E63" i="2"/>
  <c r="F63" i="2"/>
  <c r="D64" i="2"/>
  <c r="E64" i="2"/>
  <c r="F64" i="2"/>
  <c r="D65" i="2"/>
  <c r="E65" i="2"/>
  <c r="F65" i="2"/>
  <c r="D66" i="2"/>
  <c r="E66" i="2"/>
  <c r="F66" i="2"/>
  <c r="D67" i="2"/>
  <c r="E67" i="2"/>
  <c r="F67" i="2"/>
  <c r="D68" i="2"/>
  <c r="E68" i="2"/>
  <c r="F68" i="2"/>
  <c r="D69" i="2"/>
  <c r="E69" i="2"/>
  <c r="F69" i="2"/>
  <c r="D70" i="2"/>
  <c r="E70" i="2"/>
  <c r="F70" i="2"/>
  <c r="D71" i="2"/>
  <c r="E71" i="2"/>
  <c r="F71" i="2"/>
  <c r="D72" i="2"/>
  <c r="E72" i="2"/>
  <c r="F72" i="2"/>
  <c r="D73" i="2"/>
  <c r="E73" i="2"/>
  <c r="F73" i="2"/>
  <c r="D74" i="2"/>
  <c r="E74" i="2"/>
  <c r="F74" i="2"/>
  <c r="D75" i="2"/>
  <c r="E75" i="2"/>
  <c r="F75" i="2"/>
  <c r="D76" i="2"/>
  <c r="E76" i="2"/>
  <c r="F76" i="2"/>
  <c r="D77" i="2"/>
  <c r="E77" i="2"/>
  <c r="F77" i="2"/>
  <c r="D78" i="2"/>
  <c r="E78" i="2"/>
  <c r="F78" i="2"/>
  <c r="D79" i="2"/>
  <c r="E79" i="2"/>
  <c r="F79" i="2"/>
  <c r="D80" i="2"/>
  <c r="E80" i="2"/>
  <c r="F80" i="2"/>
  <c r="D81" i="2"/>
  <c r="E81" i="2"/>
  <c r="F81" i="2"/>
  <c r="D82" i="2"/>
  <c r="E82" i="2"/>
  <c r="F82" i="2"/>
  <c r="D83" i="2"/>
  <c r="E83" i="2"/>
  <c r="F83" i="2"/>
  <c r="D84" i="2"/>
  <c r="E84" i="2"/>
  <c r="F84" i="2"/>
  <c r="D85" i="2"/>
  <c r="E85" i="2"/>
  <c r="F85" i="2"/>
  <c r="D86" i="2"/>
  <c r="E86" i="2"/>
  <c r="F86" i="2"/>
  <c r="D87" i="2"/>
  <c r="E87" i="2"/>
  <c r="F87" i="2"/>
  <c r="D88" i="2"/>
  <c r="E88" i="2"/>
  <c r="F88" i="2"/>
  <c r="D89" i="2"/>
  <c r="E89" i="2"/>
  <c r="F89" i="2"/>
  <c r="D90" i="2"/>
  <c r="E90" i="2"/>
  <c r="F90" i="2"/>
  <c r="D91" i="2"/>
  <c r="E91" i="2"/>
  <c r="F91" i="2"/>
  <c r="D92" i="2"/>
  <c r="E92" i="2"/>
  <c r="F92" i="2"/>
  <c r="D93" i="2"/>
  <c r="E93" i="2"/>
  <c r="F93" i="2"/>
  <c r="D94" i="2"/>
  <c r="E94" i="2"/>
  <c r="F94" i="2"/>
  <c r="D95" i="2"/>
  <c r="E95" i="2"/>
  <c r="F95" i="2"/>
  <c r="D96" i="2"/>
  <c r="E96" i="2"/>
  <c r="F96" i="2"/>
  <c r="D97" i="2"/>
  <c r="E97" i="2"/>
  <c r="F97" i="2"/>
  <c r="D98" i="2"/>
  <c r="E98" i="2"/>
  <c r="F98" i="2"/>
  <c r="D99" i="2"/>
  <c r="E99" i="2"/>
  <c r="F99" i="2"/>
  <c r="D100" i="2"/>
  <c r="E100" i="2"/>
  <c r="F100" i="2"/>
  <c r="D101" i="2"/>
  <c r="E101" i="2"/>
  <c r="F101" i="2"/>
  <c r="D102" i="2"/>
  <c r="E102" i="2"/>
  <c r="F102" i="2"/>
  <c r="D103" i="2"/>
  <c r="E103" i="2"/>
  <c r="F103" i="2"/>
  <c r="D104" i="2"/>
  <c r="E104" i="2"/>
  <c r="F104" i="2"/>
  <c r="D105" i="2"/>
  <c r="E105" i="2"/>
  <c r="F105" i="2"/>
  <c r="D106" i="2"/>
  <c r="E106" i="2"/>
  <c r="F106" i="2"/>
  <c r="D107" i="2"/>
  <c r="E107" i="2"/>
  <c r="F107" i="2"/>
  <c r="D108" i="2"/>
  <c r="E108" i="2"/>
  <c r="F108" i="2"/>
  <c r="D109" i="2"/>
  <c r="E109" i="2"/>
  <c r="F109" i="2"/>
  <c r="D110" i="2"/>
  <c r="E110" i="2"/>
  <c r="F110" i="2"/>
  <c r="D111" i="2"/>
  <c r="E111" i="2"/>
  <c r="F111" i="2"/>
  <c r="D112" i="2"/>
  <c r="E112" i="2"/>
  <c r="F112" i="2"/>
  <c r="D113" i="2"/>
  <c r="E113" i="2"/>
  <c r="F113" i="2"/>
  <c r="D114" i="2"/>
  <c r="E114" i="2"/>
  <c r="F114" i="2"/>
  <c r="D115" i="2"/>
  <c r="E115" i="2"/>
  <c r="F115" i="2"/>
  <c r="D116" i="2"/>
  <c r="E116" i="2"/>
  <c r="F116" i="2"/>
  <c r="D117" i="2"/>
  <c r="E117" i="2"/>
  <c r="F117" i="2"/>
  <c r="D118" i="2"/>
  <c r="E118" i="2"/>
  <c r="F118" i="2"/>
  <c r="D119" i="2"/>
  <c r="E119" i="2"/>
  <c r="F119" i="2"/>
  <c r="D120" i="2"/>
  <c r="E120" i="2"/>
  <c r="F120" i="2"/>
  <c r="D121" i="2"/>
  <c r="E121" i="2"/>
  <c r="F121" i="2"/>
  <c r="D122" i="2"/>
  <c r="E122" i="2"/>
  <c r="F122" i="2"/>
  <c r="D123" i="2"/>
  <c r="E123" i="2"/>
  <c r="F123" i="2"/>
  <c r="D124" i="2"/>
  <c r="E124" i="2"/>
  <c r="F124" i="2"/>
  <c r="D125" i="2"/>
  <c r="E125" i="2"/>
  <c r="F125" i="2"/>
  <c r="D126" i="2"/>
  <c r="E126" i="2"/>
  <c r="F126" i="2"/>
  <c r="D127" i="2"/>
  <c r="E127" i="2"/>
  <c r="F127" i="2"/>
  <c r="D128" i="2"/>
  <c r="E128" i="2"/>
  <c r="F128" i="2"/>
  <c r="D129" i="2"/>
  <c r="E129" i="2"/>
  <c r="F129" i="2"/>
  <c r="D130" i="2"/>
  <c r="E130" i="2"/>
  <c r="F130" i="2"/>
  <c r="D131" i="2"/>
  <c r="E131" i="2"/>
  <c r="F131" i="2"/>
  <c r="D132" i="2"/>
  <c r="E132" i="2"/>
  <c r="F132" i="2"/>
  <c r="D133" i="2"/>
  <c r="E133" i="2"/>
  <c r="F133" i="2"/>
  <c r="D134" i="2"/>
  <c r="E134" i="2"/>
  <c r="F134" i="2"/>
  <c r="D135" i="2"/>
  <c r="E135" i="2"/>
  <c r="F135" i="2"/>
  <c r="D136" i="2"/>
  <c r="E136" i="2"/>
  <c r="F136" i="2"/>
  <c r="D137" i="2"/>
  <c r="E137" i="2"/>
  <c r="F137" i="2"/>
  <c r="D138" i="2"/>
  <c r="E138" i="2"/>
  <c r="F138" i="2"/>
  <c r="D139" i="2"/>
  <c r="E139" i="2"/>
  <c r="F139" i="2"/>
  <c r="D140" i="2"/>
  <c r="E140" i="2"/>
  <c r="F140" i="2"/>
  <c r="D141" i="2"/>
  <c r="E141" i="2"/>
  <c r="F141" i="2"/>
  <c r="D142" i="2"/>
  <c r="E142" i="2"/>
  <c r="F142" i="2"/>
  <c r="D143" i="2"/>
  <c r="E143" i="2"/>
  <c r="F143" i="2"/>
  <c r="D144" i="2"/>
  <c r="E144" i="2"/>
  <c r="F144" i="2"/>
  <c r="D145" i="2"/>
  <c r="E145" i="2"/>
  <c r="F145" i="2"/>
  <c r="D146" i="2"/>
  <c r="E146" i="2"/>
  <c r="F146" i="2"/>
  <c r="D147" i="2"/>
  <c r="E147" i="2"/>
  <c r="F147" i="2"/>
  <c r="D148" i="2"/>
  <c r="E148" i="2"/>
  <c r="F148" i="2"/>
  <c r="D149" i="2"/>
  <c r="E149" i="2"/>
  <c r="F149" i="2"/>
  <c r="D150" i="2"/>
  <c r="E150" i="2"/>
  <c r="F150" i="2"/>
  <c r="D151" i="2"/>
  <c r="E151" i="2"/>
  <c r="F151" i="2"/>
  <c r="D152" i="2"/>
  <c r="E152" i="2"/>
  <c r="F152" i="2"/>
  <c r="D153" i="2"/>
  <c r="E153" i="2"/>
  <c r="F153" i="2"/>
  <c r="D154" i="2"/>
  <c r="E154" i="2"/>
  <c r="F154" i="2"/>
  <c r="D155" i="2"/>
  <c r="E155" i="2"/>
  <c r="F155" i="2"/>
  <c r="D156" i="2"/>
  <c r="E156" i="2"/>
  <c r="F156" i="2"/>
  <c r="D157" i="2"/>
  <c r="E157" i="2"/>
  <c r="F157" i="2"/>
  <c r="D158" i="2"/>
  <c r="E158" i="2"/>
  <c r="F158" i="2"/>
  <c r="D159" i="2"/>
  <c r="E159" i="2"/>
  <c r="F159" i="2"/>
  <c r="D160" i="2"/>
  <c r="E160" i="2"/>
  <c r="F160" i="2"/>
  <c r="D161" i="2"/>
  <c r="E161" i="2"/>
  <c r="F161" i="2"/>
  <c r="D162" i="2"/>
  <c r="E162" i="2"/>
  <c r="F162" i="2"/>
  <c r="D163" i="2"/>
  <c r="E163" i="2"/>
  <c r="F163" i="2"/>
  <c r="D164" i="2"/>
  <c r="E164" i="2"/>
  <c r="F164" i="2"/>
  <c r="D165" i="2"/>
  <c r="E165" i="2"/>
  <c r="F165" i="2"/>
  <c r="D166" i="2"/>
  <c r="E166" i="2"/>
  <c r="F166" i="2"/>
  <c r="D167" i="2"/>
  <c r="E167" i="2"/>
  <c r="F167" i="2"/>
  <c r="D168" i="2"/>
  <c r="E168" i="2"/>
  <c r="F168" i="2"/>
  <c r="D169" i="2"/>
  <c r="E169" i="2"/>
  <c r="F169" i="2"/>
  <c r="D170" i="2"/>
  <c r="E170" i="2"/>
  <c r="F170" i="2"/>
  <c r="D171" i="2"/>
  <c r="E171" i="2"/>
  <c r="F171" i="2"/>
  <c r="D172" i="2"/>
  <c r="E172" i="2"/>
  <c r="F172" i="2"/>
  <c r="D173" i="2"/>
  <c r="E173" i="2"/>
  <c r="F173" i="2"/>
  <c r="D174" i="2"/>
  <c r="E174" i="2"/>
  <c r="F174" i="2"/>
  <c r="D175" i="2"/>
  <c r="E175" i="2"/>
  <c r="F175" i="2"/>
  <c r="D176" i="2"/>
  <c r="E176" i="2"/>
  <c r="F176" i="2"/>
  <c r="D177" i="2"/>
  <c r="E177" i="2"/>
  <c r="F177" i="2"/>
  <c r="D178" i="2"/>
  <c r="E178" i="2"/>
  <c r="F178" i="2"/>
  <c r="D179" i="2"/>
  <c r="E179" i="2"/>
  <c r="F179" i="2"/>
  <c r="D180" i="2"/>
  <c r="E180" i="2"/>
  <c r="F180" i="2"/>
  <c r="D181" i="2"/>
  <c r="E181" i="2"/>
  <c r="F181" i="2"/>
  <c r="D182" i="2"/>
  <c r="E182" i="2"/>
  <c r="F182" i="2"/>
  <c r="D183" i="2"/>
  <c r="E183" i="2"/>
  <c r="F183" i="2"/>
  <c r="D184" i="2"/>
  <c r="E184" i="2"/>
  <c r="F184" i="2"/>
  <c r="D185" i="2"/>
  <c r="E185" i="2"/>
  <c r="F185" i="2"/>
  <c r="D186" i="2"/>
  <c r="E186" i="2"/>
  <c r="F186" i="2"/>
  <c r="D187" i="2"/>
  <c r="E187" i="2"/>
  <c r="F187" i="2"/>
  <c r="D188" i="2"/>
  <c r="E188" i="2"/>
  <c r="F188" i="2"/>
  <c r="D189" i="2"/>
  <c r="E189" i="2"/>
  <c r="F189" i="2"/>
  <c r="D190" i="2"/>
  <c r="E190" i="2"/>
  <c r="F190" i="2"/>
  <c r="D191" i="2"/>
  <c r="E191" i="2"/>
  <c r="F191" i="2"/>
  <c r="D192" i="2"/>
  <c r="E192" i="2"/>
  <c r="F192" i="2"/>
  <c r="D193" i="2"/>
  <c r="E193" i="2"/>
  <c r="F193" i="2"/>
  <c r="D194" i="2"/>
  <c r="E194" i="2"/>
  <c r="F194" i="2"/>
  <c r="D195" i="2"/>
  <c r="E195" i="2"/>
  <c r="F195" i="2"/>
  <c r="D196" i="2"/>
  <c r="E196" i="2"/>
  <c r="F196" i="2"/>
  <c r="D197" i="2"/>
  <c r="E197" i="2"/>
  <c r="F197" i="2"/>
  <c r="D198" i="2"/>
  <c r="E198" i="2"/>
  <c r="F198" i="2"/>
  <c r="D199" i="2"/>
  <c r="E199" i="2"/>
  <c r="F199" i="2"/>
  <c r="D200" i="2"/>
  <c r="E200" i="2"/>
  <c r="F200" i="2"/>
  <c r="D201" i="2"/>
  <c r="E201" i="2"/>
  <c r="F201" i="2"/>
  <c r="D202" i="2"/>
  <c r="E202" i="2"/>
  <c r="F202" i="2"/>
  <c r="D203" i="2"/>
  <c r="E203" i="2"/>
  <c r="F203" i="2"/>
  <c r="D204" i="2"/>
  <c r="E204" i="2"/>
  <c r="F204" i="2"/>
  <c r="D205" i="2"/>
  <c r="E205" i="2"/>
  <c r="F205" i="2"/>
  <c r="D206" i="2"/>
  <c r="E206" i="2"/>
  <c r="F206" i="2"/>
  <c r="D207" i="2"/>
  <c r="E207" i="2"/>
  <c r="F207" i="2"/>
  <c r="D208" i="2"/>
  <c r="E208" i="2"/>
  <c r="F208" i="2"/>
  <c r="D209" i="2"/>
  <c r="E209" i="2"/>
  <c r="F209" i="2"/>
  <c r="D210" i="2"/>
  <c r="E210" i="2"/>
  <c r="F210" i="2"/>
  <c r="D211" i="2"/>
  <c r="E211" i="2"/>
  <c r="F211" i="2"/>
  <c r="D212" i="2"/>
  <c r="E212" i="2"/>
  <c r="F212" i="2"/>
  <c r="D213" i="2"/>
  <c r="E213" i="2"/>
  <c r="F213" i="2"/>
  <c r="D214" i="2"/>
  <c r="E214" i="2"/>
  <c r="F214" i="2"/>
  <c r="D215" i="2"/>
  <c r="E215" i="2"/>
  <c r="F215" i="2"/>
  <c r="D216" i="2"/>
  <c r="E216" i="2"/>
  <c r="F216" i="2"/>
  <c r="D217" i="2"/>
  <c r="E217" i="2"/>
  <c r="F217" i="2"/>
  <c r="D218" i="2"/>
  <c r="E218" i="2"/>
  <c r="F218" i="2"/>
  <c r="D219" i="2"/>
  <c r="E219" i="2"/>
  <c r="F219" i="2"/>
  <c r="D220" i="2"/>
  <c r="E220" i="2"/>
  <c r="F220" i="2"/>
  <c r="D221" i="2"/>
  <c r="E221" i="2"/>
  <c r="F221" i="2"/>
  <c r="D222" i="2"/>
  <c r="E222" i="2"/>
  <c r="F222" i="2"/>
  <c r="D223" i="2"/>
  <c r="E223" i="2"/>
  <c r="F223" i="2"/>
  <c r="D224" i="2"/>
  <c r="E224" i="2"/>
  <c r="F224" i="2"/>
  <c r="D225" i="2"/>
  <c r="E225" i="2"/>
  <c r="F225" i="2"/>
  <c r="D226" i="2"/>
  <c r="E226" i="2"/>
  <c r="F226" i="2"/>
  <c r="D227" i="2"/>
  <c r="E227" i="2"/>
  <c r="F227" i="2"/>
  <c r="D228" i="2"/>
  <c r="E228" i="2"/>
  <c r="F228" i="2"/>
  <c r="D229" i="2"/>
  <c r="E229" i="2"/>
  <c r="F229" i="2"/>
  <c r="D230" i="2"/>
  <c r="E230" i="2"/>
  <c r="F230" i="2"/>
  <c r="D231" i="2"/>
  <c r="E231" i="2"/>
  <c r="F231" i="2"/>
  <c r="D232" i="2"/>
  <c r="E232" i="2"/>
  <c r="F232" i="2"/>
  <c r="D233" i="2"/>
  <c r="E233" i="2"/>
  <c r="F233" i="2"/>
  <c r="D234" i="2"/>
  <c r="E234" i="2"/>
  <c r="F234" i="2"/>
  <c r="D235" i="2"/>
  <c r="E235" i="2"/>
  <c r="F235" i="2"/>
  <c r="D236" i="2"/>
  <c r="E236" i="2"/>
  <c r="F236" i="2"/>
  <c r="D237" i="2"/>
  <c r="E237" i="2"/>
  <c r="F237" i="2"/>
  <c r="D238" i="2"/>
  <c r="E238" i="2"/>
  <c r="F238" i="2"/>
  <c r="D239" i="2"/>
  <c r="E239" i="2"/>
  <c r="F239" i="2"/>
  <c r="D240" i="2"/>
  <c r="E240" i="2"/>
  <c r="F240" i="2"/>
  <c r="D241" i="2"/>
  <c r="E241" i="2"/>
  <c r="F241" i="2"/>
  <c r="D242" i="2"/>
  <c r="E242" i="2"/>
  <c r="F242" i="2"/>
  <c r="D243" i="2"/>
  <c r="E243" i="2"/>
  <c r="F243" i="2"/>
  <c r="D244" i="2"/>
  <c r="E244" i="2"/>
  <c r="F244" i="2"/>
  <c r="D245" i="2"/>
  <c r="E245" i="2"/>
  <c r="F245" i="2"/>
  <c r="F2" i="2"/>
  <c r="E2" i="2"/>
  <c r="D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" i="2"/>
</calcChain>
</file>

<file path=xl/sharedStrings.xml><?xml version="1.0" encoding="utf-8"?>
<sst xmlns="http://schemas.openxmlformats.org/spreadsheetml/2006/main" count="1105" uniqueCount="72">
  <si>
    <t>Dinner</t>
  </si>
  <si>
    <t>Thur</t>
  </si>
  <si>
    <t>No</t>
  </si>
  <si>
    <t>Female</t>
  </si>
  <si>
    <t>Sat</t>
  </si>
  <si>
    <t>Male</t>
  </si>
  <si>
    <t>Yes</t>
  </si>
  <si>
    <t>Lunch</t>
  </si>
  <si>
    <t>Fri</t>
  </si>
  <si>
    <t>Sun</t>
  </si>
  <si>
    <t>size</t>
  </si>
  <si>
    <t>time</t>
  </si>
  <si>
    <t>day</t>
  </si>
  <si>
    <t>smoker</t>
  </si>
  <si>
    <t>sex</t>
  </si>
  <si>
    <t>tip</t>
  </si>
  <si>
    <t>total_bill</t>
  </si>
  <si>
    <t xml:space="preserve">sex </t>
  </si>
  <si>
    <t>Gender of the customer</t>
  </si>
  <si>
    <t>Day of the restaurant visit</t>
  </si>
  <si>
    <t>Number of members dining</t>
  </si>
  <si>
    <t>total bill</t>
  </si>
  <si>
    <t>Bill amount in USD</t>
  </si>
  <si>
    <t>Tip amount in USD</t>
  </si>
  <si>
    <t>Indicates if the customer is a smoker or not</t>
  </si>
  <si>
    <t>Indicates whether the tip was for lunch or dinner</t>
  </si>
  <si>
    <t>Parameters</t>
  </si>
  <si>
    <t>MALE</t>
  </si>
  <si>
    <t>FEMALE</t>
  </si>
  <si>
    <t>Sex</t>
  </si>
  <si>
    <t>Smoke</t>
  </si>
  <si>
    <t>YES</t>
  </si>
  <si>
    <t>NO</t>
  </si>
  <si>
    <t>TIME</t>
  </si>
  <si>
    <t>DINNER</t>
  </si>
  <si>
    <t>LUNCH</t>
  </si>
  <si>
    <t>Code</t>
  </si>
  <si>
    <r>
      <t xml:space="preserve">Above correlation matrix suggest that only </t>
    </r>
    <r>
      <rPr>
        <b/>
        <i/>
        <sz val="18"/>
        <color theme="1"/>
        <rFont val="Times New Roman"/>
        <family val="1"/>
      </rPr>
      <t>"size"</t>
    </r>
    <r>
      <rPr>
        <b/>
        <sz val="18"/>
        <color theme="1"/>
        <rFont val="Times New Roman"/>
        <family val="1"/>
      </rPr>
      <t xml:space="preserve"> &amp; </t>
    </r>
    <r>
      <rPr>
        <b/>
        <i/>
        <sz val="18"/>
        <color theme="1"/>
        <rFont val="Times New Roman"/>
        <family val="1"/>
      </rPr>
      <t>"total_bill"</t>
    </r>
    <r>
      <rPr>
        <b/>
        <sz val="18"/>
        <color theme="1"/>
        <rFont val="Times New Roman"/>
        <family val="1"/>
      </rPr>
      <t xml:space="preserve"> has strong relationship with tips,so we will use them in prediction model</t>
    </r>
  </si>
  <si>
    <t>Squared_error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</si>
  <si>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</si>
  <si>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</si>
  <si>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</si>
  <si>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</si>
  <si>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</si>
  <si>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</si>
  <si>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</si>
  <si>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</si>
  <si>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</si>
  <si>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</si>
  <si>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</si>
  <si>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</si>
  <si>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</si>
  <si>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</si>
  <si>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</si>
  <si>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</si>
  <si>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</si>
  <si>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</si>
  <si>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</si>
  <si>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</si>
  <si>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</si>
  <si>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</si>
  <si>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</si>
  <si>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</si>
  <si>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Observation</t>
  </si>
  <si>
    <t>Predicted tip</t>
  </si>
  <si>
    <t>Residuals</t>
  </si>
  <si>
    <t>Standard Residuals</t>
  </si>
  <si>
    <t>Percentile</t>
  </si>
  <si>
    <t>RMSE</t>
  </si>
  <si>
    <t>Predicted_Tip</t>
  </si>
  <si>
    <t>Hence, Predicted_Tips (y)=0.193*size+0.093*total_bill+0.665 (x1y1+x2y2+….....xnyn+C)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</si>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</sst>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_);[Red]\(&quot;$&quot;#,##0.00\)"/>
    <numFmt numFmtId="165" formatCode="_(* #,##0.00_);_(* \(#,##0.00\);_(* &quot;-&quot;??_);_(@_)"/>
    <numFmt numFmtId="166" formatCode="[$$-409]#,##0.00_);[Red]\([$$-409]#,##0.00\)"/>
    <numFmt numFmtId="167" formatCode="0.00000000000_);[Red]\(0.00000000000\)"/>
    <numFmt numFmtId="168" formatCode="#,##0.00000000000_);[Red]\(#,##0.00000000000\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8"/>
      <color theme="1"/>
      <name val="Times New Roman"/>
      <family val="1"/>
    </font>
    <font>
      <sz val="18"/>
      <name val="Times New Roman"/>
      <family val="1"/>
    </font>
    <font>
      <b/>
      <sz val="18"/>
      <color theme="1"/>
      <name val="Times New Roman"/>
      <family val="1"/>
    </font>
    <font>
      <b/>
      <i/>
      <sz val="18"/>
      <color theme="1"/>
      <name val="Times New Roman"/>
      <family val="1"/>
    </font>
    <font>
      <b/>
      <sz val="14"/>
      <color theme="1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rgb="FFFFFF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1" xfId="0" applyBorder="1"/>
    <xf numFmtId="166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1" applyFont="1" applyBorder="1" applyAlignment="1">
      <alignment horizontal="left"/>
    </xf>
    <xf numFmtId="166" fontId="0" fillId="0" borderId="1" xfId="0" applyNumberFormat="1" applyBorder="1"/>
    <xf numFmtId="16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0" fontId="0" fillId="0" borderId="3" xfId="0" applyBorder="1"/>
    <xf numFmtId="0" fontId="5" fillId="0" borderId="4" xfId="0" applyFont="1" applyBorder="1" applyAlignment="1">
      <alignment horizontal="center"/>
    </xf>
    <xf numFmtId="0" fontId="4" fillId="2" borderId="3" xfId="0" applyFont="1" applyFill="1" applyBorder="1"/>
    <xf numFmtId="0" fontId="7" fillId="0" borderId="0" xfId="1" applyFont="1"/>
    <xf numFmtId="0" fontId="6" fillId="0" borderId="0" xfId="1" applyFont="1"/>
    <xf numFmtId="167" fontId="5" fillId="0" borderId="4" xfId="0" applyNumberFormat="1" applyFont="1" applyBorder="1" applyAlignment="1">
      <alignment horizontal="center"/>
    </xf>
    <xf numFmtId="167" fontId="0" fillId="0" borderId="0" xfId="0" applyNumberFormat="1"/>
    <xf numFmtId="167" fontId="0" fillId="0" borderId="3" xfId="0" applyNumberFormat="1" applyBorder="1"/>
    <xf numFmtId="10" fontId="0" fillId="0" borderId="0" xfId="2" applyNumberFormat="1" applyFont="1" applyFill="1" applyBorder="1" applyAlignment="1"/>
    <xf numFmtId="10" fontId="0" fillId="0" borderId="3" xfId="2" applyNumberFormat="1" applyFont="1" applyFill="1" applyBorder="1" applyAlignment="1"/>
    <xf numFmtId="10" fontId="4" fillId="2" borderId="11" xfId="2" applyNumberFormat="1" applyFont="1" applyFill="1" applyBorder="1" applyAlignment="1"/>
    <xf numFmtId="10" fontId="4" fillId="2" borderId="12" xfId="2" applyNumberFormat="1" applyFont="1" applyFill="1" applyBorder="1" applyAlignment="1"/>
    <xf numFmtId="0" fontId="0" fillId="0" borderId="0" xfId="0" applyAlignment="1">
      <alignment wrapText="1"/>
    </xf>
    <xf numFmtId="0" fontId="5" fillId="0" borderId="4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4" fillId="2" borderId="0" xfId="0" applyFont="1" applyFill="1"/>
    <xf numFmtId="0" fontId="11" fillId="0" borderId="1" xfId="0" applyFont="1" applyBorder="1"/>
    <xf numFmtId="0" fontId="4" fillId="0" borderId="3" xfId="0" applyFont="1" applyBorder="1" applyAlignment="1">
      <alignment wrapText="1"/>
    </xf>
    <xf numFmtId="0" fontId="0" fillId="0" borderId="1" xfId="0" applyBorder="1" applyAlignment="1">
      <alignment wrapText="1"/>
    </xf>
    <xf numFmtId="0" fontId="12" fillId="4" borderId="1" xfId="1" applyFont="1" applyFill="1" applyBorder="1"/>
    <xf numFmtId="0" fontId="12" fillId="2" borderId="1" xfId="0" applyFont="1" applyFill="1" applyBorder="1" applyAlignment="1">
      <alignment wrapText="1"/>
    </xf>
    <xf numFmtId="0" fontId="4" fillId="0" borderId="1" xfId="0" applyFont="1" applyBorder="1"/>
    <xf numFmtId="0" fontId="14" fillId="0" borderId="0" xfId="1" applyFont="1" applyAlignment="1">
      <alignment vertical="center" wrapText="1"/>
    </xf>
    <xf numFmtId="0" fontId="14" fillId="0" borderId="0" xfId="1" applyFont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13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2" borderId="1" xfId="0" applyFont="1" applyFill="1" applyBorder="1"/>
    <xf numFmtId="0" fontId="0" fillId="0" borderId="13" xfId="0" applyBorder="1" applyAlignment="1">
      <alignment wrapText="1"/>
    </xf>
    <xf numFmtId="0" fontId="0" fillId="0" borderId="13" xfId="0" applyBorder="1"/>
    <xf numFmtId="0" fontId="2" fillId="2" borderId="1" xfId="0" applyFont="1" applyFill="1" applyBorder="1" applyAlignment="1">
      <alignment wrapText="1"/>
    </xf>
    <xf numFmtId="0" fontId="2" fillId="0" borderId="15" xfId="0" applyFont="1" applyBorder="1" applyAlignment="1">
      <alignment horizontal="center"/>
    </xf>
    <xf numFmtId="168" fontId="5" fillId="0" borderId="4" xfId="3" applyNumberFormat="1" applyFont="1" applyBorder="1" applyAlignment="1">
      <alignment horizontal="center"/>
    </xf>
    <xf numFmtId="168" fontId="0" fillId="0" borderId="0" xfId="3" applyNumberFormat="1" applyFont="1"/>
    <xf numFmtId="168" fontId="0" fillId="0" borderId="0" xfId="3" applyNumberFormat="1" applyFont="1" applyFill="1" applyBorder="1" applyAlignment="1"/>
    <xf numFmtId="168" fontId="0" fillId="0" borderId="3" xfId="3" applyNumberFormat="1" applyFont="1" applyBorder="1"/>
    <xf numFmtId="168" fontId="0" fillId="0" borderId="3" xfId="3" applyNumberFormat="1" applyFont="1" applyFill="1" applyBorder="1" applyAlignment="1"/>
    <xf numFmtId="168" fontId="4" fillId="2" borderId="11" xfId="3" applyNumberFormat="1" applyFont="1" applyFill="1" applyBorder="1" applyAlignment="1"/>
    <xf numFmtId="168" fontId="4" fillId="2" borderId="12" xfId="3" applyNumberFormat="1" applyFont="1" applyFill="1" applyBorder="1" applyAlignment="1"/>
    <xf numFmtId="38" fontId="0" fillId="0" borderId="0" xfId="3" applyNumberFormat="1" applyFont="1" applyFill="1" applyBorder="1" applyAlignment="1"/>
    <xf numFmtId="38" fontId="0" fillId="0" borderId="3" xfId="3" applyNumberFormat="1" applyFont="1" applyFill="1" applyBorder="1" applyAlignment="1"/>
    <xf numFmtId="0" fontId="8" fillId="4" borderId="5" xfId="1" applyFont="1" applyFill="1" applyBorder="1" applyAlignment="1">
      <alignment horizontal="left" vertical="center" wrapText="1"/>
    </xf>
    <xf numFmtId="0" fontId="8" fillId="4" borderId="2" xfId="1" applyFont="1" applyFill="1" applyBorder="1" applyAlignment="1">
      <alignment horizontal="left" vertical="center" wrapText="1"/>
    </xf>
    <xf numFmtId="0" fontId="8" fillId="4" borderId="6" xfId="1" applyFont="1" applyFill="1" applyBorder="1" applyAlignment="1">
      <alignment horizontal="left" vertical="center" wrapText="1"/>
    </xf>
    <xf numFmtId="0" fontId="8" fillId="4" borderId="7" xfId="1" applyFont="1" applyFill="1" applyBorder="1" applyAlignment="1">
      <alignment horizontal="left" vertical="center" wrapText="1"/>
    </xf>
    <xf numFmtId="0" fontId="8" fillId="4" borderId="0" xfId="1" applyFont="1" applyFill="1" applyAlignment="1">
      <alignment horizontal="left" vertical="center" wrapText="1"/>
    </xf>
    <xf numFmtId="0" fontId="8" fillId="4" borderId="8" xfId="1" applyFont="1" applyFill="1" applyBorder="1" applyAlignment="1">
      <alignment horizontal="left" vertical="center" wrapText="1"/>
    </xf>
    <xf numFmtId="0" fontId="8" fillId="4" borderId="9" xfId="1" applyFont="1" applyFill="1" applyBorder="1" applyAlignment="1">
      <alignment horizontal="left" vertical="center" wrapText="1"/>
    </xf>
    <xf numFmtId="0" fontId="8" fillId="4" borderId="3" xfId="1" applyFont="1" applyFill="1" applyBorder="1" applyAlignment="1">
      <alignment horizontal="left" vertical="center" wrapText="1"/>
    </xf>
    <xf numFmtId="0" fontId="8" fillId="4" borderId="10" xfId="1" applyFont="1" applyFill="1" applyBorder="1" applyAlignment="1">
      <alignment horizontal="left" vertical="center" wrapText="1"/>
    </xf>
    <xf numFmtId="0" fontId="10" fillId="4" borderId="0" xfId="1" applyFont="1" applyFill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2" borderId="11" xfId="0" applyFont="1" applyFill="1" applyBorder="1" applyAlignment="1">
      <alignment horizontal="center" wrapText="1"/>
    </xf>
    <xf numFmtId="0" fontId="4" fillId="2" borderId="12" xfId="0" applyFont="1" applyFill="1" applyBorder="1" applyAlignment="1">
      <alignment horizontal="center" wrapText="1"/>
    </xf>
    <xf numFmtId="0" fontId="14" fillId="2" borderId="5" xfId="1" applyFont="1" applyFill="1" applyBorder="1" applyAlignment="1">
      <alignment horizontal="center" vertical="center"/>
    </xf>
    <xf numFmtId="0" fontId="14" fillId="2" borderId="2" xfId="1" applyFont="1" applyFill="1" applyBorder="1" applyAlignment="1">
      <alignment horizontal="center" vertical="center"/>
    </xf>
    <xf numFmtId="0" fontId="14" fillId="2" borderId="12" xfId="1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</cellXfs>
  <cellStyles count="4">
    <cellStyle name="Comma" xfId="3" builtinId="3"/>
    <cellStyle name="Normal" xfId="0" builtinId="0"/>
    <cellStyle name="Normal 2" xfId="1" xr:uid="{CEBBF770-34E2-4895-8AD9-49F16014B83E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7EB0B-904D-4A32-AC49-EEE4C902527F}">
  <sheetPr filterMode="1"/>
  <dimension ref="A1:K245"/>
  <sheetViews>
    <sheetView tabSelected="1" workbookViewId="0">
      <selection activeCell="H24" sqref="H24"/>
    </sheetView>
  </sheetViews>
  <sheetFormatPr defaultColWidth="13.44140625" defaultRowHeight="14.4" x14ac:dyDescent="0.3"/>
  <cols>
    <col min="6" max="6" width="11.33203125" bestFit="1" customWidth="1"/>
    <col min="7" max="7" width="7.33203125" bestFit="1" customWidth="1"/>
    <col min="11" max="11" width="46" bestFit="1" customWidth="1"/>
  </cols>
  <sheetData>
    <row r="1" spans="1:11" x14ac:dyDescent="0.3">
      <c r="A1" t="s">
        <v>14</v>
      </c>
      <c r="B1" t="s">
        <v>13</v>
      </c>
      <c r="C1" t="s">
        <v>12</v>
      </c>
      <c r="D1" t="s">
        <v>11</v>
      </c>
      <c r="E1" t="s">
        <v>10</v>
      </c>
      <c r="F1" t="s">
        <v>16</v>
      </c>
      <c r="G1" t="s">
        <v>15</v>
      </c>
    </row>
    <row r="2" spans="1:11" hidden="1" x14ac:dyDescent="0.3">
      <c r="A2" t="s">
        <v>3</v>
      </c>
      <c r="B2" t="s">
        <v>2</v>
      </c>
      <c r="C2" t="s">
        <v>9</v>
      </c>
      <c r="D2" t="s">
        <v>0</v>
      </c>
      <c r="E2">
        <v>2</v>
      </c>
      <c r="F2" s="2">
        <v>16.989999999999998</v>
      </c>
      <c r="G2" s="3">
        <v>1.01</v>
      </c>
    </row>
    <row r="3" spans="1:11" hidden="1" x14ac:dyDescent="0.3">
      <c r="A3" t="s">
        <v>5</v>
      </c>
      <c r="B3" t="s">
        <v>2</v>
      </c>
      <c r="C3" t="s">
        <v>9</v>
      </c>
      <c r="D3" t="s">
        <v>0</v>
      </c>
      <c r="E3">
        <v>3</v>
      </c>
      <c r="F3" s="2">
        <v>10.34</v>
      </c>
      <c r="G3" s="3">
        <v>1.66</v>
      </c>
      <c r="J3" s="1" t="s">
        <v>17</v>
      </c>
      <c r="K3" s="1" t="s">
        <v>18</v>
      </c>
    </row>
    <row r="4" spans="1:11" hidden="1" x14ac:dyDescent="0.3">
      <c r="A4" t="s">
        <v>5</v>
      </c>
      <c r="B4" t="s">
        <v>2</v>
      </c>
      <c r="C4" t="s">
        <v>9</v>
      </c>
      <c r="D4" t="s">
        <v>0</v>
      </c>
      <c r="E4">
        <v>3</v>
      </c>
      <c r="F4" s="2">
        <v>21.01</v>
      </c>
      <c r="G4" s="3">
        <v>3.5</v>
      </c>
      <c r="J4" s="1" t="s">
        <v>13</v>
      </c>
      <c r="K4" s="1" t="s">
        <v>24</v>
      </c>
    </row>
    <row r="5" spans="1:11" hidden="1" x14ac:dyDescent="0.3">
      <c r="A5" t="s">
        <v>5</v>
      </c>
      <c r="B5" t="s">
        <v>2</v>
      </c>
      <c r="C5" t="s">
        <v>9</v>
      </c>
      <c r="D5" t="s">
        <v>0</v>
      </c>
      <c r="E5">
        <v>2</v>
      </c>
      <c r="F5" s="2">
        <v>23.68</v>
      </c>
      <c r="G5" s="3">
        <v>3.31</v>
      </c>
      <c r="J5" s="1" t="s">
        <v>12</v>
      </c>
      <c r="K5" s="1" t="s">
        <v>19</v>
      </c>
    </row>
    <row r="6" spans="1:11" hidden="1" x14ac:dyDescent="0.3">
      <c r="A6" t="s">
        <v>3</v>
      </c>
      <c r="B6" t="s">
        <v>2</v>
      </c>
      <c r="C6" t="s">
        <v>9</v>
      </c>
      <c r="D6" t="s">
        <v>0</v>
      </c>
      <c r="E6">
        <v>4</v>
      </c>
      <c r="F6" s="2">
        <v>24.59</v>
      </c>
      <c r="G6" s="3">
        <v>3.61</v>
      </c>
      <c r="J6" s="1" t="s">
        <v>11</v>
      </c>
      <c r="K6" s="1" t="s">
        <v>25</v>
      </c>
    </row>
    <row r="7" spans="1:11" hidden="1" x14ac:dyDescent="0.3">
      <c r="A7" t="s">
        <v>5</v>
      </c>
      <c r="B7" t="s">
        <v>2</v>
      </c>
      <c r="C7" t="s">
        <v>9</v>
      </c>
      <c r="D7" t="s">
        <v>0</v>
      </c>
      <c r="E7">
        <v>4</v>
      </c>
      <c r="F7" s="2">
        <v>25.29</v>
      </c>
      <c r="G7" s="3">
        <v>4.71</v>
      </c>
      <c r="J7" s="1" t="s">
        <v>10</v>
      </c>
      <c r="K7" s="1" t="s">
        <v>20</v>
      </c>
    </row>
    <row r="8" spans="1:11" hidden="1" x14ac:dyDescent="0.3">
      <c r="A8" t="s">
        <v>5</v>
      </c>
      <c r="B8" t="s">
        <v>2</v>
      </c>
      <c r="C8" t="s">
        <v>9</v>
      </c>
      <c r="D8" t="s">
        <v>0</v>
      </c>
      <c r="E8">
        <v>2</v>
      </c>
      <c r="F8" s="2">
        <v>8.77</v>
      </c>
      <c r="G8" s="3">
        <v>2</v>
      </c>
      <c r="J8" s="1" t="s">
        <v>21</v>
      </c>
      <c r="K8" s="1" t="s">
        <v>22</v>
      </c>
    </row>
    <row r="9" spans="1:11" hidden="1" x14ac:dyDescent="0.3">
      <c r="A9" t="s">
        <v>5</v>
      </c>
      <c r="B9" t="s">
        <v>2</v>
      </c>
      <c r="C9" t="s">
        <v>9</v>
      </c>
      <c r="D9" t="s">
        <v>0</v>
      </c>
      <c r="E9">
        <v>4</v>
      </c>
      <c r="F9" s="2">
        <v>26.88</v>
      </c>
      <c r="G9" s="3">
        <v>3.12</v>
      </c>
      <c r="J9" s="1" t="s">
        <v>15</v>
      </c>
      <c r="K9" s="1" t="s">
        <v>23</v>
      </c>
    </row>
    <row r="10" spans="1:11" hidden="1" x14ac:dyDescent="0.3">
      <c r="A10" t="s">
        <v>5</v>
      </c>
      <c r="B10" t="s">
        <v>2</v>
      </c>
      <c r="C10" t="s">
        <v>9</v>
      </c>
      <c r="D10" t="s">
        <v>0</v>
      </c>
      <c r="E10">
        <v>2</v>
      </c>
      <c r="F10" s="2">
        <v>15.04</v>
      </c>
      <c r="G10" s="3">
        <v>1.96</v>
      </c>
    </row>
    <row r="11" spans="1:11" hidden="1" x14ac:dyDescent="0.3">
      <c r="A11" t="s">
        <v>5</v>
      </c>
      <c r="B11" t="s">
        <v>2</v>
      </c>
      <c r="C11" t="s">
        <v>9</v>
      </c>
      <c r="D11" t="s">
        <v>0</v>
      </c>
      <c r="E11">
        <v>2</v>
      </c>
      <c r="F11" s="2">
        <v>14.78</v>
      </c>
      <c r="G11" s="3">
        <v>3.23</v>
      </c>
    </row>
    <row r="12" spans="1:11" hidden="1" x14ac:dyDescent="0.3">
      <c r="A12" t="s">
        <v>5</v>
      </c>
      <c r="B12" t="s">
        <v>2</v>
      </c>
      <c r="C12" t="s">
        <v>9</v>
      </c>
      <c r="D12" t="s">
        <v>0</v>
      </c>
      <c r="E12">
        <v>2</v>
      </c>
      <c r="F12" s="2">
        <v>10.27</v>
      </c>
      <c r="G12" s="3">
        <v>1.71</v>
      </c>
    </row>
    <row r="13" spans="1:11" hidden="1" x14ac:dyDescent="0.3">
      <c r="A13" t="s">
        <v>3</v>
      </c>
      <c r="B13" t="s">
        <v>2</v>
      </c>
      <c r="C13" t="s">
        <v>9</v>
      </c>
      <c r="D13" t="s">
        <v>0</v>
      </c>
      <c r="E13">
        <v>4</v>
      </c>
      <c r="F13" s="2">
        <v>35.26</v>
      </c>
      <c r="G13" s="3">
        <v>5</v>
      </c>
    </row>
    <row r="14" spans="1:11" hidden="1" x14ac:dyDescent="0.3">
      <c r="A14" t="s">
        <v>5</v>
      </c>
      <c r="B14" t="s">
        <v>2</v>
      </c>
      <c r="C14" t="s">
        <v>9</v>
      </c>
      <c r="D14" t="s">
        <v>0</v>
      </c>
      <c r="E14">
        <v>2</v>
      </c>
      <c r="F14" s="2">
        <v>15.42</v>
      </c>
      <c r="G14" s="3">
        <v>1.57</v>
      </c>
    </row>
    <row r="15" spans="1:11" hidden="1" x14ac:dyDescent="0.3">
      <c r="A15" t="s">
        <v>5</v>
      </c>
      <c r="B15" t="s">
        <v>2</v>
      </c>
      <c r="C15" t="s">
        <v>9</v>
      </c>
      <c r="D15" t="s">
        <v>0</v>
      </c>
      <c r="E15">
        <v>4</v>
      </c>
      <c r="F15" s="2">
        <v>18.43</v>
      </c>
      <c r="G15" s="3">
        <v>3</v>
      </c>
    </row>
    <row r="16" spans="1:11" hidden="1" x14ac:dyDescent="0.3">
      <c r="A16" t="s">
        <v>3</v>
      </c>
      <c r="B16" t="s">
        <v>2</v>
      </c>
      <c r="C16" t="s">
        <v>9</v>
      </c>
      <c r="D16" t="s">
        <v>0</v>
      </c>
      <c r="E16">
        <v>2</v>
      </c>
      <c r="F16" s="2">
        <v>14.83</v>
      </c>
      <c r="G16" s="3">
        <v>3.02</v>
      </c>
    </row>
    <row r="17" spans="1:7" hidden="1" x14ac:dyDescent="0.3">
      <c r="A17" t="s">
        <v>5</v>
      </c>
      <c r="B17" t="s">
        <v>2</v>
      </c>
      <c r="C17" t="s">
        <v>9</v>
      </c>
      <c r="D17" t="s">
        <v>0</v>
      </c>
      <c r="E17">
        <v>2</v>
      </c>
      <c r="F17" s="2">
        <v>21.58</v>
      </c>
      <c r="G17" s="3">
        <v>3.92</v>
      </c>
    </row>
    <row r="18" spans="1:7" hidden="1" x14ac:dyDescent="0.3">
      <c r="A18" t="s">
        <v>3</v>
      </c>
      <c r="B18" t="s">
        <v>2</v>
      </c>
      <c r="C18" t="s">
        <v>9</v>
      </c>
      <c r="D18" t="s">
        <v>0</v>
      </c>
      <c r="E18">
        <v>3</v>
      </c>
      <c r="F18" s="2">
        <v>10.33</v>
      </c>
      <c r="G18" s="3">
        <v>1.67</v>
      </c>
    </row>
    <row r="19" spans="1:7" hidden="1" x14ac:dyDescent="0.3">
      <c r="A19" t="s">
        <v>5</v>
      </c>
      <c r="B19" t="s">
        <v>2</v>
      </c>
      <c r="C19" t="s">
        <v>9</v>
      </c>
      <c r="D19" t="s">
        <v>0</v>
      </c>
      <c r="E19">
        <v>3</v>
      </c>
      <c r="F19" s="2">
        <v>16.29</v>
      </c>
      <c r="G19" s="3">
        <v>3.71</v>
      </c>
    </row>
    <row r="20" spans="1:7" hidden="1" x14ac:dyDescent="0.3">
      <c r="A20" t="s">
        <v>3</v>
      </c>
      <c r="B20" t="s">
        <v>2</v>
      </c>
      <c r="C20" t="s">
        <v>9</v>
      </c>
      <c r="D20" t="s">
        <v>0</v>
      </c>
      <c r="E20">
        <v>3</v>
      </c>
      <c r="F20" s="2">
        <v>16.97</v>
      </c>
      <c r="G20" s="3">
        <v>3.5</v>
      </c>
    </row>
    <row r="21" spans="1:7" x14ac:dyDescent="0.3">
      <c r="A21" t="s">
        <v>5</v>
      </c>
      <c r="B21" t="s">
        <v>2</v>
      </c>
      <c r="C21" t="s">
        <v>4</v>
      </c>
      <c r="D21" t="s">
        <v>0</v>
      </c>
      <c r="E21">
        <v>3</v>
      </c>
      <c r="F21" s="2">
        <v>20.65</v>
      </c>
      <c r="G21" s="3">
        <v>3.35</v>
      </c>
    </row>
    <row r="22" spans="1:7" x14ac:dyDescent="0.3">
      <c r="A22" t="s">
        <v>5</v>
      </c>
      <c r="B22" t="s">
        <v>2</v>
      </c>
      <c r="C22" t="s">
        <v>4</v>
      </c>
      <c r="D22" t="s">
        <v>0</v>
      </c>
      <c r="E22">
        <v>2</v>
      </c>
      <c r="F22" s="2">
        <v>17.920000000000002</v>
      </c>
      <c r="G22" s="3">
        <v>4.08</v>
      </c>
    </row>
    <row r="23" spans="1:7" x14ac:dyDescent="0.3">
      <c r="A23" t="s">
        <v>3</v>
      </c>
      <c r="B23" t="s">
        <v>2</v>
      </c>
      <c r="C23" t="s">
        <v>4</v>
      </c>
      <c r="D23" t="s">
        <v>0</v>
      </c>
      <c r="E23">
        <v>2</v>
      </c>
      <c r="F23" s="2">
        <v>20.29</v>
      </c>
      <c r="G23" s="3">
        <v>2.75</v>
      </c>
    </row>
    <row r="24" spans="1:7" x14ac:dyDescent="0.3">
      <c r="A24" t="s">
        <v>3</v>
      </c>
      <c r="B24" t="s">
        <v>2</v>
      </c>
      <c r="C24" t="s">
        <v>4</v>
      </c>
      <c r="D24" t="s">
        <v>0</v>
      </c>
      <c r="E24">
        <v>2</v>
      </c>
      <c r="F24" s="2">
        <v>15.77</v>
      </c>
      <c r="G24" s="3">
        <v>2.23</v>
      </c>
    </row>
    <row r="25" spans="1:7" x14ac:dyDescent="0.3">
      <c r="A25" t="s">
        <v>5</v>
      </c>
      <c r="B25" t="s">
        <v>2</v>
      </c>
      <c r="C25" t="s">
        <v>4</v>
      </c>
      <c r="D25" t="s">
        <v>0</v>
      </c>
      <c r="E25">
        <v>4</v>
      </c>
      <c r="F25" s="2">
        <v>39.42</v>
      </c>
      <c r="G25" s="3">
        <v>7.58</v>
      </c>
    </row>
    <row r="26" spans="1:7" x14ac:dyDescent="0.3">
      <c r="A26" t="s">
        <v>5</v>
      </c>
      <c r="B26" t="s">
        <v>2</v>
      </c>
      <c r="C26" t="s">
        <v>4</v>
      </c>
      <c r="D26" t="s">
        <v>0</v>
      </c>
      <c r="E26">
        <v>2</v>
      </c>
      <c r="F26" s="2">
        <v>19.82</v>
      </c>
      <c r="G26" s="3">
        <v>3.18</v>
      </c>
    </row>
    <row r="27" spans="1:7" x14ac:dyDescent="0.3">
      <c r="A27" t="s">
        <v>5</v>
      </c>
      <c r="B27" t="s">
        <v>2</v>
      </c>
      <c r="C27" t="s">
        <v>4</v>
      </c>
      <c r="D27" t="s">
        <v>0</v>
      </c>
      <c r="E27">
        <v>4</v>
      </c>
      <c r="F27" s="2">
        <v>17.809999999999999</v>
      </c>
      <c r="G27" s="3">
        <v>2.34</v>
      </c>
    </row>
    <row r="28" spans="1:7" x14ac:dyDescent="0.3">
      <c r="A28" t="s">
        <v>5</v>
      </c>
      <c r="B28" t="s">
        <v>2</v>
      </c>
      <c r="C28" t="s">
        <v>4</v>
      </c>
      <c r="D28" t="s">
        <v>0</v>
      </c>
      <c r="E28">
        <v>2</v>
      </c>
      <c r="F28" s="2">
        <v>13.37</v>
      </c>
      <c r="G28" s="3">
        <v>2</v>
      </c>
    </row>
    <row r="29" spans="1:7" x14ac:dyDescent="0.3">
      <c r="A29" t="s">
        <v>5</v>
      </c>
      <c r="B29" t="s">
        <v>2</v>
      </c>
      <c r="C29" t="s">
        <v>4</v>
      </c>
      <c r="D29" t="s">
        <v>0</v>
      </c>
      <c r="E29">
        <v>2</v>
      </c>
      <c r="F29" s="2">
        <v>12.69</v>
      </c>
      <c r="G29" s="3">
        <v>2</v>
      </c>
    </row>
    <row r="30" spans="1:7" x14ac:dyDescent="0.3">
      <c r="A30" t="s">
        <v>5</v>
      </c>
      <c r="B30" t="s">
        <v>2</v>
      </c>
      <c r="C30" t="s">
        <v>4</v>
      </c>
      <c r="D30" t="s">
        <v>0</v>
      </c>
      <c r="E30">
        <v>2</v>
      </c>
      <c r="F30" s="2">
        <v>21.7</v>
      </c>
      <c r="G30" s="3">
        <v>4.3</v>
      </c>
    </row>
    <row r="31" spans="1:7" x14ac:dyDescent="0.3">
      <c r="A31" t="s">
        <v>3</v>
      </c>
      <c r="B31" t="s">
        <v>2</v>
      </c>
      <c r="C31" t="s">
        <v>4</v>
      </c>
      <c r="D31" t="s">
        <v>0</v>
      </c>
      <c r="E31">
        <v>2</v>
      </c>
      <c r="F31" s="2">
        <v>19.649999999999999</v>
      </c>
      <c r="G31" s="3">
        <v>3</v>
      </c>
    </row>
    <row r="32" spans="1:7" x14ac:dyDescent="0.3">
      <c r="A32" t="s">
        <v>5</v>
      </c>
      <c r="B32" t="s">
        <v>2</v>
      </c>
      <c r="C32" t="s">
        <v>4</v>
      </c>
      <c r="D32" t="s">
        <v>0</v>
      </c>
      <c r="E32">
        <v>2</v>
      </c>
      <c r="F32" s="2">
        <v>9.5500000000000007</v>
      </c>
      <c r="G32" s="3">
        <v>1.45</v>
      </c>
    </row>
    <row r="33" spans="1:7" x14ac:dyDescent="0.3">
      <c r="A33" t="s">
        <v>5</v>
      </c>
      <c r="B33" t="s">
        <v>2</v>
      </c>
      <c r="C33" t="s">
        <v>4</v>
      </c>
      <c r="D33" t="s">
        <v>0</v>
      </c>
      <c r="E33">
        <v>4</v>
      </c>
      <c r="F33" s="2">
        <v>18.350000000000001</v>
      </c>
      <c r="G33" s="3">
        <v>2.5</v>
      </c>
    </row>
    <row r="34" spans="1:7" x14ac:dyDescent="0.3">
      <c r="A34" t="s">
        <v>3</v>
      </c>
      <c r="B34" t="s">
        <v>2</v>
      </c>
      <c r="C34" t="s">
        <v>4</v>
      </c>
      <c r="D34" t="s">
        <v>0</v>
      </c>
      <c r="E34">
        <v>2</v>
      </c>
      <c r="F34" s="2">
        <v>15.06</v>
      </c>
      <c r="G34" s="3">
        <v>3</v>
      </c>
    </row>
    <row r="35" spans="1:7" x14ac:dyDescent="0.3">
      <c r="A35" t="s">
        <v>3</v>
      </c>
      <c r="B35" t="s">
        <v>2</v>
      </c>
      <c r="C35" t="s">
        <v>4</v>
      </c>
      <c r="D35" t="s">
        <v>0</v>
      </c>
      <c r="E35">
        <v>4</v>
      </c>
      <c r="F35" s="2">
        <v>20.69</v>
      </c>
      <c r="G35" s="3">
        <v>2.4500000000000002</v>
      </c>
    </row>
    <row r="36" spans="1:7" x14ac:dyDescent="0.3">
      <c r="A36" t="s">
        <v>5</v>
      </c>
      <c r="B36" t="s">
        <v>2</v>
      </c>
      <c r="C36" t="s">
        <v>4</v>
      </c>
      <c r="D36" t="s">
        <v>0</v>
      </c>
      <c r="E36">
        <v>2</v>
      </c>
      <c r="F36" s="2">
        <v>17.78</v>
      </c>
      <c r="G36" s="3">
        <v>3.27</v>
      </c>
    </row>
    <row r="37" spans="1:7" x14ac:dyDescent="0.3">
      <c r="A37" t="s">
        <v>5</v>
      </c>
      <c r="B37" t="s">
        <v>2</v>
      </c>
      <c r="C37" t="s">
        <v>4</v>
      </c>
      <c r="D37" t="s">
        <v>0</v>
      </c>
      <c r="E37">
        <v>3</v>
      </c>
      <c r="F37" s="2">
        <v>24.06</v>
      </c>
      <c r="G37" s="3">
        <v>3.6</v>
      </c>
    </row>
    <row r="38" spans="1:7" x14ac:dyDescent="0.3">
      <c r="A38" t="s">
        <v>5</v>
      </c>
      <c r="B38" t="s">
        <v>2</v>
      </c>
      <c r="C38" t="s">
        <v>4</v>
      </c>
      <c r="D38" t="s">
        <v>0</v>
      </c>
      <c r="E38">
        <v>3</v>
      </c>
      <c r="F38" s="2">
        <v>16.309999999999999</v>
      </c>
      <c r="G38" s="3">
        <v>2</v>
      </c>
    </row>
    <row r="39" spans="1:7" x14ac:dyDescent="0.3">
      <c r="A39" t="s">
        <v>3</v>
      </c>
      <c r="B39" t="s">
        <v>2</v>
      </c>
      <c r="C39" t="s">
        <v>4</v>
      </c>
      <c r="D39" t="s">
        <v>0</v>
      </c>
      <c r="E39">
        <v>3</v>
      </c>
      <c r="F39" s="2">
        <v>16.93</v>
      </c>
      <c r="G39" s="3">
        <v>3.07</v>
      </c>
    </row>
    <row r="40" spans="1:7" x14ac:dyDescent="0.3">
      <c r="A40" t="s">
        <v>5</v>
      </c>
      <c r="B40" t="s">
        <v>2</v>
      </c>
      <c r="C40" t="s">
        <v>4</v>
      </c>
      <c r="D40" t="s">
        <v>0</v>
      </c>
      <c r="E40">
        <v>3</v>
      </c>
      <c r="F40" s="2">
        <v>18.690000000000001</v>
      </c>
      <c r="G40" s="3">
        <v>2.31</v>
      </c>
    </row>
    <row r="41" spans="1:7" x14ac:dyDescent="0.3">
      <c r="A41" t="s">
        <v>5</v>
      </c>
      <c r="B41" t="s">
        <v>2</v>
      </c>
      <c r="C41" t="s">
        <v>4</v>
      </c>
      <c r="D41" t="s">
        <v>0</v>
      </c>
      <c r="E41">
        <v>3</v>
      </c>
      <c r="F41" s="2">
        <v>31.27</v>
      </c>
      <c r="G41" s="3">
        <v>5</v>
      </c>
    </row>
    <row r="42" spans="1:7" x14ac:dyDescent="0.3">
      <c r="A42" t="s">
        <v>5</v>
      </c>
      <c r="B42" t="s">
        <v>2</v>
      </c>
      <c r="C42" t="s">
        <v>4</v>
      </c>
      <c r="D42" t="s">
        <v>0</v>
      </c>
      <c r="E42">
        <v>3</v>
      </c>
      <c r="F42" s="2">
        <v>16.04</v>
      </c>
      <c r="G42" s="3">
        <v>2.2400000000000002</v>
      </c>
    </row>
    <row r="43" spans="1:7" hidden="1" x14ac:dyDescent="0.3">
      <c r="A43" t="s">
        <v>5</v>
      </c>
      <c r="B43" t="s">
        <v>2</v>
      </c>
      <c r="C43" t="s">
        <v>9</v>
      </c>
      <c r="D43" t="s">
        <v>0</v>
      </c>
      <c r="E43">
        <v>2</v>
      </c>
      <c r="F43" s="2">
        <v>17.46</v>
      </c>
      <c r="G43" s="3">
        <v>2.54</v>
      </c>
    </row>
    <row r="44" spans="1:7" hidden="1" x14ac:dyDescent="0.3">
      <c r="A44" t="s">
        <v>5</v>
      </c>
      <c r="B44" t="s">
        <v>2</v>
      </c>
      <c r="C44" t="s">
        <v>9</v>
      </c>
      <c r="D44" t="s">
        <v>0</v>
      </c>
      <c r="E44">
        <v>2</v>
      </c>
      <c r="F44" s="2">
        <v>13.94</v>
      </c>
      <c r="G44" s="3">
        <v>3.06</v>
      </c>
    </row>
    <row r="45" spans="1:7" hidden="1" x14ac:dyDescent="0.3">
      <c r="A45" t="s">
        <v>5</v>
      </c>
      <c r="B45" t="s">
        <v>2</v>
      </c>
      <c r="C45" t="s">
        <v>9</v>
      </c>
      <c r="D45" t="s">
        <v>0</v>
      </c>
      <c r="E45">
        <v>2</v>
      </c>
      <c r="F45" s="2">
        <v>9.68</v>
      </c>
      <c r="G45" s="3">
        <v>1.32</v>
      </c>
    </row>
    <row r="46" spans="1:7" hidden="1" x14ac:dyDescent="0.3">
      <c r="A46" t="s">
        <v>5</v>
      </c>
      <c r="B46" t="s">
        <v>2</v>
      </c>
      <c r="C46" t="s">
        <v>9</v>
      </c>
      <c r="D46" t="s">
        <v>0</v>
      </c>
      <c r="E46">
        <v>4</v>
      </c>
      <c r="F46" s="2">
        <v>30.4</v>
      </c>
      <c r="G46" s="3">
        <v>5.6</v>
      </c>
    </row>
    <row r="47" spans="1:7" hidden="1" x14ac:dyDescent="0.3">
      <c r="A47" t="s">
        <v>5</v>
      </c>
      <c r="B47" t="s">
        <v>2</v>
      </c>
      <c r="C47" t="s">
        <v>9</v>
      </c>
      <c r="D47" t="s">
        <v>0</v>
      </c>
      <c r="E47">
        <v>2</v>
      </c>
      <c r="F47" s="2">
        <v>18.29</v>
      </c>
      <c r="G47" s="3">
        <v>3</v>
      </c>
    </row>
    <row r="48" spans="1:7" hidden="1" x14ac:dyDescent="0.3">
      <c r="A48" t="s">
        <v>5</v>
      </c>
      <c r="B48" t="s">
        <v>2</v>
      </c>
      <c r="C48" t="s">
        <v>9</v>
      </c>
      <c r="D48" t="s">
        <v>0</v>
      </c>
      <c r="E48">
        <v>2</v>
      </c>
      <c r="F48" s="2">
        <v>22.23</v>
      </c>
      <c r="G48" s="3">
        <v>5</v>
      </c>
    </row>
    <row r="49" spans="1:7" hidden="1" x14ac:dyDescent="0.3">
      <c r="A49" t="s">
        <v>5</v>
      </c>
      <c r="B49" t="s">
        <v>2</v>
      </c>
      <c r="C49" t="s">
        <v>9</v>
      </c>
      <c r="D49" t="s">
        <v>0</v>
      </c>
      <c r="E49">
        <v>4</v>
      </c>
      <c r="F49" s="2">
        <v>32.4</v>
      </c>
      <c r="G49" s="3">
        <v>6</v>
      </c>
    </row>
    <row r="50" spans="1:7" hidden="1" x14ac:dyDescent="0.3">
      <c r="A50" t="s">
        <v>5</v>
      </c>
      <c r="B50" t="s">
        <v>2</v>
      </c>
      <c r="C50" t="s">
        <v>9</v>
      </c>
      <c r="D50" t="s">
        <v>0</v>
      </c>
      <c r="E50">
        <v>3</v>
      </c>
      <c r="F50" s="2">
        <v>28.55</v>
      </c>
      <c r="G50" s="3">
        <v>2.0499999999999998</v>
      </c>
    </row>
    <row r="51" spans="1:7" hidden="1" x14ac:dyDescent="0.3">
      <c r="A51" t="s">
        <v>5</v>
      </c>
      <c r="B51" t="s">
        <v>2</v>
      </c>
      <c r="C51" t="s">
        <v>9</v>
      </c>
      <c r="D51" t="s">
        <v>0</v>
      </c>
      <c r="E51">
        <v>2</v>
      </c>
      <c r="F51" s="2">
        <v>18.04</v>
      </c>
      <c r="G51" s="3">
        <v>3</v>
      </c>
    </row>
    <row r="52" spans="1:7" hidden="1" x14ac:dyDescent="0.3">
      <c r="A52" t="s">
        <v>5</v>
      </c>
      <c r="B52" t="s">
        <v>2</v>
      </c>
      <c r="C52" t="s">
        <v>9</v>
      </c>
      <c r="D52" t="s">
        <v>0</v>
      </c>
      <c r="E52">
        <v>2</v>
      </c>
      <c r="F52" s="2">
        <v>12.54</v>
      </c>
      <c r="G52" s="3">
        <v>2.5</v>
      </c>
    </row>
    <row r="53" spans="1:7" hidden="1" x14ac:dyDescent="0.3">
      <c r="A53" t="s">
        <v>3</v>
      </c>
      <c r="B53" t="s">
        <v>2</v>
      </c>
      <c r="C53" t="s">
        <v>9</v>
      </c>
      <c r="D53" t="s">
        <v>0</v>
      </c>
      <c r="E53">
        <v>2</v>
      </c>
      <c r="F53" s="2">
        <v>10.29</v>
      </c>
      <c r="G53" s="3">
        <v>2.6</v>
      </c>
    </row>
    <row r="54" spans="1:7" hidden="1" x14ac:dyDescent="0.3">
      <c r="A54" t="s">
        <v>3</v>
      </c>
      <c r="B54" t="s">
        <v>2</v>
      </c>
      <c r="C54" t="s">
        <v>9</v>
      </c>
      <c r="D54" t="s">
        <v>0</v>
      </c>
      <c r="E54">
        <v>4</v>
      </c>
      <c r="F54" s="2">
        <v>34.81</v>
      </c>
      <c r="G54" s="3">
        <v>5.2</v>
      </c>
    </row>
    <row r="55" spans="1:7" hidden="1" x14ac:dyDescent="0.3">
      <c r="A55" t="s">
        <v>5</v>
      </c>
      <c r="B55" t="s">
        <v>2</v>
      </c>
      <c r="C55" t="s">
        <v>9</v>
      </c>
      <c r="D55" t="s">
        <v>0</v>
      </c>
      <c r="E55">
        <v>2</v>
      </c>
      <c r="F55" s="2">
        <v>9.94</v>
      </c>
      <c r="G55" s="3">
        <v>1.56</v>
      </c>
    </row>
    <row r="56" spans="1:7" hidden="1" x14ac:dyDescent="0.3">
      <c r="A56" t="s">
        <v>5</v>
      </c>
      <c r="B56" t="s">
        <v>2</v>
      </c>
      <c r="C56" t="s">
        <v>9</v>
      </c>
      <c r="D56" t="s">
        <v>0</v>
      </c>
      <c r="E56">
        <v>4</v>
      </c>
      <c r="F56" s="2">
        <v>25.56</v>
      </c>
      <c r="G56" s="3">
        <v>4.34</v>
      </c>
    </row>
    <row r="57" spans="1:7" hidden="1" x14ac:dyDescent="0.3">
      <c r="A57" t="s">
        <v>5</v>
      </c>
      <c r="B57" t="s">
        <v>2</v>
      </c>
      <c r="C57" t="s">
        <v>9</v>
      </c>
      <c r="D57" t="s">
        <v>0</v>
      </c>
      <c r="E57">
        <v>2</v>
      </c>
      <c r="F57" s="2">
        <v>19.489999999999998</v>
      </c>
      <c r="G57" s="3">
        <v>3.51</v>
      </c>
    </row>
    <row r="58" spans="1:7" x14ac:dyDescent="0.3">
      <c r="A58" t="s">
        <v>5</v>
      </c>
      <c r="B58" t="s">
        <v>6</v>
      </c>
      <c r="C58" t="s">
        <v>4</v>
      </c>
      <c r="D58" t="s">
        <v>0</v>
      </c>
      <c r="E58">
        <v>4</v>
      </c>
      <c r="F58" s="2">
        <v>38.01</v>
      </c>
      <c r="G58" s="3">
        <v>3</v>
      </c>
    </row>
    <row r="59" spans="1:7" x14ac:dyDescent="0.3">
      <c r="A59" t="s">
        <v>3</v>
      </c>
      <c r="B59" t="s">
        <v>2</v>
      </c>
      <c r="C59" t="s">
        <v>4</v>
      </c>
      <c r="D59" t="s">
        <v>0</v>
      </c>
      <c r="E59">
        <v>2</v>
      </c>
      <c r="F59" s="2">
        <v>26.41</v>
      </c>
      <c r="G59" s="3">
        <v>1.5</v>
      </c>
    </row>
    <row r="60" spans="1:7" x14ac:dyDescent="0.3">
      <c r="A60" t="s">
        <v>5</v>
      </c>
      <c r="B60" t="s">
        <v>6</v>
      </c>
      <c r="C60" t="s">
        <v>4</v>
      </c>
      <c r="D60" t="s">
        <v>0</v>
      </c>
      <c r="E60">
        <v>2</v>
      </c>
      <c r="F60" s="2">
        <v>11.24</v>
      </c>
      <c r="G60" s="3">
        <v>1.76</v>
      </c>
    </row>
    <row r="61" spans="1:7" x14ac:dyDescent="0.3">
      <c r="A61" t="s">
        <v>5</v>
      </c>
      <c r="B61" t="s">
        <v>2</v>
      </c>
      <c r="C61" t="s">
        <v>4</v>
      </c>
      <c r="D61" t="s">
        <v>0</v>
      </c>
      <c r="E61">
        <v>4</v>
      </c>
      <c r="F61" s="2">
        <v>48.27</v>
      </c>
      <c r="G61" s="3">
        <v>6.73</v>
      </c>
    </row>
    <row r="62" spans="1:7" x14ac:dyDescent="0.3">
      <c r="A62" t="s">
        <v>5</v>
      </c>
      <c r="B62" t="s">
        <v>6</v>
      </c>
      <c r="C62" t="s">
        <v>4</v>
      </c>
      <c r="D62" t="s">
        <v>0</v>
      </c>
      <c r="E62">
        <v>2</v>
      </c>
      <c r="F62" s="2">
        <v>20.29</v>
      </c>
      <c r="G62" s="3">
        <v>3.21</v>
      </c>
    </row>
    <row r="63" spans="1:7" x14ac:dyDescent="0.3">
      <c r="A63" t="s">
        <v>5</v>
      </c>
      <c r="B63" t="s">
        <v>6</v>
      </c>
      <c r="C63" t="s">
        <v>4</v>
      </c>
      <c r="D63" t="s">
        <v>0</v>
      </c>
      <c r="E63">
        <v>2</v>
      </c>
      <c r="F63" s="2">
        <v>13.81</v>
      </c>
      <c r="G63" s="3">
        <v>2</v>
      </c>
    </row>
    <row r="64" spans="1:7" x14ac:dyDescent="0.3">
      <c r="A64" t="s">
        <v>5</v>
      </c>
      <c r="B64" t="s">
        <v>6</v>
      </c>
      <c r="C64" t="s">
        <v>4</v>
      </c>
      <c r="D64" t="s">
        <v>0</v>
      </c>
      <c r="E64">
        <v>2</v>
      </c>
      <c r="F64" s="2">
        <v>11.02</v>
      </c>
      <c r="G64" s="3">
        <v>1.98</v>
      </c>
    </row>
    <row r="65" spans="1:7" x14ac:dyDescent="0.3">
      <c r="A65" t="s">
        <v>5</v>
      </c>
      <c r="B65" t="s">
        <v>6</v>
      </c>
      <c r="C65" t="s">
        <v>4</v>
      </c>
      <c r="D65" t="s">
        <v>0</v>
      </c>
      <c r="E65">
        <v>4</v>
      </c>
      <c r="F65" s="2">
        <v>18.29</v>
      </c>
      <c r="G65" s="3">
        <v>3.76</v>
      </c>
    </row>
    <row r="66" spans="1:7" x14ac:dyDescent="0.3">
      <c r="A66" t="s">
        <v>5</v>
      </c>
      <c r="B66" t="s">
        <v>2</v>
      </c>
      <c r="C66" t="s">
        <v>4</v>
      </c>
      <c r="D66" t="s">
        <v>0</v>
      </c>
      <c r="E66">
        <v>3</v>
      </c>
      <c r="F66" s="2">
        <v>17.59</v>
      </c>
      <c r="G66" s="3">
        <v>2.64</v>
      </c>
    </row>
    <row r="67" spans="1:7" x14ac:dyDescent="0.3">
      <c r="A67" t="s">
        <v>5</v>
      </c>
      <c r="B67" t="s">
        <v>2</v>
      </c>
      <c r="C67" t="s">
        <v>4</v>
      </c>
      <c r="D67" t="s">
        <v>0</v>
      </c>
      <c r="E67">
        <v>3</v>
      </c>
      <c r="F67" s="2">
        <v>20.079999999999998</v>
      </c>
      <c r="G67" s="3">
        <v>3.15</v>
      </c>
    </row>
    <row r="68" spans="1:7" x14ac:dyDescent="0.3">
      <c r="A68" t="s">
        <v>3</v>
      </c>
      <c r="B68" t="s">
        <v>2</v>
      </c>
      <c r="C68" t="s">
        <v>4</v>
      </c>
      <c r="D68" t="s">
        <v>0</v>
      </c>
      <c r="E68">
        <v>2</v>
      </c>
      <c r="F68" s="2">
        <v>16.45</v>
      </c>
      <c r="G68" s="3">
        <v>2.4700000000000002</v>
      </c>
    </row>
    <row r="69" spans="1:7" x14ac:dyDescent="0.3">
      <c r="A69" t="s">
        <v>3</v>
      </c>
      <c r="B69" t="s">
        <v>6</v>
      </c>
      <c r="C69" t="s">
        <v>4</v>
      </c>
      <c r="D69" t="s">
        <v>0</v>
      </c>
      <c r="E69">
        <v>1</v>
      </c>
      <c r="F69" s="2">
        <v>3.07</v>
      </c>
      <c r="G69" s="3">
        <v>1</v>
      </c>
    </row>
    <row r="70" spans="1:7" x14ac:dyDescent="0.3">
      <c r="A70" t="s">
        <v>5</v>
      </c>
      <c r="B70" t="s">
        <v>2</v>
      </c>
      <c r="C70" t="s">
        <v>4</v>
      </c>
      <c r="D70" t="s">
        <v>0</v>
      </c>
      <c r="E70">
        <v>2</v>
      </c>
      <c r="F70" s="2">
        <v>20.23</v>
      </c>
      <c r="G70" s="3">
        <v>2.0099999999999998</v>
      </c>
    </row>
    <row r="71" spans="1:7" x14ac:dyDescent="0.3">
      <c r="A71" t="s">
        <v>5</v>
      </c>
      <c r="B71" t="s">
        <v>6</v>
      </c>
      <c r="C71" t="s">
        <v>4</v>
      </c>
      <c r="D71" t="s">
        <v>0</v>
      </c>
      <c r="E71">
        <v>2</v>
      </c>
      <c r="F71" s="2">
        <v>15.01</v>
      </c>
      <c r="G71" s="3">
        <v>2.09</v>
      </c>
    </row>
    <row r="72" spans="1:7" x14ac:dyDescent="0.3">
      <c r="A72" t="s">
        <v>5</v>
      </c>
      <c r="B72" t="s">
        <v>2</v>
      </c>
      <c r="C72" t="s">
        <v>4</v>
      </c>
      <c r="D72" t="s">
        <v>0</v>
      </c>
      <c r="E72">
        <v>2</v>
      </c>
      <c r="F72" s="2">
        <v>12.02</v>
      </c>
      <c r="G72" s="3">
        <v>1.97</v>
      </c>
    </row>
    <row r="73" spans="1:7" x14ac:dyDescent="0.3">
      <c r="A73" t="s">
        <v>3</v>
      </c>
      <c r="B73" t="s">
        <v>2</v>
      </c>
      <c r="C73" t="s">
        <v>4</v>
      </c>
      <c r="D73" t="s">
        <v>0</v>
      </c>
      <c r="E73">
        <v>3</v>
      </c>
      <c r="F73" s="2">
        <v>17.07</v>
      </c>
      <c r="G73" s="3">
        <v>3</v>
      </c>
    </row>
    <row r="74" spans="1:7" x14ac:dyDescent="0.3">
      <c r="A74" t="s">
        <v>3</v>
      </c>
      <c r="B74" t="s">
        <v>6</v>
      </c>
      <c r="C74" t="s">
        <v>4</v>
      </c>
      <c r="D74" t="s">
        <v>0</v>
      </c>
      <c r="E74">
        <v>2</v>
      </c>
      <c r="F74" s="2">
        <v>26.86</v>
      </c>
      <c r="G74" s="3">
        <v>3.14</v>
      </c>
    </row>
    <row r="75" spans="1:7" x14ac:dyDescent="0.3">
      <c r="A75" t="s">
        <v>3</v>
      </c>
      <c r="B75" t="s">
        <v>6</v>
      </c>
      <c r="C75" t="s">
        <v>4</v>
      </c>
      <c r="D75" t="s">
        <v>0</v>
      </c>
      <c r="E75">
        <v>2</v>
      </c>
      <c r="F75" s="2">
        <v>25.28</v>
      </c>
      <c r="G75" s="3">
        <v>5</v>
      </c>
    </row>
    <row r="76" spans="1:7" x14ac:dyDescent="0.3">
      <c r="A76" t="s">
        <v>3</v>
      </c>
      <c r="B76" t="s">
        <v>2</v>
      </c>
      <c r="C76" t="s">
        <v>4</v>
      </c>
      <c r="D76" t="s">
        <v>0</v>
      </c>
      <c r="E76">
        <v>2</v>
      </c>
      <c r="F76" s="2">
        <v>14.73</v>
      </c>
      <c r="G76" s="3">
        <v>2.2000000000000002</v>
      </c>
    </row>
    <row r="77" spans="1:7" x14ac:dyDescent="0.3">
      <c r="A77" t="s">
        <v>5</v>
      </c>
      <c r="B77" t="s">
        <v>2</v>
      </c>
      <c r="C77" t="s">
        <v>4</v>
      </c>
      <c r="D77" t="s">
        <v>0</v>
      </c>
      <c r="E77">
        <v>2</v>
      </c>
      <c r="F77" s="2">
        <v>10.51</v>
      </c>
      <c r="G77" s="3">
        <v>1.25</v>
      </c>
    </row>
    <row r="78" spans="1:7" x14ac:dyDescent="0.3">
      <c r="A78" t="s">
        <v>5</v>
      </c>
      <c r="B78" t="s">
        <v>6</v>
      </c>
      <c r="C78" t="s">
        <v>4</v>
      </c>
      <c r="D78" t="s">
        <v>0</v>
      </c>
      <c r="E78">
        <v>2</v>
      </c>
      <c r="F78" s="2">
        <v>17.920000000000002</v>
      </c>
      <c r="G78" s="3">
        <v>3.08</v>
      </c>
    </row>
    <row r="79" spans="1:7" hidden="1" x14ac:dyDescent="0.3">
      <c r="A79" t="s">
        <v>5</v>
      </c>
      <c r="B79" t="s">
        <v>2</v>
      </c>
      <c r="C79" t="s">
        <v>1</v>
      </c>
      <c r="D79" t="s">
        <v>7</v>
      </c>
      <c r="E79">
        <v>4</v>
      </c>
      <c r="F79" s="2">
        <v>27.2</v>
      </c>
      <c r="G79" s="3">
        <v>4</v>
      </c>
    </row>
    <row r="80" spans="1:7" hidden="1" x14ac:dyDescent="0.3">
      <c r="A80" t="s">
        <v>5</v>
      </c>
      <c r="B80" t="s">
        <v>2</v>
      </c>
      <c r="C80" t="s">
        <v>1</v>
      </c>
      <c r="D80" t="s">
        <v>7</v>
      </c>
      <c r="E80">
        <v>2</v>
      </c>
      <c r="F80" s="2">
        <v>22.76</v>
      </c>
      <c r="G80" s="3">
        <v>3</v>
      </c>
    </row>
    <row r="81" spans="1:7" hidden="1" x14ac:dyDescent="0.3">
      <c r="A81" t="s">
        <v>5</v>
      </c>
      <c r="B81" t="s">
        <v>2</v>
      </c>
      <c r="C81" t="s">
        <v>1</v>
      </c>
      <c r="D81" t="s">
        <v>7</v>
      </c>
      <c r="E81">
        <v>2</v>
      </c>
      <c r="F81" s="2">
        <v>17.29</v>
      </c>
      <c r="G81" s="3">
        <v>2.71</v>
      </c>
    </row>
    <row r="82" spans="1:7" hidden="1" x14ac:dyDescent="0.3">
      <c r="A82" t="s">
        <v>5</v>
      </c>
      <c r="B82" t="s">
        <v>6</v>
      </c>
      <c r="C82" t="s">
        <v>1</v>
      </c>
      <c r="D82" t="s">
        <v>7</v>
      </c>
      <c r="E82">
        <v>2</v>
      </c>
      <c r="F82" s="2">
        <v>19.440000000000001</v>
      </c>
      <c r="G82" s="3">
        <v>3</v>
      </c>
    </row>
    <row r="83" spans="1:7" hidden="1" x14ac:dyDescent="0.3">
      <c r="A83" t="s">
        <v>5</v>
      </c>
      <c r="B83" t="s">
        <v>2</v>
      </c>
      <c r="C83" t="s">
        <v>1</v>
      </c>
      <c r="D83" t="s">
        <v>7</v>
      </c>
      <c r="E83">
        <v>2</v>
      </c>
      <c r="F83" s="2">
        <v>16.66</v>
      </c>
      <c r="G83" s="3">
        <v>3.4</v>
      </c>
    </row>
    <row r="84" spans="1:7" hidden="1" x14ac:dyDescent="0.3">
      <c r="A84" t="s">
        <v>3</v>
      </c>
      <c r="B84" t="s">
        <v>2</v>
      </c>
      <c r="C84" t="s">
        <v>1</v>
      </c>
      <c r="D84" t="s">
        <v>7</v>
      </c>
      <c r="E84">
        <v>1</v>
      </c>
      <c r="F84" s="2">
        <v>10.07</v>
      </c>
      <c r="G84" s="3">
        <v>1.83</v>
      </c>
    </row>
    <row r="85" spans="1:7" hidden="1" x14ac:dyDescent="0.3">
      <c r="A85" t="s">
        <v>5</v>
      </c>
      <c r="B85" t="s">
        <v>6</v>
      </c>
      <c r="C85" t="s">
        <v>1</v>
      </c>
      <c r="D85" t="s">
        <v>7</v>
      </c>
      <c r="E85">
        <v>2</v>
      </c>
      <c r="F85" s="2">
        <v>32.68</v>
      </c>
      <c r="G85" s="3">
        <v>5</v>
      </c>
    </row>
    <row r="86" spans="1:7" hidden="1" x14ac:dyDescent="0.3">
      <c r="A86" t="s">
        <v>5</v>
      </c>
      <c r="B86" t="s">
        <v>2</v>
      </c>
      <c r="C86" t="s">
        <v>1</v>
      </c>
      <c r="D86" t="s">
        <v>7</v>
      </c>
      <c r="E86">
        <v>2</v>
      </c>
      <c r="F86" s="2">
        <v>15.98</v>
      </c>
      <c r="G86" s="3">
        <v>2.0299999999999998</v>
      </c>
    </row>
    <row r="87" spans="1:7" hidden="1" x14ac:dyDescent="0.3">
      <c r="A87" t="s">
        <v>3</v>
      </c>
      <c r="B87" t="s">
        <v>2</v>
      </c>
      <c r="C87" t="s">
        <v>1</v>
      </c>
      <c r="D87" t="s">
        <v>7</v>
      </c>
      <c r="E87">
        <v>4</v>
      </c>
      <c r="F87" s="2">
        <v>34.83</v>
      </c>
      <c r="G87" s="3">
        <v>5.17</v>
      </c>
    </row>
    <row r="88" spans="1:7" hidden="1" x14ac:dyDescent="0.3">
      <c r="A88" t="s">
        <v>5</v>
      </c>
      <c r="B88" t="s">
        <v>2</v>
      </c>
      <c r="C88" t="s">
        <v>1</v>
      </c>
      <c r="D88" t="s">
        <v>7</v>
      </c>
      <c r="E88">
        <v>2</v>
      </c>
      <c r="F88" s="2">
        <v>13.03</v>
      </c>
      <c r="G88" s="3">
        <v>2</v>
      </c>
    </row>
    <row r="89" spans="1:7" hidden="1" x14ac:dyDescent="0.3">
      <c r="A89" t="s">
        <v>5</v>
      </c>
      <c r="B89" t="s">
        <v>2</v>
      </c>
      <c r="C89" t="s">
        <v>1</v>
      </c>
      <c r="D89" t="s">
        <v>7</v>
      </c>
      <c r="E89">
        <v>2</v>
      </c>
      <c r="F89" s="2">
        <v>18.28</v>
      </c>
      <c r="G89" s="3">
        <v>4</v>
      </c>
    </row>
    <row r="90" spans="1:7" hidden="1" x14ac:dyDescent="0.3">
      <c r="A90" t="s">
        <v>5</v>
      </c>
      <c r="B90" t="s">
        <v>2</v>
      </c>
      <c r="C90" t="s">
        <v>1</v>
      </c>
      <c r="D90" t="s">
        <v>7</v>
      </c>
      <c r="E90">
        <v>2</v>
      </c>
      <c r="F90" s="2">
        <v>24.71</v>
      </c>
      <c r="G90" s="3">
        <v>5.85</v>
      </c>
    </row>
    <row r="91" spans="1:7" hidden="1" x14ac:dyDescent="0.3">
      <c r="A91" t="s">
        <v>5</v>
      </c>
      <c r="B91" t="s">
        <v>2</v>
      </c>
      <c r="C91" t="s">
        <v>1</v>
      </c>
      <c r="D91" t="s">
        <v>7</v>
      </c>
      <c r="E91">
        <v>2</v>
      </c>
      <c r="F91" s="2">
        <v>21.16</v>
      </c>
      <c r="G91" s="3">
        <v>3</v>
      </c>
    </row>
    <row r="92" spans="1:7" hidden="1" x14ac:dyDescent="0.3">
      <c r="A92" t="s">
        <v>5</v>
      </c>
      <c r="B92" t="s">
        <v>6</v>
      </c>
      <c r="C92" t="s">
        <v>8</v>
      </c>
      <c r="D92" t="s">
        <v>0</v>
      </c>
      <c r="E92">
        <v>2</v>
      </c>
      <c r="F92" s="2">
        <v>28.97</v>
      </c>
      <c r="G92" s="3">
        <v>3</v>
      </c>
    </row>
    <row r="93" spans="1:7" hidden="1" x14ac:dyDescent="0.3">
      <c r="A93" t="s">
        <v>5</v>
      </c>
      <c r="B93" t="s">
        <v>2</v>
      </c>
      <c r="C93" t="s">
        <v>8</v>
      </c>
      <c r="D93" t="s">
        <v>0</v>
      </c>
      <c r="E93">
        <v>2</v>
      </c>
      <c r="F93" s="2">
        <v>22.49</v>
      </c>
      <c r="G93" s="3">
        <v>3.5</v>
      </c>
    </row>
    <row r="94" spans="1:7" hidden="1" x14ac:dyDescent="0.3">
      <c r="A94" t="s">
        <v>3</v>
      </c>
      <c r="B94" t="s">
        <v>6</v>
      </c>
      <c r="C94" t="s">
        <v>8</v>
      </c>
      <c r="D94" t="s">
        <v>0</v>
      </c>
      <c r="E94">
        <v>2</v>
      </c>
      <c r="F94" s="2">
        <v>5.75</v>
      </c>
      <c r="G94" s="3">
        <v>1</v>
      </c>
    </row>
    <row r="95" spans="1:7" hidden="1" x14ac:dyDescent="0.3">
      <c r="A95" t="s">
        <v>3</v>
      </c>
      <c r="B95" t="s">
        <v>6</v>
      </c>
      <c r="C95" t="s">
        <v>8</v>
      </c>
      <c r="D95" t="s">
        <v>0</v>
      </c>
      <c r="E95">
        <v>2</v>
      </c>
      <c r="F95" s="2">
        <v>16.32</v>
      </c>
      <c r="G95" s="3">
        <v>4.3</v>
      </c>
    </row>
    <row r="96" spans="1:7" hidden="1" x14ac:dyDescent="0.3">
      <c r="A96" t="s">
        <v>3</v>
      </c>
      <c r="B96" t="s">
        <v>2</v>
      </c>
      <c r="C96" t="s">
        <v>8</v>
      </c>
      <c r="D96" t="s">
        <v>0</v>
      </c>
      <c r="E96">
        <v>2</v>
      </c>
      <c r="F96" s="2">
        <v>22.75</v>
      </c>
      <c r="G96" s="3">
        <v>3.25</v>
      </c>
    </row>
    <row r="97" spans="1:7" hidden="1" x14ac:dyDescent="0.3">
      <c r="A97" t="s">
        <v>5</v>
      </c>
      <c r="B97" t="s">
        <v>6</v>
      </c>
      <c r="C97" t="s">
        <v>8</v>
      </c>
      <c r="D97" t="s">
        <v>0</v>
      </c>
      <c r="E97">
        <v>4</v>
      </c>
      <c r="F97" s="2">
        <v>40.17</v>
      </c>
      <c r="G97" s="3">
        <v>4.7300000000000004</v>
      </c>
    </row>
    <row r="98" spans="1:7" hidden="1" x14ac:dyDescent="0.3">
      <c r="A98" t="s">
        <v>5</v>
      </c>
      <c r="B98" t="s">
        <v>6</v>
      </c>
      <c r="C98" t="s">
        <v>8</v>
      </c>
      <c r="D98" t="s">
        <v>0</v>
      </c>
      <c r="E98">
        <v>2</v>
      </c>
      <c r="F98" s="2">
        <v>27.28</v>
      </c>
      <c r="G98" s="3">
        <v>4</v>
      </c>
    </row>
    <row r="99" spans="1:7" hidden="1" x14ac:dyDescent="0.3">
      <c r="A99" t="s">
        <v>5</v>
      </c>
      <c r="B99" t="s">
        <v>6</v>
      </c>
      <c r="C99" t="s">
        <v>8</v>
      </c>
      <c r="D99" t="s">
        <v>0</v>
      </c>
      <c r="E99">
        <v>2</v>
      </c>
      <c r="F99" s="2">
        <v>12.03</v>
      </c>
      <c r="G99" s="3">
        <v>1.5</v>
      </c>
    </row>
    <row r="100" spans="1:7" hidden="1" x14ac:dyDescent="0.3">
      <c r="A100" t="s">
        <v>5</v>
      </c>
      <c r="B100" t="s">
        <v>6</v>
      </c>
      <c r="C100" t="s">
        <v>8</v>
      </c>
      <c r="D100" t="s">
        <v>0</v>
      </c>
      <c r="E100">
        <v>2</v>
      </c>
      <c r="F100" s="2">
        <v>21.01</v>
      </c>
      <c r="G100" s="3">
        <v>3</v>
      </c>
    </row>
    <row r="101" spans="1:7" hidden="1" x14ac:dyDescent="0.3">
      <c r="A101" t="s">
        <v>5</v>
      </c>
      <c r="B101" t="s">
        <v>2</v>
      </c>
      <c r="C101" t="s">
        <v>8</v>
      </c>
      <c r="D101" t="s">
        <v>0</v>
      </c>
      <c r="E101">
        <v>2</v>
      </c>
      <c r="F101" s="2">
        <v>12.46</v>
      </c>
      <c r="G101" s="3">
        <v>1.5</v>
      </c>
    </row>
    <row r="102" spans="1:7" hidden="1" x14ac:dyDescent="0.3">
      <c r="A102" t="s">
        <v>3</v>
      </c>
      <c r="B102" t="s">
        <v>6</v>
      </c>
      <c r="C102" t="s">
        <v>8</v>
      </c>
      <c r="D102" t="s">
        <v>0</v>
      </c>
      <c r="E102">
        <v>2</v>
      </c>
      <c r="F102" s="2">
        <v>11.35</v>
      </c>
      <c r="G102" s="3">
        <v>2.5</v>
      </c>
    </row>
    <row r="103" spans="1:7" hidden="1" x14ac:dyDescent="0.3">
      <c r="A103" t="s">
        <v>3</v>
      </c>
      <c r="B103" t="s">
        <v>6</v>
      </c>
      <c r="C103" t="s">
        <v>8</v>
      </c>
      <c r="D103" t="s">
        <v>0</v>
      </c>
      <c r="E103">
        <v>2</v>
      </c>
      <c r="F103" s="2">
        <v>15.38</v>
      </c>
      <c r="G103" s="3">
        <v>3</v>
      </c>
    </row>
    <row r="104" spans="1:7" x14ac:dyDescent="0.3">
      <c r="A104" t="s">
        <v>3</v>
      </c>
      <c r="B104" t="s">
        <v>6</v>
      </c>
      <c r="C104" t="s">
        <v>4</v>
      </c>
      <c r="D104" t="s">
        <v>0</v>
      </c>
      <c r="E104">
        <v>3</v>
      </c>
      <c r="F104" s="2">
        <v>44.3</v>
      </c>
      <c r="G104" s="3">
        <v>2.5</v>
      </c>
    </row>
    <row r="105" spans="1:7" x14ac:dyDescent="0.3">
      <c r="A105" t="s">
        <v>3</v>
      </c>
      <c r="B105" t="s">
        <v>6</v>
      </c>
      <c r="C105" t="s">
        <v>4</v>
      </c>
      <c r="D105" t="s">
        <v>0</v>
      </c>
      <c r="E105">
        <v>2</v>
      </c>
      <c r="F105" s="2">
        <v>22.42</v>
      </c>
      <c r="G105" s="3">
        <v>3.48</v>
      </c>
    </row>
    <row r="106" spans="1:7" x14ac:dyDescent="0.3">
      <c r="A106" t="s">
        <v>3</v>
      </c>
      <c r="B106" t="s">
        <v>2</v>
      </c>
      <c r="C106" t="s">
        <v>4</v>
      </c>
      <c r="D106" t="s">
        <v>0</v>
      </c>
      <c r="E106">
        <v>2</v>
      </c>
      <c r="F106" s="2">
        <v>20.92</v>
      </c>
      <c r="G106" s="3">
        <v>4.08</v>
      </c>
    </row>
    <row r="107" spans="1:7" x14ac:dyDescent="0.3">
      <c r="A107" t="s">
        <v>5</v>
      </c>
      <c r="B107" t="s">
        <v>6</v>
      </c>
      <c r="C107" t="s">
        <v>4</v>
      </c>
      <c r="D107" t="s">
        <v>0</v>
      </c>
      <c r="E107">
        <v>2</v>
      </c>
      <c r="F107" s="2">
        <v>15.36</v>
      </c>
      <c r="G107" s="3">
        <v>1.64</v>
      </c>
    </row>
    <row r="108" spans="1:7" x14ac:dyDescent="0.3">
      <c r="A108" t="s">
        <v>5</v>
      </c>
      <c r="B108" t="s">
        <v>6</v>
      </c>
      <c r="C108" t="s">
        <v>4</v>
      </c>
      <c r="D108" t="s">
        <v>0</v>
      </c>
      <c r="E108">
        <v>2</v>
      </c>
      <c r="F108" s="2">
        <v>20.49</v>
      </c>
      <c r="G108" s="3">
        <v>4.0599999999999996</v>
      </c>
    </row>
    <row r="109" spans="1:7" x14ac:dyDescent="0.3">
      <c r="A109" t="s">
        <v>5</v>
      </c>
      <c r="B109" t="s">
        <v>6</v>
      </c>
      <c r="C109" t="s">
        <v>4</v>
      </c>
      <c r="D109" t="s">
        <v>0</v>
      </c>
      <c r="E109">
        <v>2</v>
      </c>
      <c r="F109" s="2">
        <v>25.21</v>
      </c>
      <c r="G109" s="3">
        <v>4.29</v>
      </c>
    </row>
    <row r="110" spans="1:7" x14ac:dyDescent="0.3">
      <c r="A110" t="s">
        <v>5</v>
      </c>
      <c r="B110" t="s">
        <v>2</v>
      </c>
      <c r="C110" t="s">
        <v>4</v>
      </c>
      <c r="D110" t="s">
        <v>0</v>
      </c>
      <c r="E110">
        <v>2</v>
      </c>
      <c r="F110" s="2">
        <v>18.239999999999998</v>
      </c>
      <c r="G110" s="3">
        <v>3.76</v>
      </c>
    </row>
    <row r="111" spans="1:7" x14ac:dyDescent="0.3">
      <c r="A111" t="s">
        <v>3</v>
      </c>
      <c r="B111" t="s">
        <v>6</v>
      </c>
      <c r="C111" t="s">
        <v>4</v>
      </c>
      <c r="D111" t="s">
        <v>0</v>
      </c>
      <c r="E111">
        <v>2</v>
      </c>
      <c r="F111" s="2">
        <v>14.31</v>
      </c>
      <c r="G111" s="3">
        <v>4</v>
      </c>
    </row>
    <row r="112" spans="1:7" x14ac:dyDescent="0.3">
      <c r="A112" t="s">
        <v>5</v>
      </c>
      <c r="B112" t="s">
        <v>2</v>
      </c>
      <c r="C112" t="s">
        <v>4</v>
      </c>
      <c r="D112" t="s">
        <v>0</v>
      </c>
      <c r="E112">
        <v>2</v>
      </c>
      <c r="F112" s="2">
        <v>14</v>
      </c>
      <c r="G112" s="3">
        <v>3</v>
      </c>
    </row>
    <row r="113" spans="1:7" x14ac:dyDescent="0.3">
      <c r="A113" t="s">
        <v>3</v>
      </c>
      <c r="B113" t="s">
        <v>2</v>
      </c>
      <c r="C113" t="s">
        <v>4</v>
      </c>
      <c r="D113" t="s">
        <v>0</v>
      </c>
      <c r="E113">
        <v>1</v>
      </c>
      <c r="F113" s="2">
        <v>7.25</v>
      </c>
      <c r="G113" s="3">
        <v>1</v>
      </c>
    </row>
    <row r="114" spans="1:7" hidden="1" x14ac:dyDescent="0.3">
      <c r="A114" t="s">
        <v>5</v>
      </c>
      <c r="B114" t="s">
        <v>2</v>
      </c>
      <c r="C114" t="s">
        <v>9</v>
      </c>
      <c r="D114" t="s">
        <v>0</v>
      </c>
      <c r="E114">
        <v>3</v>
      </c>
      <c r="F114" s="2">
        <v>38.07</v>
      </c>
      <c r="G114" s="3">
        <v>4</v>
      </c>
    </row>
    <row r="115" spans="1:7" hidden="1" x14ac:dyDescent="0.3">
      <c r="A115" t="s">
        <v>5</v>
      </c>
      <c r="B115" t="s">
        <v>2</v>
      </c>
      <c r="C115" t="s">
        <v>9</v>
      </c>
      <c r="D115" t="s">
        <v>0</v>
      </c>
      <c r="E115">
        <v>2</v>
      </c>
      <c r="F115" s="2">
        <v>23.95</v>
      </c>
      <c r="G115" s="3">
        <v>2.5499999999999998</v>
      </c>
    </row>
    <row r="116" spans="1:7" hidden="1" x14ac:dyDescent="0.3">
      <c r="A116" t="s">
        <v>3</v>
      </c>
      <c r="B116" t="s">
        <v>2</v>
      </c>
      <c r="C116" t="s">
        <v>9</v>
      </c>
      <c r="D116" t="s">
        <v>0</v>
      </c>
      <c r="E116">
        <v>3</v>
      </c>
      <c r="F116" s="2">
        <v>25.71</v>
      </c>
      <c r="G116" s="3">
        <v>4</v>
      </c>
    </row>
    <row r="117" spans="1:7" hidden="1" x14ac:dyDescent="0.3">
      <c r="A117" t="s">
        <v>3</v>
      </c>
      <c r="B117" t="s">
        <v>2</v>
      </c>
      <c r="C117" t="s">
        <v>9</v>
      </c>
      <c r="D117" t="s">
        <v>0</v>
      </c>
      <c r="E117">
        <v>2</v>
      </c>
      <c r="F117" s="2">
        <v>17.309999999999999</v>
      </c>
      <c r="G117" s="3">
        <v>3.5</v>
      </c>
    </row>
    <row r="118" spans="1:7" hidden="1" x14ac:dyDescent="0.3">
      <c r="A118" t="s">
        <v>5</v>
      </c>
      <c r="B118" t="s">
        <v>2</v>
      </c>
      <c r="C118" t="s">
        <v>9</v>
      </c>
      <c r="D118" t="s">
        <v>0</v>
      </c>
      <c r="E118">
        <v>4</v>
      </c>
      <c r="F118" s="2">
        <v>29.93</v>
      </c>
      <c r="G118" s="3">
        <v>5.07</v>
      </c>
    </row>
    <row r="119" spans="1:7" hidden="1" x14ac:dyDescent="0.3">
      <c r="A119" t="s">
        <v>3</v>
      </c>
      <c r="B119" t="s">
        <v>2</v>
      </c>
      <c r="C119" t="s">
        <v>1</v>
      </c>
      <c r="D119" t="s">
        <v>7</v>
      </c>
      <c r="E119">
        <v>2</v>
      </c>
      <c r="F119" s="2">
        <v>10.65</v>
      </c>
      <c r="G119" s="3">
        <v>1.5</v>
      </c>
    </row>
    <row r="120" spans="1:7" hidden="1" x14ac:dyDescent="0.3">
      <c r="A120" t="s">
        <v>3</v>
      </c>
      <c r="B120" t="s">
        <v>2</v>
      </c>
      <c r="C120" t="s">
        <v>1</v>
      </c>
      <c r="D120" t="s">
        <v>7</v>
      </c>
      <c r="E120">
        <v>2</v>
      </c>
      <c r="F120" s="2">
        <v>12.43</v>
      </c>
      <c r="G120" s="3">
        <v>1.8</v>
      </c>
    </row>
    <row r="121" spans="1:7" hidden="1" x14ac:dyDescent="0.3">
      <c r="A121" t="s">
        <v>3</v>
      </c>
      <c r="B121" t="s">
        <v>2</v>
      </c>
      <c r="C121" t="s">
        <v>1</v>
      </c>
      <c r="D121" t="s">
        <v>7</v>
      </c>
      <c r="E121">
        <v>4</v>
      </c>
      <c r="F121" s="2">
        <v>24.08</v>
      </c>
      <c r="G121" s="3">
        <v>2.92</v>
      </c>
    </row>
    <row r="122" spans="1:7" hidden="1" x14ac:dyDescent="0.3">
      <c r="A122" t="s">
        <v>5</v>
      </c>
      <c r="B122" t="s">
        <v>2</v>
      </c>
      <c r="C122" t="s">
        <v>1</v>
      </c>
      <c r="D122" t="s">
        <v>7</v>
      </c>
      <c r="E122">
        <v>2</v>
      </c>
      <c r="F122" s="2">
        <v>11.69</v>
      </c>
      <c r="G122" s="3">
        <v>2.31</v>
      </c>
    </row>
    <row r="123" spans="1:7" hidden="1" x14ac:dyDescent="0.3">
      <c r="A123" t="s">
        <v>3</v>
      </c>
      <c r="B123" t="s">
        <v>2</v>
      </c>
      <c r="C123" t="s">
        <v>1</v>
      </c>
      <c r="D123" t="s">
        <v>7</v>
      </c>
      <c r="E123">
        <v>2</v>
      </c>
      <c r="F123" s="2">
        <v>13.42</v>
      </c>
      <c r="G123" s="3">
        <v>1.68</v>
      </c>
    </row>
    <row r="124" spans="1:7" hidden="1" x14ac:dyDescent="0.3">
      <c r="A124" t="s">
        <v>5</v>
      </c>
      <c r="B124" t="s">
        <v>2</v>
      </c>
      <c r="C124" t="s">
        <v>1</v>
      </c>
      <c r="D124" t="s">
        <v>7</v>
      </c>
      <c r="E124">
        <v>2</v>
      </c>
      <c r="F124" s="2">
        <v>14.26</v>
      </c>
      <c r="G124" s="3">
        <v>2.5</v>
      </c>
    </row>
    <row r="125" spans="1:7" hidden="1" x14ac:dyDescent="0.3">
      <c r="A125" t="s">
        <v>5</v>
      </c>
      <c r="B125" t="s">
        <v>2</v>
      </c>
      <c r="C125" t="s">
        <v>1</v>
      </c>
      <c r="D125" t="s">
        <v>7</v>
      </c>
      <c r="E125">
        <v>2</v>
      </c>
      <c r="F125" s="2">
        <v>15.95</v>
      </c>
      <c r="G125" s="3">
        <v>2</v>
      </c>
    </row>
    <row r="126" spans="1:7" hidden="1" x14ac:dyDescent="0.3">
      <c r="A126" t="s">
        <v>3</v>
      </c>
      <c r="B126" t="s">
        <v>2</v>
      </c>
      <c r="C126" t="s">
        <v>1</v>
      </c>
      <c r="D126" t="s">
        <v>7</v>
      </c>
      <c r="E126">
        <v>2</v>
      </c>
      <c r="F126" s="2">
        <v>12.48</v>
      </c>
      <c r="G126" s="3">
        <v>2.52</v>
      </c>
    </row>
    <row r="127" spans="1:7" hidden="1" x14ac:dyDescent="0.3">
      <c r="A127" t="s">
        <v>3</v>
      </c>
      <c r="B127" t="s">
        <v>2</v>
      </c>
      <c r="C127" t="s">
        <v>1</v>
      </c>
      <c r="D127" t="s">
        <v>7</v>
      </c>
      <c r="E127">
        <v>6</v>
      </c>
      <c r="F127" s="2">
        <v>29.8</v>
      </c>
      <c r="G127" s="3">
        <v>4.2</v>
      </c>
    </row>
    <row r="128" spans="1:7" hidden="1" x14ac:dyDescent="0.3">
      <c r="A128" t="s">
        <v>5</v>
      </c>
      <c r="B128" t="s">
        <v>2</v>
      </c>
      <c r="C128" t="s">
        <v>1</v>
      </c>
      <c r="D128" t="s">
        <v>7</v>
      </c>
      <c r="E128">
        <v>2</v>
      </c>
      <c r="F128" s="2">
        <v>8.52</v>
      </c>
      <c r="G128" s="3">
        <v>1.48</v>
      </c>
    </row>
    <row r="129" spans="1:7" hidden="1" x14ac:dyDescent="0.3">
      <c r="A129" t="s">
        <v>3</v>
      </c>
      <c r="B129" t="s">
        <v>2</v>
      </c>
      <c r="C129" t="s">
        <v>1</v>
      </c>
      <c r="D129" t="s">
        <v>7</v>
      </c>
      <c r="E129">
        <v>2</v>
      </c>
      <c r="F129" s="2">
        <v>14.52</v>
      </c>
      <c r="G129" s="3">
        <v>2</v>
      </c>
    </row>
    <row r="130" spans="1:7" hidden="1" x14ac:dyDescent="0.3">
      <c r="A130" t="s">
        <v>3</v>
      </c>
      <c r="B130" t="s">
        <v>2</v>
      </c>
      <c r="C130" t="s">
        <v>1</v>
      </c>
      <c r="D130" t="s">
        <v>7</v>
      </c>
      <c r="E130">
        <v>2</v>
      </c>
      <c r="F130" s="2">
        <v>11.38</v>
      </c>
      <c r="G130" s="3">
        <v>2</v>
      </c>
    </row>
    <row r="131" spans="1:7" hidden="1" x14ac:dyDescent="0.3">
      <c r="A131" t="s">
        <v>5</v>
      </c>
      <c r="B131" t="s">
        <v>2</v>
      </c>
      <c r="C131" t="s">
        <v>1</v>
      </c>
      <c r="D131" t="s">
        <v>7</v>
      </c>
      <c r="E131">
        <v>3</v>
      </c>
      <c r="F131" s="2">
        <v>22.82</v>
      </c>
      <c r="G131" s="3">
        <v>2.1800000000000002</v>
      </c>
    </row>
    <row r="132" spans="1:7" hidden="1" x14ac:dyDescent="0.3">
      <c r="A132" t="s">
        <v>5</v>
      </c>
      <c r="B132" t="s">
        <v>2</v>
      </c>
      <c r="C132" t="s">
        <v>1</v>
      </c>
      <c r="D132" t="s">
        <v>7</v>
      </c>
      <c r="E132">
        <v>2</v>
      </c>
      <c r="F132" s="2">
        <v>19.079999999999998</v>
      </c>
      <c r="G132" s="3">
        <v>1.5</v>
      </c>
    </row>
    <row r="133" spans="1:7" hidden="1" x14ac:dyDescent="0.3">
      <c r="A133" t="s">
        <v>3</v>
      </c>
      <c r="B133" t="s">
        <v>2</v>
      </c>
      <c r="C133" t="s">
        <v>1</v>
      </c>
      <c r="D133" t="s">
        <v>7</v>
      </c>
      <c r="E133">
        <v>2</v>
      </c>
      <c r="F133" s="2">
        <v>20.27</v>
      </c>
      <c r="G133" s="3">
        <v>2.83</v>
      </c>
    </row>
    <row r="134" spans="1:7" hidden="1" x14ac:dyDescent="0.3">
      <c r="A134" t="s">
        <v>3</v>
      </c>
      <c r="B134" t="s">
        <v>2</v>
      </c>
      <c r="C134" t="s">
        <v>1</v>
      </c>
      <c r="D134" t="s">
        <v>7</v>
      </c>
      <c r="E134">
        <v>2</v>
      </c>
      <c r="F134" s="2">
        <v>11.17</v>
      </c>
      <c r="G134" s="3">
        <v>1.5</v>
      </c>
    </row>
    <row r="135" spans="1:7" hidden="1" x14ac:dyDescent="0.3">
      <c r="A135" t="s">
        <v>3</v>
      </c>
      <c r="B135" t="s">
        <v>2</v>
      </c>
      <c r="C135" t="s">
        <v>1</v>
      </c>
      <c r="D135" t="s">
        <v>7</v>
      </c>
      <c r="E135">
        <v>2</v>
      </c>
      <c r="F135" s="2">
        <v>12.26</v>
      </c>
      <c r="G135" s="3">
        <v>2</v>
      </c>
    </row>
    <row r="136" spans="1:7" hidden="1" x14ac:dyDescent="0.3">
      <c r="A136" t="s">
        <v>3</v>
      </c>
      <c r="B136" t="s">
        <v>2</v>
      </c>
      <c r="C136" t="s">
        <v>1</v>
      </c>
      <c r="D136" t="s">
        <v>7</v>
      </c>
      <c r="E136">
        <v>2</v>
      </c>
      <c r="F136" s="2">
        <v>18.260000000000002</v>
      </c>
      <c r="G136" s="3">
        <v>3.25</v>
      </c>
    </row>
    <row r="137" spans="1:7" hidden="1" x14ac:dyDescent="0.3">
      <c r="A137" t="s">
        <v>3</v>
      </c>
      <c r="B137" t="s">
        <v>2</v>
      </c>
      <c r="C137" t="s">
        <v>1</v>
      </c>
      <c r="D137" t="s">
        <v>7</v>
      </c>
      <c r="E137">
        <v>2</v>
      </c>
      <c r="F137" s="2">
        <v>8.51</v>
      </c>
      <c r="G137" s="3">
        <v>1.25</v>
      </c>
    </row>
    <row r="138" spans="1:7" hidden="1" x14ac:dyDescent="0.3">
      <c r="A138" t="s">
        <v>3</v>
      </c>
      <c r="B138" t="s">
        <v>2</v>
      </c>
      <c r="C138" t="s">
        <v>1</v>
      </c>
      <c r="D138" t="s">
        <v>7</v>
      </c>
      <c r="E138">
        <v>2</v>
      </c>
      <c r="F138" s="2">
        <v>10.33</v>
      </c>
      <c r="G138" s="3">
        <v>2</v>
      </c>
    </row>
    <row r="139" spans="1:7" hidden="1" x14ac:dyDescent="0.3">
      <c r="A139" t="s">
        <v>3</v>
      </c>
      <c r="B139" t="s">
        <v>2</v>
      </c>
      <c r="C139" t="s">
        <v>1</v>
      </c>
      <c r="D139" t="s">
        <v>7</v>
      </c>
      <c r="E139">
        <v>2</v>
      </c>
      <c r="F139" s="2">
        <v>14.15</v>
      </c>
      <c r="G139" s="3">
        <v>2</v>
      </c>
    </row>
    <row r="140" spans="1:7" hidden="1" x14ac:dyDescent="0.3">
      <c r="A140" t="s">
        <v>5</v>
      </c>
      <c r="B140" t="s">
        <v>6</v>
      </c>
      <c r="C140" t="s">
        <v>1</v>
      </c>
      <c r="D140" t="s">
        <v>7</v>
      </c>
      <c r="E140">
        <v>2</v>
      </c>
      <c r="F140" s="2">
        <v>16</v>
      </c>
      <c r="G140" s="3">
        <v>2</v>
      </c>
    </row>
    <row r="141" spans="1:7" hidden="1" x14ac:dyDescent="0.3">
      <c r="A141" t="s">
        <v>3</v>
      </c>
      <c r="B141" t="s">
        <v>2</v>
      </c>
      <c r="C141" t="s">
        <v>1</v>
      </c>
      <c r="D141" t="s">
        <v>7</v>
      </c>
      <c r="E141">
        <v>2</v>
      </c>
      <c r="F141" s="2">
        <v>13.16</v>
      </c>
      <c r="G141" s="3">
        <v>2.75</v>
      </c>
    </row>
    <row r="142" spans="1:7" hidden="1" x14ac:dyDescent="0.3">
      <c r="A142" t="s">
        <v>3</v>
      </c>
      <c r="B142" t="s">
        <v>2</v>
      </c>
      <c r="C142" t="s">
        <v>1</v>
      </c>
      <c r="D142" t="s">
        <v>7</v>
      </c>
      <c r="E142">
        <v>2</v>
      </c>
      <c r="F142" s="2">
        <v>17.47</v>
      </c>
      <c r="G142" s="3">
        <v>3.5</v>
      </c>
    </row>
    <row r="143" spans="1:7" hidden="1" x14ac:dyDescent="0.3">
      <c r="A143" t="s">
        <v>5</v>
      </c>
      <c r="B143" t="s">
        <v>2</v>
      </c>
      <c r="C143" t="s">
        <v>1</v>
      </c>
      <c r="D143" t="s">
        <v>7</v>
      </c>
      <c r="E143">
        <v>6</v>
      </c>
      <c r="F143" s="2">
        <v>34.299999999999997</v>
      </c>
      <c r="G143" s="3">
        <v>6.7</v>
      </c>
    </row>
    <row r="144" spans="1:7" hidden="1" x14ac:dyDescent="0.3">
      <c r="A144" t="s">
        <v>5</v>
      </c>
      <c r="B144" t="s">
        <v>2</v>
      </c>
      <c r="C144" t="s">
        <v>1</v>
      </c>
      <c r="D144" t="s">
        <v>7</v>
      </c>
      <c r="E144">
        <v>5</v>
      </c>
      <c r="F144" s="2">
        <v>41.19</v>
      </c>
      <c r="G144" s="3">
        <v>5</v>
      </c>
    </row>
    <row r="145" spans="1:7" hidden="1" x14ac:dyDescent="0.3">
      <c r="A145" t="s">
        <v>3</v>
      </c>
      <c r="B145" t="s">
        <v>2</v>
      </c>
      <c r="C145" t="s">
        <v>1</v>
      </c>
      <c r="D145" t="s">
        <v>7</v>
      </c>
      <c r="E145">
        <v>6</v>
      </c>
      <c r="F145" s="2">
        <v>27.05</v>
      </c>
      <c r="G145" s="3">
        <v>5</v>
      </c>
    </row>
    <row r="146" spans="1:7" hidden="1" x14ac:dyDescent="0.3">
      <c r="A146" t="s">
        <v>3</v>
      </c>
      <c r="B146" t="s">
        <v>2</v>
      </c>
      <c r="C146" t="s">
        <v>1</v>
      </c>
      <c r="D146" t="s">
        <v>7</v>
      </c>
      <c r="E146">
        <v>2</v>
      </c>
      <c r="F146" s="2">
        <v>16.43</v>
      </c>
      <c r="G146" s="3">
        <v>2.2999999999999998</v>
      </c>
    </row>
    <row r="147" spans="1:7" hidden="1" x14ac:dyDescent="0.3">
      <c r="A147" t="s">
        <v>3</v>
      </c>
      <c r="B147" t="s">
        <v>2</v>
      </c>
      <c r="C147" t="s">
        <v>1</v>
      </c>
      <c r="D147" t="s">
        <v>7</v>
      </c>
      <c r="E147">
        <v>2</v>
      </c>
      <c r="F147" s="2">
        <v>8.35</v>
      </c>
      <c r="G147" s="3">
        <v>1.5</v>
      </c>
    </row>
    <row r="148" spans="1:7" hidden="1" x14ac:dyDescent="0.3">
      <c r="A148" t="s">
        <v>3</v>
      </c>
      <c r="B148" t="s">
        <v>2</v>
      </c>
      <c r="C148" t="s">
        <v>1</v>
      </c>
      <c r="D148" t="s">
        <v>7</v>
      </c>
      <c r="E148">
        <v>3</v>
      </c>
      <c r="F148" s="2">
        <v>18.64</v>
      </c>
      <c r="G148" s="3">
        <v>1.36</v>
      </c>
    </row>
    <row r="149" spans="1:7" hidden="1" x14ac:dyDescent="0.3">
      <c r="A149" t="s">
        <v>3</v>
      </c>
      <c r="B149" t="s">
        <v>2</v>
      </c>
      <c r="C149" t="s">
        <v>1</v>
      </c>
      <c r="D149" t="s">
        <v>7</v>
      </c>
      <c r="E149">
        <v>2</v>
      </c>
      <c r="F149" s="2">
        <v>11.87</v>
      </c>
      <c r="G149" s="3">
        <v>1.63</v>
      </c>
    </row>
    <row r="150" spans="1:7" hidden="1" x14ac:dyDescent="0.3">
      <c r="A150" t="s">
        <v>5</v>
      </c>
      <c r="B150" t="s">
        <v>2</v>
      </c>
      <c r="C150" t="s">
        <v>1</v>
      </c>
      <c r="D150" t="s">
        <v>7</v>
      </c>
      <c r="E150">
        <v>2</v>
      </c>
      <c r="F150" s="2">
        <v>9.7799999999999994</v>
      </c>
      <c r="G150" s="3">
        <v>1.73</v>
      </c>
    </row>
    <row r="151" spans="1:7" hidden="1" x14ac:dyDescent="0.3">
      <c r="A151" t="s">
        <v>5</v>
      </c>
      <c r="B151" t="s">
        <v>2</v>
      </c>
      <c r="C151" t="s">
        <v>1</v>
      </c>
      <c r="D151" t="s">
        <v>7</v>
      </c>
      <c r="E151">
        <v>2</v>
      </c>
      <c r="F151" s="2">
        <v>7.51</v>
      </c>
      <c r="G151" s="3">
        <v>2</v>
      </c>
    </row>
    <row r="152" spans="1:7" hidden="1" x14ac:dyDescent="0.3">
      <c r="A152" t="s">
        <v>5</v>
      </c>
      <c r="B152" t="s">
        <v>2</v>
      </c>
      <c r="C152" t="s">
        <v>9</v>
      </c>
      <c r="D152" t="s">
        <v>0</v>
      </c>
      <c r="E152">
        <v>2</v>
      </c>
      <c r="F152" s="2">
        <v>14.07</v>
      </c>
      <c r="G152" s="3">
        <v>2.5</v>
      </c>
    </row>
    <row r="153" spans="1:7" hidden="1" x14ac:dyDescent="0.3">
      <c r="A153" t="s">
        <v>5</v>
      </c>
      <c r="B153" t="s">
        <v>2</v>
      </c>
      <c r="C153" t="s">
        <v>9</v>
      </c>
      <c r="D153" t="s">
        <v>0</v>
      </c>
      <c r="E153">
        <v>2</v>
      </c>
      <c r="F153" s="2">
        <v>13.13</v>
      </c>
      <c r="G153" s="3">
        <v>2</v>
      </c>
    </row>
    <row r="154" spans="1:7" hidden="1" x14ac:dyDescent="0.3">
      <c r="A154" t="s">
        <v>5</v>
      </c>
      <c r="B154" t="s">
        <v>2</v>
      </c>
      <c r="C154" t="s">
        <v>9</v>
      </c>
      <c r="D154" t="s">
        <v>0</v>
      </c>
      <c r="E154">
        <v>3</v>
      </c>
      <c r="F154" s="2">
        <v>17.260000000000002</v>
      </c>
      <c r="G154" s="3">
        <v>2.74</v>
      </c>
    </row>
    <row r="155" spans="1:7" hidden="1" x14ac:dyDescent="0.3">
      <c r="A155" t="s">
        <v>5</v>
      </c>
      <c r="B155" t="s">
        <v>2</v>
      </c>
      <c r="C155" t="s">
        <v>9</v>
      </c>
      <c r="D155" t="s">
        <v>0</v>
      </c>
      <c r="E155">
        <v>4</v>
      </c>
      <c r="F155" s="2">
        <v>24.55</v>
      </c>
      <c r="G155" s="3">
        <v>2</v>
      </c>
    </row>
    <row r="156" spans="1:7" hidden="1" x14ac:dyDescent="0.3">
      <c r="A156" t="s">
        <v>5</v>
      </c>
      <c r="B156" t="s">
        <v>2</v>
      </c>
      <c r="C156" t="s">
        <v>9</v>
      </c>
      <c r="D156" t="s">
        <v>0</v>
      </c>
      <c r="E156">
        <v>4</v>
      </c>
      <c r="F156" s="2">
        <v>19.77</v>
      </c>
      <c r="G156" s="3">
        <v>2</v>
      </c>
    </row>
    <row r="157" spans="1:7" hidden="1" x14ac:dyDescent="0.3">
      <c r="A157" t="s">
        <v>3</v>
      </c>
      <c r="B157" t="s">
        <v>2</v>
      </c>
      <c r="C157" t="s">
        <v>9</v>
      </c>
      <c r="D157" t="s">
        <v>0</v>
      </c>
      <c r="E157">
        <v>5</v>
      </c>
      <c r="F157" s="2">
        <v>29.85</v>
      </c>
      <c r="G157" s="3">
        <v>5.14</v>
      </c>
    </row>
    <row r="158" spans="1:7" hidden="1" x14ac:dyDescent="0.3">
      <c r="A158" t="s">
        <v>5</v>
      </c>
      <c r="B158" t="s">
        <v>2</v>
      </c>
      <c r="C158" t="s">
        <v>9</v>
      </c>
      <c r="D158" t="s">
        <v>0</v>
      </c>
      <c r="E158">
        <v>6</v>
      </c>
      <c r="F158" s="2">
        <v>48.17</v>
      </c>
      <c r="G158" s="3">
        <v>5</v>
      </c>
    </row>
    <row r="159" spans="1:7" hidden="1" x14ac:dyDescent="0.3">
      <c r="A159" t="s">
        <v>3</v>
      </c>
      <c r="B159" t="s">
        <v>2</v>
      </c>
      <c r="C159" t="s">
        <v>9</v>
      </c>
      <c r="D159" t="s">
        <v>0</v>
      </c>
      <c r="E159">
        <v>4</v>
      </c>
      <c r="F159" s="2">
        <v>25</v>
      </c>
      <c r="G159" s="3">
        <v>3.75</v>
      </c>
    </row>
    <row r="160" spans="1:7" hidden="1" x14ac:dyDescent="0.3">
      <c r="A160" t="s">
        <v>3</v>
      </c>
      <c r="B160" t="s">
        <v>2</v>
      </c>
      <c r="C160" t="s">
        <v>9</v>
      </c>
      <c r="D160" t="s">
        <v>0</v>
      </c>
      <c r="E160">
        <v>2</v>
      </c>
      <c r="F160" s="2">
        <v>13.39</v>
      </c>
      <c r="G160" s="3">
        <v>2.61</v>
      </c>
    </row>
    <row r="161" spans="1:7" hidden="1" x14ac:dyDescent="0.3">
      <c r="A161" t="s">
        <v>5</v>
      </c>
      <c r="B161" t="s">
        <v>2</v>
      </c>
      <c r="C161" t="s">
        <v>9</v>
      </c>
      <c r="D161" t="s">
        <v>0</v>
      </c>
      <c r="E161">
        <v>4</v>
      </c>
      <c r="F161" s="2">
        <v>16.489999999999998</v>
      </c>
      <c r="G161" s="3">
        <v>2</v>
      </c>
    </row>
    <row r="162" spans="1:7" hidden="1" x14ac:dyDescent="0.3">
      <c r="A162" t="s">
        <v>5</v>
      </c>
      <c r="B162" t="s">
        <v>2</v>
      </c>
      <c r="C162" t="s">
        <v>9</v>
      </c>
      <c r="D162" t="s">
        <v>0</v>
      </c>
      <c r="E162">
        <v>4</v>
      </c>
      <c r="F162" s="2">
        <v>21.5</v>
      </c>
      <c r="G162" s="3">
        <v>3.5</v>
      </c>
    </row>
    <row r="163" spans="1:7" hidden="1" x14ac:dyDescent="0.3">
      <c r="A163" t="s">
        <v>5</v>
      </c>
      <c r="B163" t="s">
        <v>2</v>
      </c>
      <c r="C163" t="s">
        <v>9</v>
      </c>
      <c r="D163" t="s">
        <v>0</v>
      </c>
      <c r="E163">
        <v>2</v>
      </c>
      <c r="F163" s="2">
        <v>12.66</v>
      </c>
      <c r="G163" s="3">
        <v>2.5</v>
      </c>
    </row>
    <row r="164" spans="1:7" hidden="1" x14ac:dyDescent="0.3">
      <c r="A164" t="s">
        <v>3</v>
      </c>
      <c r="B164" t="s">
        <v>2</v>
      </c>
      <c r="C164" t="s">
        <v>9</v>
      </c>
      <c r="D164" t="s">
        <v>0</v>
      </c>
      <c r="E164">
        <v>3</v>
      </c>
      <c r="F164" s="2">
        <v>16.21</v>
      </c>
      <c r="G164" s="3">
        <v>2</v>
      </c>
    </row>
    <row r="165" spans="1:7" hidden="1" x14ac:dyDescent="0.3">
      <c r="A165" t="s">
        <v>5</v>
      </c>
      <c r="B165" t="s">
        <v>2</v>
      </c>
      <c r="C165" t="s">
        <v>9</v>
      </c>
      <c r="D165" t="s">
        <v>0</v>
      </c>
      <c r="E165">
        <v>2</v>
      </c>
      <c r="F165" s="2">
        <v>13.81</v>
      </c>
      <c r="G165" s="3">
        <v>2</v>
      </c>
    </row>
    <row r="166" spans="1:7" hidden="1" x14ac:dyDescent="0.3">
      <c r="A166" t="s">
        <v>3</v>
      </c>
      <c r="B166" t="s">
        <v>6</v>
      </c>
      <c r="C166" t="s">
        <v>9</v>
      </c>
      <c r="D166" t="s">
        <v>0</v>
      </c>
      <c r="E166">
        <v>2</v>
      </c>
      <c r="F166" s="2">
        <v>17.510000000000002</v>
      </c>
      <c r="G166" s="3">
        <v>3</v>
      </c>
    </row>
    <row r="167" spans="1:7" hidden="1" x14ac:dyDescent="0.3">
      <c r="A167" t="s">
        <v>5</v>
      </c>
      <c r="B167" t="s">
        <v>2</v>
      </c>
      <c r="C167" t="s">
        <v>9</v>
      </c>
      <c r="D167" t="s">
        <v>0</v>
      </c>
      <c r="E167">
        <v>3</v>
      </c>
      <c r="F167" s="2">
        <v>24.52</v>
      </c>
      <c r="G167" s="3">
        <v>3.48</v>
      </c>
    </row>
    <row r="168" spans="1:7" hidden="1" x14ac:dyDescent="0.3">
      <c r="A168" t="s">
        <v>5</v>
      </c>
      <c r="B168" t="s">
        <v>2</v>
      </c>
      <c r="C168" t="s">
        <v>9</v>
      </c>
      <c r="D168" t="s">
        <v>0</v>
      </c>
      <c r="E168">
        <v>2</v>
      </c>
      <c r="F168" s="2">
        <v>20.76</v>
      </c>
      <c r="G168" s="3">
        <v>2.2400000000000002</v>
      </c>
    </row>
    <row r="169" spans="1:7" hidden="1" x14ac:dyDescent="0.3">
      <c r="A169" t="s">
        <v>5</v>
      </c>
      <c r="B169" t="s">
        <v>2</v>
      </c>
      <c r="C169" t="s">
        <v>9</v>
      </c>
      <c r="D169" t="s">
        <v>0</v>
      </c>
      <c r="E169">
        <v>4</v>
      </c>
      <c r="F169" s="2">
        <v>31.71</v>
      </c>
      <c r="G169" s="3">
        <v>4.5</v>
      </c>
    </row>
    <row r="170" spans="1:7" x14ac:dyDescent="0.3">
      <c r="A170" t="s">
        <v>3</v>
      </c>
      <c r="B170" t="s">
        <v>6</v>
      </c>
      <c r="C170" t="s">
        <v>4</v>
      </c>
      <c r="D170" t="s">
        <v>0</v>
      </c>
      <c r="E170">
        <v>2</v>
      </c>
      <c r="F170" s="2">
        <v>10.59</v>
      </c>
      <c r="G170" s="3">
        <v>1.61</v>
      </c>
    </row>
    <row r="171" spans="1:7" x14ac:dyDescent="0.3">
      <c r="A171" t="s">
        <v>3</v>
      </c>
      <c r="B171" t="s">
        <v>6</v>
      </c>
      <c r="C171" t="s">
        <v>4</v>
      </c>
      <c r="D171" t="s">
        <v>0</v>
      </c>
      <c r="E171">
        <v>2</v>
      </c>
      <c r="F171" s="2">
        <v>10.63</v>
      </c>
      <c r="G171" s="3">
        <v>2</v>
      </c>
    </row>
    <row r="172" spans="1:7" x14ac:dyDescent="0.3">
      <c r="A172" t="s">
        <v>5</v>
      </c>
      <c r="B172" t="s">
        <v>6</v>
      </c>
      <c r="C172" t="s">
        <v>4</v>
      </c>
      <c r="D172" t="s">
        <v>0</v>
      </c>
      <c r="E172">
        <v>3</v>
      </c>
      <c r="F172" s="2">
        <v>50.81</v>
      </c>
      <c r="G172" s="3">
        <v>10</v>
      </c>
    </row>
    <row r="173" spans="1:7" x14ac:dyDescent="0.3">
      <c r="A173" t="s">
        <v>5</v>
      </c>
      <c r="B173" t="s">
        <v>6</v>
      </c>
      <c r="C173" t="s">
        <v>4</v>
      </c>
      <c r="D173" t="s">
        <v>0</v>
      </c>
      <c r="E173">
        <v>2</v>
      </c>
      <c r="F173" s="2">
        <v>15.81</v>
      </c>
      <c r="G173" s="3">
        <v>3.16</v>
      </c>
    </row>
    <row r="174" spans="1:7" hidden="1" x14ac:dyDescent="0.3">
      <c r="A174" t="s">
        <v>5</v>
      </c>
      <c r="B174" t="s">
        <v>6</v>
      </c>
      <c r="C174" t="s">
        <v>9</v>
      </c>
      <c r="D174" t="s">
        <v>0</v>
      </c>
      <c r="E174">
        <v>2</v>
      </c>
      <c r="F174" s="2">
        <v>7.25</v>
      </c>
      <c r="G174" s="3">
        <v>5.15</v>
      </c>
    </row>
    <row r="175" spans="1:7" hidden="1" x14ac:dyDescent="0.3">
      <c r="A175" t="s">
        <v>5</v>
      </c>
      <c r="B175" t="s">
        <v>6</v>
      </c>
      <c r="C175" t="s">
        <v>9</v>
      </c>
      <c r="D175" t="s">
        <v>0</v>
      </c>
      <c r="E175">
        <v>2</v>
      </c>
      <c r="F175" s="2">
        <v>31.85</v>
      </c>
      <c r="G175" s="3">
        <v>3.18</v>
      </c>
    </row>
    <row r="176" spans="1:7" hidden="1" x14ac:dyDescent="0.3">
      <c r="A176" t="s">
        <v>5</v>
      </c>
      <c r="B176" t="s">
        <v>6</v>
      </c>
      <c r="C176" t="s">
        <v>9</v>
      </c>
      <c r="D176" t="s">
        <v>0</v>
      </c>
      <c r="E176">
        <v>2</v>
      </c>
      <c r="F176" s="2">
        <v>16.82</v>
      </c>
      <c r="G176" s="3">
        <v>4</v>
      </c>
    </row>
    <row r="177" spans="1:7" hidden="1" x14ac:dyDescent="0.3">
      <c r="A177" t="s">
        <v>5</v>
      </c>
      <c r="B177" t="s">
        <v>6</v>
      </c>
      <c r="C177" t="s">
        <v>9</v>
      </c>
      <c r="D177" t="s">
        <v>0</v>
      </c>
      <c r="E177">
        <v>2</v>
      </c>
      <c r="F177" s="2">
        <v>32.9</v>
      </c>
      <c r="G177" s="3">
        <v>3.11</v>
      </c>
    </row>
    <row r="178" spans="1:7" hidden="1" x14ac:dyDescent="0.3">
      <c r="A178" t="s">
        <v>5</v>
      </c>
      <c r="B178" t="s">
        <v>6</v>
      </c>
      <c r="C178" t="s">
        <v>9</v>
      </c>
      <c r="D178" t="s">
        <v>0</v>
      </c>
      <c r="E178">
        <v>2</v>
      </c>
      <c r="F178" s="2">
        <v>17.89</v>
      </c>
      <c r="G178" s="3">
        <v>2</v>
      </c>
    </row>
    <row r="179" spans="1:7" hidden="1" x14ac:dyDescent="0.3">
      <c r="A179" t="s">
        <v>5</v>
      </c>
      <c r="B179" t="s">
        <v>6</v>
      </c>
      <c r="C179" t="s">
        <v>9</v>
      </c>
      <c r="D179" t="s">
        <v>0</v>
      </c>
      <c r="E179">
        <v>2</v>
      </c>
      <c r="F179" s="2">
        <v>14.48</v>
      </c>
      <c r="G179" s="3">
        <v>2</v>
      </c>
    </row>
    <row r="180" spans="1:7" hidden="1" x14ac:dyDescent="0.3">
      <c r="A180" t="s">
        <v>3</v>
      </c>
      <c r="B180" t="s">
        <v>6</v>
      </c>
      <c r="C180" t="s">
        <v>9</v>
      </c>
      <c r="D180" t="s">
        <v>0</v>
      </c>
      <c r="E180">
        <v>2</v>
      </c>
      <c r="F180" s="2">
        <v>9.6</v>
      </c>
      <c r="G180" s="3">
        <v>4</v>
      </c>
    </row>
    <row r="181" spans="1:7" hidden="1" x14ac:dyDescent="0.3">
      <c r="A181" t="s">
        <v>5</v>
      </c>
      <c r="B181" t="s">
        <v>6</v>
      </c>
      <c r="C181" t="s">
        <v>9</v>
      </c>
      <c r="D181" t="s">
        <v>0</v>
      </c>
      <c r="E181">
        <v>2</v>
      </c>
      <c r="F181" s="2">
        <v>34.630000000000003</v>
      </c>
      <c r="G181" s="3">
        <v>3.55</v>
      </c>
    </row>
    <row r="182" spans="1:7" hidden="1" x14ac:dyDescent="0.3">
      <c r="A182" t="s">
        <v>5</v>
      </c>
      <c r="B182" t="s">
        <v>6</v>
      </c>
      <c r="C182" t="s">
        <v>9</v>
      </c>
      <c r="D182" t="s">
        <v>0</v>
      </c>
      <c r="E182">
        <v>4</v>
      </c>
      <c r="F182" s="2">
        <v>34.65</v>
      </c>
      <c r="G182" s="3">
        <v>3.68</v>
      </c>
    </row>
    <row r="183" spans="1:7" hidden="1" x14ac:dyDescent="0.3">
      <c r="A183" t="s">
        <v>5</v>
      </c>
      <c r="B183" t="s">
        <v>6</v>
      </c>
      <c r="C183" t="s">
        <v>9</v>
      </c>
      <c r="D183" t="s">
        <v>0</v>
      </c>
      <c r="E183">
        <v>2</v>
      </c>
      <c r="F183" s="2">
        <v>23.33</v>
      </c>
      <c r="G183" s="3">
        <v>5.65</v>
      </c>
    </row>
    <row r="184" spans="1:7" hidden="1" x14ac:dyDescent="0.3">
      <c r="A184" t="s">
        <v>5</v>
      </c>
      <c r="B184" t="s">
        <v>6</v>
      </c>
      <c r="C184" t="s">
        <v>9</v>
      </c>
      <c r="D184" t="s">
        <v>0</v>
      </c>
      <c r="E184">
        <v>3</v>
      </c>
      <c r="F184" s="2">
        <v>45.35</v>
      </c>
      <c r="G184" s="3">
        <v>3.5</v>
      </c>
    </row>
    <row r="185" spans="1:7" hidden="1" x14ac:dyDescent="0.3">
      <c r="A185" t="s">
        <v>5</v>
      </c>
      <c r="B185" t="s">
        <v>6</v>
      </c>
      <c r="C185" t="s">
        <v>9</v>
      </c>
      <c r="D185" t="s">
        <v>0</v>
      </c>
      <c r="E185">
        <v>4</v>
      </c>
      <c r="F185" s="2">
        <v>23.17</v>
      </c>
      <c r="G185" s="3">
        <v>6.5</v>
      </c>
    </row>
    <row r="186" spans="1:7" hidden="1" x14ac:dyDescent="0.3">
      <c r="A186" t="s">
        <v>5</v>
      </c>
      <c r="B186" t="s">
        <v>6</v>
      </c>
      <c r="C186" t="s">
        <v>9</v>
      </c>
      <c r="D186" t="s">
        <v>0</v>
      </c>
      <c r="E186">
        <v>2</v>
      </c>
      <c r="F186" s="2">
        <v>40.549999999999997</v>
      </c>
      <c r="G186" s="3">
        <v>3</v>
      </c>
    </row>
    <row r="187" spans="1:7" hidden="1" x14ac:dyDescent="0.3">
      <c r="A187" t="s">
        <v>5</v>
      </c>
      <c r="B187" t="s">
        <v>2</v>
      </c>
      <c r="C187" t="s">
        <v>9</v>
      </c>
      <c r="D187" t="s">
        <v>0</v>
      </c>
      <c r="E187">
        <v>5</v>
      </c>
      <c r="F187" s="2">
        <v>20.69</v>
      </c>
      <c r="G187" s="3">
        <v>5</v>
      </c>
    </row>
    <row r="188" spans="1:7" hidden="1" x14ac:dyDescent="0.3">
      <c r="A188" t="s">
        <v>3</v>
      </c>
      <c r="B188" t="s">
        <v>6</v>
      </c>
      <c r="C188" t="s">
        <v>9</v>
      </c>
      <c r="D188" t="s">
        <v>0</v>
      </c>
      <c r="E188">
        <v>3</v>
      </c>
      <c r="F188" s="2">
        <v>20.9</v>
      </c>
      <c r="G188" s="3">
        <v>3.5</v>
      </c>
    </row>
    <row r="189" spans="1:7" hidden="1" x14ac:dyDescent="0.3">
      <c r="A189" t="s">
        <v>5</v>
      </c>
      <c r="B189" t="s">
        <v>6</v>
      </c>
      <c r="C189" t="s">
        <v>9</v>
      </c>
      <c r="D189" t="s">
        <v>0</v>
      </c>
      <c r="E189">
        <v>5</v>
      </c>
      <c r="F189" s="2">
        <v>30.46</v>
      </c>
      <c r="G189" s="3">
        <v>2</v>
      </c>
    </row>
    <row r="190" spans="1:7" hidden="1" x14ac:dyDescent="0.3">
      <c r="A190" t="s">
        <v>3</v>
      </c>
      <c r="B190" t="s">
        <v>6</v>
      </c>
      <c r="C190" t="s">
        <v>9</v>
      </c>
      <c r="D190" t="s">
        <v>0</v>
      </c>
      <c r="E190">
        <v>3</v>
      </c>
      <c r="F190" s="2">
        <v>18.149999999999999</v>
      </c>
      <c r="G190" s="3">
        <v>3.5</v>
      </c>
    </row>
    <row r="191" spans="1:7" hidden="1" x14ac:dyDescent="0.3">
      <c r="A191" t="s">
        <v>5</v>
      </c>
      <c r="B191" t="s">
        <v>6</v>
      </c>
      <c r="C191" t="s">
        <v>9</v>
      </c>
      <c r="D191" t="s">
        <v>0</v>
      </c>
      <c r="E191">
        <v>3</v>
      </c>
      <c r="F191" s="2">
        <v>23.1</v>
      </c>
      <c r="G191" s="3">
        <v>4</v>
      </c>
    </row>
    <row r="192" spans="1:7" hidden="1" x14ac:dyDescent="0.3">
      <c r="A192" t="s">
        <v>5</v>
      </c>
      <c r="B192" t="s">
        <v>6</v>
      </c>
      <c r="C192" t="s">
        <v>9</v>
      </c>
      <c r="D192" t="s">
        <v>0</v>
      </c>
      <c r="E192">
        <v>2</v>
      </c>
      <c r="F192" s="2">
        <v>15.69</v>
      </c>
      <c r="G192" s="3">
        <v>1.5</v>
      </c>
    </row>
    <row r="193" spans="1:7" hidden="1" x14ac:dyDescent="0.3">
      <c r="A193" t="s">
        <v>3</v>
      </c>
      <c r="B193" t="s">
        <v>6</v>
      </c>
      <c r="C193" t="s">
        <v>1</v>
      </c>
      <c r="D193" t="s">
        <v>7</v>
      </c>
      <c r="E193">
        <v>2</v>
      </c>
      <c r="F193" s="2">
        <v>19.809999999999999</v>
      </c>
      <c r="G193" s="3">
        <v>4.1900000000000004</v>
      </c>
    </row>
    <row r="194" spans="1:7" hidden="1" x14ac:dyDescent="0.3">
      <c r="A194" t="s">
        <v>5</v>
      </c>
      <c r="B194" t="s">
        <v>6</v>
      </c>
      <c r="C194" t="s">
        <v>1</v>
      </c>
      <c r="D194" t="s">
        <v>7</v>
      </c>
      <c r="E194">
        <v>2</v>
      </c>
      <c r="F194" s="2">
        <v>28.44</v>
      </c>
      <c r="G194" s="3">
        <v>2.56</v>
      </c>
    </row>
    <row r="195" spans="1:7" hidden="1" x14ac:dyDescent="0.3">
      <c r="A195" t="s">
        <v>5</v>
      </c>
      <c r="B195" t="s">
        <v>6</v>
      </c>
      <c r="C195" t="s">
        <v>1</v>
      </c>
      <c r="D195" t="s">
        <v>7</v>
      </c>
      <c r="E195">
        <v>2</v>
      </c>
      <c r="F195" s="2">
        <v>15.48</v>
      </c>
      <c r="G195" s="3">
        <v>2.02</v>
      </c>
    </row>
    <row r="196" spans="1:7" hidden="1" x14ac:dyDescent="0.3">
      <c r="A196" t="s">
        <v>5</v>
      </c>
      <c r="B196" t="s">
        <v>6</v>
      </c>
      <c r="C196" t="s">
        <v>1</v>
      </c>
      <c r="D196" t="s">
        <v>7</v>
      </c>
      <c r="E196">
        <v>2</v>
      </c>
      <c r="F196" s="2">
        <v>16.579999999999998</v>
      </c>
      <c r="G196" s="3">
        <v>4</v>
      </c>
    </row>
    <row r="197" spans="1:7" hidden="1" x14ac:dyDescent="0.3">
      <c r="A197" t="s">
        <v>5</v>
      </c>
      <c r="B197" t="s">
        <v>2</v>
      </c>
      <c r="C197" t="s">
        <v>1</v>
      </c>
      <c r="D197" t="s">
        <v>7</v>
      </c>
      <c r="E197">
        <v>2</v>
      </c>
      <c r="F197" s="2">
        <v>7.56</v>
      </c>
      <c r="G197" s="3">
        <v>1.44</v>
      </c>
    </row>
    <row r="198" spans="1:7" hidden="1" x14ac:dyDescent="0.3">
      <c r="A198" t="s">
        <v>5</v>
      </c>
      <c r="B198" t="s">
        <v>6</v>
      </c>
      <c r="C198" t="s">
        <v>1</v>
      </c>
      <c r="D198" t="s">
        <v>7</v>
      </c>
      <c r="E198">
        <v>2</v>
      </c>
      <c r="F198" s="2">
        <v>10.34</v>
      </c>
      <c r="G198" s="3">
        <v>2</v>
      </c>
    </row>
    <row r="199" spans="1:7" hidden="1" x14ac:dyDescent="0.3">
      <c r="A199" t="s">
        <v>3</v>
      </c>
      <c r="B199" t="s">
        <v>6</v>
      </c>
      <c r="C199" t="s">
        <v>1</v>
      </c>
      <c r="D199" t="s">
        <v>7</v>
      </c>
      <c r="E199">
        <v>4</v>
      </c>
      <c r="F199" s="2">
        <v>43.11</v>
      </c>
      <c r="G199" s="3">
        <v>5</v>
      </c>
    </row>
    <row r="200" spans="1:7" hidden="1" x14ac:dyDescent="0.3">
      <c r="A200" t="s">
        <v>3</v>
      </c>
      <c r="B200" t="s">
        <v>6</v>
      </c>
      <c r="C200" t="s">
        <v>1</v>
      </c>
      <c r="D200" t="s">
        <v>7</v>
      </c>
      <c r="E200">
        <v>2</v>
      </c>
      <c r="F200" s="2">
        <v>13</v>
      </c>
      <c r="G200" s="3">
        <v>2</v>
      </c>
    </row>
    <row r="201" spans="1:7" hidden="1" x14ac:dyDescent="0.3">
      <c r="A201" t="s">
        <v>5</v>
      </c>
      <c r="B201" t="s">
        <v>6</v>
      </c>
      <c r="C201" t="s">
        <v>1</v>
      </c>
      <c r="D201" t="s">
        <v>7</v>
      </c>
      <c r="E201">
        <v>2</v>
      </c>
      <c r="F201" s="2">
        <v>13.51</v>
      </c>
      <c r="G201" s="3">
        <v>2</v>
      </c>
    </row>
    <row r="202" spans="1:7" hidden="1" x14ac:dyDescent="0.3">
      <c r="A202" t="s">
        <v>5</v>
      </c>
      <c r="B202" t="s">
        <v>6</v>
      </c>
      <c r="C202" t="s">
        <v>1</v>
      </c>
      <c r="D202" t="s">
        <v>7</v>
      </c>
      <c r="E202">
        <v>3</v>
      </c>
      <c r="F202" s="2">
        <v>18.71</v>
      </c>
      <c r="G202" s="3">
        <v>4</v>
      </c>
    </row>
    <row r="203" spans="1:7" hidden="1" x14ac:dyDescent="0.3">
      <c r="A203" t="s">
        <v>3</v>
      </c>
      <c r="B203" t="s">
        <v>6</v>
      </c>
      <c r="C203" t="s">
        <v>1</v>
      </c>
      <c r="D203" t="s">
        <v>7</v>
      </c>
      <c r="E203">
        <v>2</v>
      </c>
      <c r="F203" s="2">
        <v>12.74</v>
      </c>
      <c r="G203" s="3">
        <v>2.0099999999999998</v>
      </c>
    </row>
    <row r="204" spans="1:7" hidden="1" x14ac:dyDescent="0.3">
      <c r="A204" t="s">
        <v>3</v>
      </c>
      <c r="B204" t="s">
        <v>6</v>
      </c>
      <c r="C204" t="s">
        <v>1</v>
      </c>
      <c r="D204" t="s">
        <v>7</v>
      </c>
      <c r="E204">
        <v>2</v>
      </c>
      <c r="F204" s="2">
        <v>13</v>
      </c>
      <c r="G204" s="3">
        <v>2</v>
      </c>
    </row>
    <row r="205" spans="1:7" hidden="1" x14ac:dyDescent="0.3">
      <c r="A205" t="s">
        <v>3</v>
      </c>
      <c r="B205" t="s">
        <v>6</v>
      </c>
      <c r="C205" t="s">
        <v>1</v>
      </c>
      <c r="D205" t="s">
        <v>7</v>
      </c>
      <c r="E205">
        <v>2</v>
      </c>
      <c r="F205" s="2">
        <v>16.399999999999999</v>
      </c>
      <c r="G205" s="3">
        <v>2.5</v>
      </c>
    </row>
    <row r="206" spans="1:7" hidden="1" x14ac:dyDescent="0.3">
      <c r="A206" t="s">
        <v>5</v>
      </c>
      <c r="B206" t="s">
        <v>6</v>
      </c>
      <c r="C206" t="s">
        <v>1</v>
      </c>
      <c r="D206" t="s">
        <v>7</v>
      </c>
      <c r="E206">
        <v>4</v>
      </c>
      <c r="F206" s="2">
        <v>20.53</v>
      </c>
      <c r="G206" s="3">
        <v>4</v>
      </c>
    </row>
    <row r="207" spans="1:7" hidden="1" x14ac:dyDescent="0.3">
      <c r="A207" t="s">
        <v>3</v>
      </c>
      <c r="B207" t="s">
        <v>6</v>
      </c>
      <c r="C207" t="s">
        <v>1</v>
      </c>
      <c r="D207" t="s">
        <v>7</v>
      </c>
      <c r="E207">
        <v>3</v>
      </c>
      <c r="F207" s="2">
        <v>16.47</v>
      </c>
      <c r="G207" s="3">
        <v>3.23</v>
      </c>
    </row>
    <row r="208" spans="1:7" x14ac:dyDescent="0.3">
      <c r="A208" t="s">
        <v>5</v>
      </c>
      <c r="B208" t="s">
        <v>6</v>
      </c>
      <c r="C208" t="s">
        <v>4</v>
      </c>
      <c r="D208" t="s">
        <v>0</v>
      </c>
      <c r="E208">
        <v>3</v>
      </c>
      <c r="F208" s="2">
        <v>26.59</v>
      </c>
      <c r="G208" s="3">
        <v>3.41</v>
      </c>
    </row>
    <row r="209" spans="1:7" x14ac:dyDescent="0.3">
      <c r="A209" t="s">
        <v>5</v>
      </c>
      <c r="B209" t="s">
        <v>6</v>
      </c>
      <c r="C209" t="s">
        <v>4</v>
      </c>
      <c r="D209" t="s">
        <v>0</v>
      </c>
      <c r="E209">
        <v>4</v>
      </c>
      <c r="F209" s="2">
        <v>38.729999999999997</v>
      </c>
      <c r="G209" s="3">
        <v>3</v>
      </c>
    </row>
    <row r="210" spans="1:7" x14ac:dyDescent="0.3">
      <c r="A210" t="s">
        <v>5</v>
      </c>
      <c r="B210" t="s">
        <v>6</v>
      </c>
      <c r="C210" t="s">
        <v>4</v>
      </c>
      <c r="D210" t="s">
        <v>0</v>
      </c>
      <c r="E210">
        <v>2</v>
      </c>
      <c r="F210" s="2">
        <v>24.27</v>
      </c>
      <c r="G210" s="3">
        <v>2.0299999999999998</v>
      </c>
    </row>
    <row r="211" spans="1:7" x14ac:dyDescent="0.3">
      <c r="A211" t="s">
        <v>3</v>
      </c>
      <c r="B211" t="s">
        <v>6</v>
      </c>
      <c r="C211" t="s">
        <v>4</v>
      </c>
      <c r="D211" t="s">
        <v>0</v>
      </c>
      <c r="E211">
        <v>2</v>
      </c>
      <c r="F211" s="2">
        <v>12.76</v>
      </c>
      <c r="G211" s="3">
        <v>2.23</v>
      </c>
    </row>
    <row r="212" spans="1:7" x14ac:dyDescent="0.3">
      <c r="A212" t="s">
        <v>5</v>
      </c>
      <c r="B212" t="s">
        <v>6</v>
      </c>
      <c r="C212" t="s">
        <v>4</v>
      </c>
      <c r="D212" t="s">
        <v>0</v>
      </c>
      <c r="E212">
        <v>3</v>
      </c>
      <c r="F212" s="2">
        <v>30.06</v>
      </c>
      <c r="G212" s="3">
        <v>2</v>
      </c>
    </row>
    <row r="213" spans="1:7" x14ac:dyDescent="0.3">
      <c r="A213" t="s">
        <v>5</v>
      </c>
      <c r="B213" t="s">
        <v>6</v>
      </c>
      <c r="C213" t="s">
        <v>4</v>
      </c>
      <c r="D213" t="s">
        <v>0</v>
      </c>
      <c r="E213">
        <v>4</v>
      </c>
      <c r="F213" s="2">
        <v>25.89</v>
      </c>
      <c r="G213" s="3">
        <v>5.16</v>
      </c>
    </row>
    <row r="214" spans="1:7" x14ac:dyDescent="0.3">
      <c r="A214" t="s">
        <v>5</v>
      </c>
      <c r="B214" t="s">
        <v>2</v>
      </c>
      <c r="C214" t="s">
        <v>4</v>
      </c>
      <c r="D214" t="s">
        <v>0</v>
      </c>
      <c r="E214">
        <v>4</v>
      </c>
      <c r="F214" s="2">
        <v>48.33</v>
      </c>
      <c r="G214" s="3">
        <v>9</v>
      </c>
    </row>
    <row r="215" spans="1:7" x14ac:dyDescent="0.3">
      <c r="A215" t="s">
        <v>3</v>
      </c>
      <c r="B215" t="s">
        <v>6</v>
      </c>
      <c r="C215" t="s">
        <v>4</v>
      </c>
      <c r="D215" t="s">
        <v>0</v>
      </c>
      <c r="E215">
        <v>2</v>
      </c>
      <c r="F215" s="2">
        <v>13.27</v>
      </c>
      <c r="G215" s="3">
        <v>2.5</v>
      </c>
    </row>
    <row r="216" spans="1:7" x14ac:dyDescent="0.3">
      <c r="A216" t="s">
        <v>3</v>
      </c>
      <c r="B216" t="s">
        <v>6</v>
      </c>
      <c r="C216" t="s">
        <v>4</v>
      </c>
      <c r="D216" t="s">
        <v>0</v>
      </c>
      <c r="E216">
        <v>3</v>
      </c>
      <c r="F216" s="2">
        <v>28.17</v>
      </c>
      <c r="G216" s="3">
        <v>6.5</v>
      </c>
    </row>
    <row r="217" spans="1:7" x14ac:dyDescent="0.3">
      <c r="A217" t="s">
        <v>3</v>
      </c>
      <c r="B217" t="s">
        <v>6</v>
      </c>
      <c r="C217" t="s">
        <v>4</v>
      </c>
      <c r="D217" t="s">
        <v>0</v>
      </c>
      <c r="E217">
        <v>2</v>
      </c>
      <c r="F217" s="2">
        <v>12.9</v>
      </c>
      <c r="G217" s="3">
        <v>1.1000000000000001</v>
      </c>
    </row>
    <row r="218" spans="1:7" x14ac:dyDescent="0.3">
      <c r="A218" t="s">
        <v>5</v>
      </c>
      <c r="B218" t="s">
        <v>6</v>
      </c>
      <c r="C218" t="s">
        <v>4</v>
      </c>
      <c r="D218" t="s">
        <v>0</v>
      </c>
      <c r="E218">
        <v>5</v>
      </c>
      <c r="F218" s="2">
        <v>28.15</v>
      </c>
      <c r="G218" s="3">
        <v>3</v>
      </c>
    </row>
    <row r="219" spans="1:7" x14ac:dyDescent="0.3">
      <c r="A219" t="s">
        <v>5</v>
      </c>
      <c r="B219" t="s">
        <v>6</v>
      </c>
      <c r="C219" t="s">
        <v>4</v>
      </c>
      <c r="D219" t="s">
        <v>0</v>
      </c>
      <c r="E219">
        <v>2</v>
      </c>
      <c r="F219" s="2">
        <v>11.59</v>
      </c>
      <c r="G219" s="3">
        <v>1.5</v>
      </c>
    </row>
    <row r="220" spans="1:7" x14ac:dyDescent="0.3">
      <c r="A220" t="s">
        <v>5</v>
      </c>
      <c r="B220" t="s">
        <v>6</v>
      </c>
      <c r="C220" t="s">
        <v>4</v>
      </c>
      <c r="D220" t="s">
        <v>0</v>
      </c>
      <c r="E220">
        <v>2</v>
      </c>
      <c r="F220" s="2">
        <v>7.74</v>
      </c>
      <c r="G220" s="3">
        <v>1.44</v>
      </c>
    </row>
    <row r="221" spans="1:7" x14ac:dyDescent="0.3">
      <c r="A221" t="s">
        <v>3</v>
      </c>
      <c r="B221" t="s">
        <v>6</v>
      </c>
      <c r="C221" t="s">
        <v>4</v>
      </c>
      <c r="D221" t="s">
        <v>0</v>
      </c>
      <c r="E221">
        <v>4</v>
      </c>
      <c r="F221" s="2">
        <v>30.14</v>
      </c>
      <c r="G221" s="3">
        <v>3.09</v>
      </c>
    </row>
    <row r="222" spans="1:7" hidden="1" x14ac:dyDescent="0.3">
      <c r="A222" t="s">
        <v>5</v>
      </c>
      <c r="B222" t="s">
        <v>6</v>
      </c>
      <c r="C222" t="s">
        <v>8</v>
      </c>
      <c r="D222" t="s">
        <v>7</v>
      </c>
      <c r="E222">
        <v>2</v>
      </c>
      <c r="F222" s="2">
        <v>12.16</v>
      </c>
      <c r="G222" s="3">
        <v>2.2000000000000002</v>
      </c>
    </row>
    <row r="223" spans="1:7" hidden="1" x14ac:dyDescent="0.3">
      <c r="A223" t="s">
        <v>3</v>
      </c>
      <c r="B223" t="s">
        <v>6</v>
      </c>
      <c r="C223" t="s">
        <v>8</v>
      </c>
      <c r="D223" t="s">
        <v>7</v>
      </c>
      <c r="E223">
        <v>2</v>
      </c>
      <c r="F223" s="2">
        <v>13.42</v>
      </c>
      <c r="G223" s="3">
        <v>3.48</v>
      </c>
    </row>
    <row r="224" spans="1:7" hidden="1" x14ac:dyDescent="0.3">
      <c r="A224" t="s">
        <v>5</v>
      </c>
      <c r="B224" t="s">
        <v>6</v>
      </c>
      <c r="C224" t="s">
        <v>8</v>
      </c>
      <c r="D224" t="s">
        <v>7</v>
      </c>
      <c r="E224">
        <v>1</v>
      </c>
      <c r="F224" s="2">
        <v>8.58</v>
      </c>
      <c r="G224" s="3">
        <v>1.92</v>
      </c>
    </row>
    <row r="225" spans="1:7" hidden="1" x14ac:dyDescent="0.3">
      <c r="A225" t="s">
        <v>3</v>
      </c>
      <c r="B225" t="s">
        <v>2</v>
      </c>
      <c r="C225" t="s">
        <v>8</v>
      </c>
      <c r="D225" t="s">
        <v>7</v>
      </c>
      <c r="E225">
        <v>3</v>
      </c>
      <c r="F225" s="2">
        <v>15.98</v>
      </c>
      <c r="G225" s="3">
        <v>3</v>
      </c>
    </row>
    <row r="226" spans="1:7" hidden="1" x14ac:dyDescent="0.3">
      <c r="A226" t="s">
        <v>5</v>
      </c>
      <c r="B226" t="s">
        <v>6</v>
      </c>
      <c r="C226" t="s">
        <v>8</v>
      </c>
      <c r="D226" t="s">
        <v>7</v>
      </c>
      <c r="E226">
        <v>2</v>
      </c>
      <c r="F226" s="2">
        <v>13.42</v>
      </c>
      <c r="G226" s="3">
        <v>1.58</v>
      </c>
    </row>
    <row r="227" spans="1:7" hidden="1" x14ac:dyDescent="0.3">
      <c r="A227" t="s">
        <v>3</v>
      </c>
      <c r="B227" t="s">
        <v>6</v>
      </c>
      <c r="C227" t="s">
        <v>8</v>
      </c>
      <c r="D227" t="s">
        <v>7</v>
      </c>
      <c r="E227">
        <v>2</v>
      </c>
      <c r="F227" s="2">
        <v>16.27</v>
      </c>
      <c r="G227" s="3">
        <v>2.5</v>
      </c>
    </row>
    <row r="228" spans="1:7" hidden="1" x14ac:dyDescent="0.3">
      <c r="A228" t="s">
        <v>3</v>
      </c>
      <c r="B228" t="s">
        <v>6</v>
      </c>
      <c r="C228" t="s">
        <v>8</v>
      </c>
      <c r="D228" t="s">
        <v>7</v>
      </c>
      <c r="E228">
        <v>2</v>
      </c>
      <c r="F228" s="2">
        <v>10.09</v>
      </c>
      <c r="G228" s="3">
        <v>2</v>
      </c>
    </row>
    <row r="229" spans="1:7" x14ac:dyDescent="0.3">
      <c r="A229" t="s">
        <v>5</v>
      </c>
      <c r="B229" t="s">
        <v>2</v>
      </c>
      <c r="C229" t="s">
        <v>4</v>
      </c>
      <c r="D229" t="s">
        <v>0</v>
      </c>
      <c r="E229">
        <v>4</v>
      </c>
      <c r="F229" s="2">
        <v>20.45</v>
      </c>
      <c r="G229" s="3">
        <v>3</v>
      </c>
    </row>
    <row r="230" spans="1:7" x14ac:dyDescent="0.3">
      <c r="A230" t="s">
        <v>5</v>
      </c>
      <c r="B230" t="s">
        <v>2</v>
      </c>
      <c r="C230" t="s">
        <v>4</v>
      </c>
      <c r="D230" t="s">
        <v>0</v>
      </c>
      <c r="E230">
        <v>2</v>
      </c>
      <c r="F230" s="2">
        <v>13.28</v>
      </c>
      <c r="G230" s="3">
        <v>2.72</v>
      </c>
    </row>
    <row r="231" spans="1:7" x14ac:dyDescent="0.3">
      <c r="A231" t="s">
        <v>3</v>
      </c>
      <c r="B231" t="s">
        <v>6</v>
      </c>
      <c r="C231" t="s">
        <v>4</v>
      </c>
      <c r="D231" t="s">
        <v>0</v>
      </c>
      <c r="E231">
        <v>2</v>
      </c>
      <c r="F231" s="2">
        <v>22.12</v>
      </c>
      <c r="G231" s="3">
        <v>2.88</v>
      </c>
    </row>
    <row r="232" spans="1:7" x14ac:dyDescent="0.3">
      <c r="A232" t="s">
        <v>5</v>
      </c>
      <c r="B232" t="s">
        <v>6</v>
      </c>
      <c r="C232" t="s">
        <v>4</v>
      </c>
      <c r="D232" t="s">
        <v>0</v>
      </c>
      <c r="E232">
        <v>4</v>
      </c>
      <c r="F232" s="2">
        <v>24.01</v>
      </c>
      <c r="G232" s="3">
        <v>2</v>
      </c>
    </row>
    <row r="233" spans="1:7" x14ac:dyDescent="0.3">
      <c r="A233" t="s">
        <v>5</v>
      </c>
      <c r="B233" t="s">
        <v>6</v>
      </c>
      <c r="C233" t="s">
        <v>4</v>
      </c>
      <c r="D233" t="s">
        <v>0</v>
      </c>
      <c r="E233">
        <v>3</v>
      </c>
      <c r="F233" s="2">
        <v>15.69</v>
      </c>
      <c r="G233" s="3">
        <v>3</v>
      </c>
    </row>
    <row r="234" spans="1:7" x14ac:dyDescent="0.3">
      <c r="A234" t="s">
        <v>5</v>
      </c>
      <c r="B234" t="s">
        <v>2</v>
      </c>
      <c r="C234" t="s">
        <v>4</v>
      </c>
      <c r="D234" t="s">
        <v>0</v>
      </c>
      <c r="E234">
        <v>2</v>
      </c>
      <c r="F234" s="2">
        <v>11.61</v>
      </c>
      <c r="G234" s="3">
        <v>3.39</v>
      </c>
    </row>
    <row r="235" spans="1:7" x14ac:dyDescent="0.3">
      <c r="A235" t="s">
        <v>5</v>
      </c>
      <c r="B235" t="s">
        <v>2</v>
      </c>
      <c r="C235" t="s">
        <v>4</v>
      </c>
      <c r="D235" t="s">
        <v>0</v>
      </c>
      <c r="E235">
        <v>2</v>
      </c>
      <c r="F235" s="2">
        <v>10.77</v>
      </c>
      <c r="G235" s="3">
        <v>1.47</v>
      </c>
    </row>
    <row r="236" spans="1:7" x14ac:dyDescent="0.3">
      <c r="A236" t="s">
        <v>5</v>
      </c>
      <c r="B236" t="s">
        <v>6</v>
      </c>
      <c r="C236" t="s">
        <v>4</v>
      </c>
      <c r="D236" t="s">
        <v>0</v>
      </c>
      <c r="E236">
        <v>2</v>
      </c>
      <c r="F236" s="2">
        <v>15.53</v>
      </c>
      <c r="G236" s="3">
        <v>3</v>
      </c>
    </row>
    <row r="237" spans="1:7" x14ac:dyDescent="0.3">
      <c r="A237" t="s">
        <v>5</v>
      </c>
      <c r="B237" t="s">
        <v>2</v>
      </c>
      <c r="C237" t="s">
        <v>4</v>
      </c>
      <c r="D237" t="s">
        <v>0</v>
      </c>
      <c r="E237">
        <v>2</v>
      </c>
      <c r="F237" s="2">
        <v>10.07</v>
      </c>
      <c r="G237" s="3">
        <v>1.25</v>
      </c>
    </row>
    <row r="238" spans="1:7" x14ac:dyDescent="0.3">
      <c r="A238" t="s">
        <v>5</v>
      </c>
      <c r="B238" t="s">
        <v>6</v>
      </c>
      <c r="C238" t="s">
        <v>4</v>
      </c>
      <c r="D238" t="s">
        <v>0</v>
      </c>
      <c r="E238">
        <v>2</v>
      </c>
      <c r="F238" s="2">
        <v>12.6</v>
      </c>
      <c r="G238" s="3">
        <v>1</v>
      </c>
    </row>
    <row r="239" spans="1:7" x14ac:dyDescent="0.3">
      <c r="A239" t="s">
        <v>5</v>
      </c>
      <c r="B239" t="s">
        <v>6</v>
      </c>
      <c r="C239" t="s">
        <v>4</v>
      </c>
      <c r="D239" t="s">
        <v>0</v>
      </c>
      <c r="E239">
        <v>2</v>
      </c>
      <c r="F239" s="2">
        <v>32.83</v>
      </c>
      <c r="G239" s="3">
        <v>1.17</v>
      </c>
    </row>
    <row r="240" spans="1:7" x14ac:dyDescent="0.3">
      <c r="A240" t="s">
        <v>3</v>
      </c>
      <c r="B240" t="s">
        <v>2</v>
      </c>
      <c r="C240" t="s">
        <v>4</v>
      </c>
      <c r="D240" t="s">
        <v>0</v>
      </c>
      <c r="E240">
        <v>3</v>
      </c>
      <c r="F240" s="2">
        <v>35.83</v>
      </c>
      <c r="G240" s="3">
        <v>4.67</v>
      </c>
    </row>
    <row r="241" spans="1:7" x14ac:dyDescent="0.3">
      <c r="A241" t="s">
        <v>5</v>
      </c>
      <c r="B241" t="s">
        <v>2</v>
      </c>
      <c r="C241" t="s">
        <v>4</v>
      </c>
      <c r="D241" t="s">
        <v>0</v>
      </c>
      <c r="E241">
        <v>3</v>
      </c>
      <c r="F241" s="2">
        <v>29.03</v>
      </c>
      <c r="G241" s="3">
        <v>5.92</v>
      </c>
    </row>
    <row r="242" spans="1:7" x14ac:dyDescent="0.3">
      <c r="A242" t="s">
        <v>3</v>
      </c>
      <c r="B242" t="s">
        <v>6</v>
      </c>
      <c r="C242" t="s">
        <v>4</v>
      </c>
      <c r="D242" t="s">
        <v>0</v>
      </c>
      <c r="E242">
        <v>2</v>
      </c>
      <c r="F242" s="2">
        <v>27.18</v>
      </c>
      <c r="G242" s="3">
        <v>2</v>
      </c>
    </row>
    <row r="243" spans="1:7" x14ac:dyDescent="0.3">
      <c r="A243" t="s">
        <v>5</v>
      </c>
      <c r="B243" t="s">
        <v>6</v>
      </c>
      <c r="C243" t="s">
        <v>4</v>
      </c>
      <c r="D243" t="s">
        <v>0</v>
      </c>
      <c r="E243">
        <v>2</v>
      </c>
      <c r="F243" s="2">
        <v>22.67</v>
      </c>
      <c r="G243" s="3">
        <v>2</v>
      </c>
    </row>
    <row r="244" spans="1:7" x14ac:dyDescent="0.3">
      <c r="A244" t="s">
        <v>5</v>
      </c>
      <c r="B244" t="s">
        <v>2</v>
      </c>
      <c r="C244" t="s">
        <v>4</v>
      </c>
      <c r="D244" t="s">
        <v>0</v>
      </c>
      <c r="E244">
        <v>2</v>
      </c>
      <c r="F244" s="2">
        <v>17.82</v>
      </c>
      <c r="G244" s="3">
        <v>1.75</v>
      </c>
    </row>
    <row r="245" spans="1:7" hidden="1" x14ac:dyDescent="0.3">
      <c r="A245" t="s">
        <v>3</v>
      </c>
      <c r="B245" t="s">
        <v>2</v>
      </c>
      <c r="C245" t="s">
        <v>1</v>
      </c>
      <c r="D245" t="s">
        <v>0</v>
      </c>
      <c r="E245">
        <v>2</v>
      </c>
      <c r="F245" s="2">
        <v>18.78</v>
      </c>
      <c r="G245" s="3">
        <v>3</v>
      </c>
    </row>
  </sheetData>
  <autoFilter ref="A1:G245" xr:uid="{8E47EB0B-904D-4A32-AC49-EEE4C902527F}">
    <filterColumn colId="2">
      <filters>
        <filter val="Sat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DCE07-6E02-4E6F-8187-C440946B7C9D}">
  <dimension ref="A1:V245"/>
  <sheetViews>
    <sheetView topLeftCell="L31" workbookViewId="0">
      <selection activeCell="L26" sqref="L26:V37"/>
    </sheetView>
  </sheetViews>
  <sheetFormatPr defaultRowHeight="14.4" x14ac:dyDescent="0.3"/>
  <cols>
    <col min="1" max="1" width="7.5546875" bestFit="1" customWidth="1"/>
    <col min="2" max="2" width="9.88671875" bestFit="1" customWidth="1"/>
    <col min="7" max="7" width="7.44140625" bestFit="1" customWidth="1"/>
    <col min="8" max="8" width="6.6640625" bestFit="1" customWidth="1"/>
    <col min="9" max="9" width="11.33203125" bestFit="1" customWidth="1"/>
    <col min="10" max="10" width="7.33203125" bestFit="1" customWidth="1"/>
    <col min="13" max="20" width="19.6640625" bestFit="1" customWidth="1"/>
    <col min="21" max="22" width="15.109375" bestFit="1" customWidth="1"/>
  </cols>
  <sheetData>
    <row r="1" spans="1:22" ht="18.600000000000001" thickBot="1" x14ac:dyDescent="0.4">
      <c r="A1" s="1" t="s">
        <v>14</v>
      </c>
      <c r="B1" s="1" t="s">
        <v>13</v>
      </c>
      <c r="C1" s="6" t="s">
        <v>9</v>
      </c>
      <c r="D1" s="6" t="s">
        <v>8</v>
      </c>
      <c r="E1" s="6" t="s">
        <v>4</v>
      </c>
      <c r="F1" s="6" t="s">
        <v>1</v>
      </c>
      <c r="G1" s="1" t="s">
        <v>11</v>
      </c>
      <c r="H1" s="1" t="s">
        <v>10</v>
      </c>
      <c r="I1" s="1" t="s">
        <v>16</v>
      </c>
      <c r="J1" s="1" t="s">
        <v>15</v>
      </c>
      <c r="L1" s="61" t="s">
        <v>71</v>
      </c>
      <c r="M1" s="61"/>
      <c r="N1" s="61"/>
      <c r="O1" s="61"/>
      <c r="P1" s="61"/>
      <c r="Q1" s="61"/>
      <c r="R1" s="61"/>
      <c r="S1" s="61"/>
      <c r="T1" s="61"/>
      <c r="U1" s="61"/>
      <c r="V1" s="61"/>
    </row>
    <row r="2" spans="1:22" x14ac:dyDescent="0.3">
      <c r="A2" s="1">
        <f>IF(tips!A2="Female",1,IF(tips!A2="Male",0,""))</f>
        <v>1</v>
      </c>
      <c r="B2" s="1">
        <f>IF(tips!B2="Yes",1,IF(tips!B2="No",0,""))</f>
        <v>0</v>
      </c>
      <c r="C2" s="1">
        <f>IF(tips!$C2="Sun",1,0)</f>
        <v>1</v>
      </c>
      <c r="D2" s="1">
        <f>IF(tips!$C2="Fri",1,0)</f>
        <v>0</v>
      </c>
      <c r="E2" s="1">
        <f>IF(tips!$C2="Sat",1,0)</f>
        <v>0</v>
      </c>
      <c r="F2" s="1">
        <f>IF(tips!$C2="Thur",1,0)</f>
        <v>0</v>
      </c>
      <c r="G2" s="1">
        <f>IF(tips!D2="Dinner",1,IF(tips!D2="Lunch",0,""))</f>
        <v>1</v>
      </c>
      <c r="H2" s="1">
        <v>2</v>
      </c>
      <c r="I2" s="7">
        <v>16.989999999999998</v>
      </c>
      <c r="J2" s="8">
        <v>1.01</v>
      </c>
      <c r="L2" s="16"/>
      <c r="M2" s="16" t="s">
        <v>14</v>
      </c>
      <c r="N2" s="16" t="s">
        <v>13</v>
      </c>
      <c r="O2" s="16" t="s">
        <v>9</v>
      </c>
      <c r="P2" s="16" t="s">
        <v>8</v>
      </c>
      <c r="Q2" s="16" t="s">
        <v>4</v>
      </c>
      <c r="R2" s="16" t="s">
        <v>1</v>
      </c>
      <c r="S2" s="16" t="s">
        <v>11</v>
      </c>
      <c r="T2" s="16" t="s">
        <v>10</v>
      </c>
      <c r="U2" s="16" t="s">
        <v>16</v>
      </c>
      <c r="V2" s="16" t="s">
        <v>15</v>
      </c>
    </row>
    <row r="3" spans="1:22" x14ac:dyDescent="0.3">
      <c r="A3" s="1">
        <f>IF(tips!A3="Female",1,IF(tips!A3="Male",0,""))</f>
        <v>0</v>
      </c>
      <c r="B3" s="1">
        <f>IF(tips!B3="Yes",1,IF(tips!B3="No",0,""))</f>
        <v>0</v>
      </c>
      <c r="C3" s="1">
        <f>IF(tips!$C3="Sun",1,0)</f>
        <v>1</v>
      </c>
      <c r="D3" s="1">
        <f>IF(tips!$C3="Fri",1,0)</f>
        <v>0</v>
      </c>
      <c r="E3" s="1">
        <f>IF(tips!$C3="Sat",1,0)</f>
        <v>0</v>
      </c>
      <c r="F3" s="1">
        <f>IF(tips!$C3="Thur",1,0)</f>
        <v>0</v>
      </c>
      <c r="G3" s="1">
        <f>IF(tips!D3="Dinner",1,IF(tips!D3="Lunch",0,""))</f>
        <v>1</v>
      </c>
      <c r="H3" s="1">
        <v>3</v>
      </c>
      <c r="I3" s="7">
        <v>10.34</v>
      </c>
      <c r="J3" s="8">
        <v>1.66</v>
      </c>
      <c r="L3" s="17" t="s">
        <v>14</v>
      </c>
      <c r="M3" s="19">
        <v>1</v>
      </c>
      <c r="N3" s="19"/>
      <c r="O3" s="19"/>
      <c r="P3" s="19"/>
      <c r="Q3" s="19"/>
      <c r="R3" s="19"/>
      <c r="S3" s="19"/>
      <c r="T3" s="19"/>
      <c r="U3" s="19"/>
      <c r="V3" s="19"/>
    </row>
    <row r="4" spans="1:22" x14ac:dyDescent="0.3">
      <c r="A4" s="1">
        <f>IF(tips!A4="Female",1,IF(tips!A4="Male",0,""))</f>
        <v>0</v>
      </c>
      <c r="B4" s="1">
        <f>IF(tips!B4="Yes",1,IF(tips!B4="No",0,""))</f>
        <v>0</v>
      </c>
      <c r="C4" s="1">
        <f>IF(tips!$C4="Sun",1,0)</f>
        <v>1</v>
      </c>
      <c r="D4" s="1">
        <f>IF(tips!$C4="Fri",1,0)</f>
        <v>0</v>
      </c>
      <c r="E4" s="1">
        <f>IF(tips!$C4="Sat",1,0)</f>
        <v>0</v>
      </c>
      <c r="F4" s="1">
        <f>IF(tips!$C4="Thur",1,0)</f>
        <v>0</v>
      </c>
      <c r="G4" s="1">
        <f>IF(tips!D4="Dinner",1,IF(tips!D4="Lunch",0,""))</f>
        <v>1</v>
      </c>
      <c r="H4" s="1">
        <v>3</v>
      </c>
      <c r="I4" s="7">
        <v>21.01</v>
      </c>
      <c r="J4" s="8">
        <v>3.5</v>
      </c>
      <c r="L4" s="17" t="s">
        <v>13</v>
      </c>
      <c r="M4" s="19">
        <v>-2.8159517336962502E-3</v>
      </c>
      <c r="N4" s="19">
        <v>1</v>
      </c>
      <c r="O4" s="19"/>
      <c r="P4" s="19"/>
      <c r="Q4" s="19"/>
      <c r="R4" s="19"/>
      <c r="S4" s="19"/>
      <c r="T4" s="19"/>
      <c r="U4" s="19"/>
      <c r="V4" s="19"/>
    </row>
    <row r="5" spans="1:22" x14ac:dyDescent="0.3">
      <c r="A5" s="1">
        <f>IF(tips!A5="Female",1,IF(tips!A5="Male",0,""))</f>
        <v>0</v>
      </c>
      <c r="B5" s="1">
        <f>IF(tips!B5="Yes",1,IF(tips!B5="No",0,""))</f>
        <v>0</v>
      </c>
      <c r="C5" s="1">
        <f>IF(tips!$C5="Sun",1,0)</f>
        <v>1</v>
      </c>
      <c r="D5" s="1">
        <f>IF(tips!$C5="Fri",1,0)</f>
        <v>0</v>
      </c>
      <c r="E5" s="1">
        <f>IF(tips!$C5="Sat",1,0)</f>
        <v>0</v>
      </c>
      <c r="F5" s="1">
        <f>IF(tips!$C5="Thur",1,0)</f>
        <v>0</v>
      </c>
      <c r="G5" s="1">
        <f>IF(tips!D5="Dinner",1,IF(tips!D5="Lunch",0,""))</f>
        <v>1</v>
      </c>
      <c r="H5" s="1">
        <v>2</v>
      </c>
      <c r="I5" s="7">
        <v>23.68</v>
      </c>
      <c r="J5" s="8">
        <v>3.31</v>
      </c>
      <c r="L5" s="17" t="s">
        <v>9</v>
      </c>
      <c r="M5" s="19">
        <v>-0.16810556278792496</v>
      </c>
      <c r="N5" s="19">
        <v>-0.18162356069093988</v>
      </c>
      <c r="O5" s="19">
        <v>1</v>
      </c>
      <c r="P5" s="19"/>
      <c r="Q5" s="19"/>
      <c r="R5" s="19"/>
      <c r="S5" s="19"/>
      <c r="T5" s="19"/>
      <c r="U5" s="19"/>
      <c r="V5" s="19"/>
    </row>
    <row r="6" spans="1:22" x14ac:dyDescent="0.3">
      <c r="A6" s="1">
        <f>IF(tips!A6="Female",1,IF(tips!A6="Male",0,""))</f>
        <v>1</v>
      </c>
      <c r="B6" s="1">
        <f>IF(tips!B6="Yes",1,IF(tips!B6="No",0,""))</f>
        <v>0</v>
      </c>
      <c r="C6" s="1">
        <f>IF(tips!$C6="Sun",1,0)</f>
        <v>1</v>
      </c>
      <c r="D6" s="1">
        <f>IF(tips!$C6="Fri",1,0)</f>
        <v>0</v>
      </c>
      <c r="E6" s="1">
        <f>IF(tips!$C6="Sat",1,0)</f>
        <v>0</v>
      </c>
      <c r="F6" s="1">
        <f>IF(tips!$C6="Thur",1,0)</f>
        <v>0</v>
      </c>
      <c r="G6" s="1">
        <f>IF(tips!D6="Dinner",1,IF(tips!D6="Lunch",0,""))</f>
        <v>1</v>
      </c>
      <c r="H6" s="1">
        <v>4</v>
      </c>
      <c r="I6" s="7">
        <v>24.59</v>
      </c>
      <c r="J6" s="8">
        <v>3.61</v>
      </c>
      <c r="L6" s="17" t="s">
        <v>8</v>
      </c>
      <c r="M6" s="19">
        <v>7.1059527853085031E-2</v>
      </c>
      <c r="N6" s="19">
        <v>0.24431639216580975</v>
      </c>
      <c r="O6" s="19">
        <v>-0.19545090995198369</v>
      </c>
      <c r="P6" s="19">
        <v>1</v>
      </c>
      <c r="Q6" s="19"/>
      <c r="R6" s="19"/>
      <c r="S6" s="19"/>
      <c r="T6" s="19"/>
      <c r="U6" s="19"/>
      <c r="V6" s="19"/>
    </row>
    <row r="7" spans="1:22" x14ac:dyDescent="0.3">
      <c r="A7" s="1">
        <f>IF(tips!A7="Female",1,IF(tips!A7="Male",0,""))</f>
        <v>0</v>
      </c>
      <c r="B7" s="1">
        <f>IF(tips!B7="Yes",1,IF(tips!B7="No",0,""))</f>
        <v>0</v>
      </c>
      <c r="C7" s="1">
        <f>IF(tips!$C7="Sun",1,0)</f>
        <v>1</v>
      </c>
      <c r="D7" s="1">
        <f>IF(tips!$C7="Fri",1,0)</f>
        <v>0</v>
      </c>
      <c r="E7" s="1">
        <f>IF(tips!$C7="Sat",1,0)</f>
        <v>0</v>
      </c>
      <c r="F7" s="1">
        <f>IF(tips!$C7="Thur",1,0)</f>
        <v>0</v>
      </c>
      <c r="G7" s="1">
        <f>IF(tips!D7="Dinner",1,IF(tips!D7="Lunch",0,""))</f>
        <v>1</v>
      </c>
      <c r="H7" s="1">
        <v>4</v>
      </c>
      <c r="I7" s="7">
        <v>25.29</v>
      </c>
      <c r="J7" s="8">
        <v>4.71</v>
      </c>
      <c r="L7" s="17" t="s">
        <v>4</v>
      </c>
      <c r="M7" s="19">
        <v>-5.3957097884178983E-2</v>
      </c>
      <c r="N7" s="19">
        <v>0.15574379204058184</v>
      </c>
      <c r="O7" s="19">
        <v>-0.50068197349268273</v>
      </c>
      <c r="P7" s="19">
        <v>-0.21631933617154617</v>
      </c>
      <c r="Q7" s="19">
        <v>1</v>
      </c>
      <c r="R7" s="19"/>
      <c r="S7" s="19"/>
      <c r="T7" s="19"/>
      <c r="U7" s="19"/>
      <c r="V7" s="19"/>
    </row>
    <row r="8" spans="1:22" x14ac:dyDescent="0.3">
      <c r="A8" s="1">
        <f>IF(tips!A8="Female",1,IF(tips!A8="Male",0,""))</f>
        <v>0</v>
      </c>
      <c r="B8" s="1">
        <f>IF(tips!B8="Yes",1,IF(tips!B8="No",0,""))</f>
        <v>0</v>
      </c>
      <c r="C8" s="1">
        <f>IF(tips!$C8="Sun",1,0)</f>
        <v>1</v>
      </c>
      <c r="D8" s="1">
        <f>IF(tips!$C8="Fri",1,0)</f>
        <v>0</v>
      </c>
      <c r="E8" s="1">
        <f>IF(tips!$C8="Sat",1,0)</f>
        <v>0</v>
      </c>
      <c r="F8" s="1">
        <f>IF(tips!$C8="Thur",1,0)</f>
        <v>0</v>
      </c>
      <c r="G8" s="1">
        <f>IF(tips!D8="Dinner",1,IF(tips!D8="Lunch",0,""))</f>
        <v>1</v>
      </c>
      <c r="H8" s="1">
        <v>2</v>
      </c>
      <c r="I8" s="7">
        <v>8.77</v>
      </c>
      <c r="J8" s="8">
        <v>2</v>
      </c>
      <c r="L8" s="17" t="s">
        <v>1</v>
      </c>
      <c r="M8" s="19">
        <v>0.19444477363836757</v>
      </c>
      <c r="N8" s="19">
        <v>-0.12853370627170327</v>
      </c>
      <c r="O8" s="19">
        <v>-0.39256565943156507</v>
      </c>
      <c r="P8" s="19">
        <v>-0.16960774972503123</v>
      </c>
      <c r="Q8" s="19">
        <v>-0.43448016114554605</v>
      </c>
      <c r="R8" s="19">
        <v>1</v>
      </c>
      <c r="S8" s="19"/>
      <c r="T8" s="19"/>
      <c r="U8" s="19"/>
      <c r="V8" s="19"/>
    </row>
    <row r="9" spans="1:22" x14ac:dyDescent="0.3">
      <c r="A9" s="1">
        <f>IF(tips!A9="Female",1,IF(tips!A9="Male",0,""))</f>
        <v>0</v>
      </c>
      <c r="B9" s="1">
        <f>IF(tips!B9="Yes",1,IF(tips!B9="No",0,""))</f>
        <v>0</v>
      </c>
      <c r="C9" s="1">
        <f>IF(tips!$C9="Sun",1,0)</f>
        <v>1</v>
      </c>
      <c r="D9" s="1">
        <f>IF(tips!$C9="Fri",1,0)</f>
        <v>0</v>
      </c>
      <c r="E9" s="1">
        <f>IF(tips!$C9="Sat",1,0)</f>
        <v>0</v>
      </c>
      <c r="F9" s="1">
        <f>IF(tips!$C9="Thur",1,0)</f>
        <v>0</v>
      </c>
      <c r="G9" s="1">
        <f>IF(tips!D9="Dinner",1,IF(tips!D9="Lunch",0,""))</f>
        <v>1</v>
      </c>
      <c r="H9" s="1">
        <v>4</v>
      </c>
      <c r="I9" s="7">
        <v>26.88</v>
      </c>
      <c r="J9" s="8">
        <v>3.12</v>
      </c>
      <c r="L9" s="17" t="s">
        <v>11</v>
      </c>
      <c r="M9" s="19">
        <v>-0.20523129613344476</v>
      </c>
      <c r="N9" s="19">
        <v>5.4921103595706899E-2</v>
      </c>
      <c r="O9" s="19">
        <v>0.41807122573019706</v>
      </c>
      <c r="P9" s="19">
        <v>-5.8158671944682563E-2</v>
      </c>
      <c r="Q9" s="19">
        <v>0.4627089740569581</v>
      </c>
      <c r="R9" s="19">
        <v>-0.91799576573061048</v>
      </c>
      <c r="S9" s="19">
        <v>1</v>
      </c>
      <c r="T9" s="19"/>
      <c r="U9" s="19"/>
      <c r="V9" s="19"/>
    </row>
    <row r="10" spans="1:22" x14ac:dyDescent="0.3">
      <c r="A10" s="1">
        <f>IF(tips!A10="Female",1,IF(tips!A10="Male",0,""))</f>
        <v>0</v>
      </c>
      <c r="B10" s="1">
        <f>IF(tips!B10="Yes",1,IF(tips!B10="No",0,""))</f>
        <v>0</v>
      </c>
      <c r="C10" s="1">
        <f>IF(tips!$C10="Sun",1,0)</f>
        <v>1</v>
      </c>
      <c r="D10" s="1">
        <f>IF(tips!$C10="Fri",1,0)</f>
        <v>0</v>
      </c>
      <c r="E10" s="1">
        <f>IF(tips!$C10="Sat",1,0)</f>
        <v>0</v>
      </c>
      <c r="F10" s="1">
        <f>IF(tips!$C10="Thur",1,0)</f>
        <v>0</v>
      </c>
      <c r="G10" s="1">
        <f>IF(tips!D10="Dinner",1,IF(tips!D10="Lunch",0,""))</f>
        <v>1</v>
      </c>
      <c r="H10" s="1">
        <v>2</v>
      </c>
      <c r="I10" s="7">
        <v>15.04</v>
      </c>
      <c r="J10" s="8">
        <v>1.96</v>
      </c>
      <c r="L10" s="17" t="s">
        <v>10</v>
      </c>
      <c r="M10" s="19">
        <v>-8.6194815382524506E-2</v>
      </c>
      <c r="N10" s="19">
        <v>-0.13317824602877762</v>
      </c>
      <c r="O10" s="19">
        <v>0.193053536782088</v>
      </c>
      <c r="P10" s="19">
        <v>-0.14218436010811197</v>
      </c>
      <c r="Q10" s="19">
        <v>-4.1120801337655229E-2</v>
      </c>
      <c r="R10" s="19">
        <v>-7.2598186693253089E-2</v>
      </c>
      <c r="S10" s="19">
        <v>0.10341090969324018</v>
      </c>
      <c r="T10" s="19">
        <v>1</v>
      </c>
      <c r="U10" s="19"/>
      <c r="V10" s="19"/>
    </row>
    <row r="11" spans="1:22" ht="15" thickBot="1" x14ac:dyDescent="0.35">
      <c r="A11" s="1">
        <f>IF(tips!A11="Female",1,IF(tips!A11="Male",0,""))</f>
        <v>0</v>
      </c>
      <c r="B11" s="1">
        <f>IF(tips!B11="Yes",1,IF(tips!B11="No",0,""))</f>
        <v>0</v>
      </c>
      <c r="C11" s="1">
        <f>IF(tips!$C11="Sun",1,0)</f>
        <v>1</v>
      </c>
      <c r="D11" s="1">
        <f>IF(tips!$C11="Fri",1,0)</f>
        <v>0</v>
      </c>
      <c r="E11" s="1">
        <f>IF(tips!$C11="Sat",1,0)</f>
        <v>0</v>
      </c>
      <c r="F11" s="1">
        <f>IF(tips!$C11="Thur",1,0)</f>
        <v>0</v>
      </c>
      <c r="G11" s="1">
        <f>IF(tips!D11="Dinner",1,IF(tips!D11="Lunch",0,""))</f>
        <v>1</v>
      </c>
      <c r="H11" s="1">
        <v>2</v>
      </c>
      <c r="I11" s="7">
        <v>14.78</v>
      </c>
      <c r="J11" s="8">
        <v>3.23</v>
      </c>
      <c r="L11" s="17" t="s">
        <v>16</v>
      </c>
      <c r="M11" s="19">
        <v>-0.14487733703816522</v>
      </c>
      <c r="N11" s="19">
        <v>8.5721257322847813E-2</v>
      </c>
      <c r="O11" s="19">
        <v>0.12295257058705819</v>
      </c>
      <c r="P11" s="19">
        <v>-8.6167870463078805E-2</v>
      </c>
      <c r="Q11" s="19">
        <v>5.4919254869473591E-2</v>
      </c>
      <c r="R11" s="19">
        <v>-0.13817356248143217</v>
      </c>
      <c r="S11" s="19">
        <v>0.18311760533651456</v>
      </c>
      <c r="T11" s="19">
        <v>0.59831513090490263</v>
      </c>
      <c r="U11" s="19">
        <v>1</v>
      </c>
      <c r="V11" s="19"/>
    </row>
    <row r="12" spans="1:22" ht="15" thickBot="1" x14ac:dyDescent="0.35">
      <c r="A12" s="1">
        <f>IF(tips!A12="Female",1,IF(tips!A12="Male",0,""))</f>
        <v>0</v>
      </c>
      <c r="B12" s="1">
        <f>IF(tips!B12="Yes",1,IF(tips!B12="No",0,""))</f>
        <v>0</v>
      </c>
      <c r="C12" s="1">
        <f>IF(tips!$C12="Sun",1,0)</f>
        <v>1</v>
      </c>
      <c r="D12" s="1">
        <f>IF(tips!$C12="Fri",1,0)</f>
        <v>0</v>
      </c>
      <c r="E12" s="1">
        <f>IF(tips!$C12="Sat",1,0)</f>
        <v>0</v>
      </c>
      <c r="F12" s="1">
        <f>IF(tips!$C12="Thur",1,0)</f>
        <v>0</v>
      </c>
      <c r="G12" s="1">
        <f>IF(tips!D12="Dinner",1,IF(tips!D12="Lunch",0,""))</f>
        <v>1</v>
      </c>
      <c r="H12" s="1">
        <v>2</v>
      </c>
      <c r="I12" s="7">
        <v>10.27</v>
      </c>
      <c r="J12" s="8">
        <v>1.71</v>
      </c>
      <c r="L12" s="18" t="s">
        <v>15</v>
      </c>
      <c r="M12" s="20">
        <v>-8.8862061090736341E-2</v>
      </c>
      <c r="N12" s="20">
        <v>5.9285395278066352E-3</v>
      </c>
      <c r="O12" s="20">
        <v>0.12511398261516635</v>
      </c>
      <c r="P12" s="20">
        <v>-5.5463128348157524E-2</v>
      </c>
      <c r="Q12" s="20">
        <v>-2.7900343614578574E-3</v>
      </c>
      <c r="R12" s="20">
        <v>-9.5879173257456374E-2</v>
      </c>
      <c r="S12" s="20">
        <v>0.12162906226028647</v>
      </c>
      <c r="T12" s="21">
        <v>0.48929877523035786</v>
      </c>
      <c r="U12" s="22">
        <v>0.67573410921136434</v>
      </c>
      <c r="V12" s="20">
        <v>1</v>
      </c>
    </row>
    <row r="13" spans="1:22" ht="15" thickBot="1" x14ac:dyDescent="0.35">
      <c r="A13" s="1">
        <f>IF(tips!A13="Female",1,IF(tips!A13="Male",0,""))</f>
        <v>1</v>
      </c>
      <c r="B13" s="1">
        <f>IF(tips!B13="Yes",1,IF(tips!B13="No",0,""))</f>
        <v>0</v>
      </c>
      <c r="C13" s="1">
        <f>IF(tips!$C13="Sun",1,0)</f>
        <v>1</v>
      </c>
      <c r="D13" s="1">
        <f>IF(tips!$C13="Fri",1,0)</f>
        <v>0</v>
      </c>
      <c r="E13" s="1">
        <f>IF(tips!$C13="Sat",1,0)</f>
        <v>0</v>
      </c>
      <c r="F13" s="1">
        <f>IF(tips!$C13="Thur",1,0)</f>
        <v>0</v>
      </c>
      <c r="G13" s="1">
        <f>IF(tips!D13="Dinner",1,IF(tips!D13="Lunch",0,""))</f>
        <v>1</v>
      </c>
      <c r="H13" s="1">
        <v>4</v>
      </c>
      <c r="I13" s="7">
        <v>35.26</v>
      </c>
      <c r="J13" s="8">
        <v>5</v>
      </c>
    </row>
    <row r="14" spans="1:22" ht="22.8" x14ac:dyDescent="0.4">
      <c r="A14" s="1">
        <f>IF(tips!A14="Female",1,IF(tips!A14="Male",0,""))</f>
        <v>0</v>
      </c>
      <c r="B14" s="1">
        <f>IF(tips!B14="Yes",1,IF(tips!B14="No",0,""))</f>
        <v>0</v>
      </c>
      <c r="C14" s="1">
        <f>IF(tips!$C14="Sun",1,0)</f>
        <v>1</v>
      </c>
      <c r="D14" s="1">
        <f>IF(tips!$C14="Fri",1,0)</f>
        <v>0</v>
      </c>
      <c r="E14" s="1">
        <f>IF(tips!$C14="Sat",1,0)</f>
        <v>0</v>
      </c>
      <c r="F14" s="1">
        <f>IF(tips!$C14="Thur",1,0)</f>
        <v>0</v>
      </c>
      <c r="G14" s="1">
        <f>IF(tips!D14="Dinner",1,IF(tips!D14="Lunch",0,""))</f>
        <v>1</v>
      </c>
      <c r="H14" s="1">
        <v>2</v>
      </c>
      <c r="I14" s="7">
        <v>15.42</v>
      </c>
      <c r="J14" s="8">
        <v>1.57</v>
      </c>
      <c r="L14" s="52" t="s">
        <v>37</v>
      </c>
      <c r="M14" s="53"/>
      <c r="N14" s="53"/>
      <c r="O14" s="53"/>
      <c r="P14" s="53"/>
      <c r="Q14" s="53"/>
      <c r="R14" s="53"/>
      <c r="S14" s="53"/>
      <c r="T14" s="54"/>
      <c r="U14" s="14"/>
      <c r="V14" s="14"/>
    </row>
    <row r="15" spans="1:22" ht="15" customHeight="1" x14ac:dyDescent="0.4">
      <c r="A15" s="1">
        <f>IF(tips!A15="Female",1,IF(tips!A15="Male",0,""))</f>
        <v>0</v>
      </c>
      <c r="B15" s="1">
        <f>IF(tips!B15="Yes",1,IF(tips!B15="No",0,""))</f>
        <v>0</v>
      </c>
      <c r="C15" s="1">
        <f>IF(tips!$C15="Sun",1,0)</f>
        <v>1</v>
      </c>
      <c r="D15" s="1">
        <f>IF(tips!$C15="Fri",1,0)</f>
        <v>0</v>
      </c>
      <c r="E15" s="1">
        <f>IF(tips!$C15="Sat",1,0)</f>
        <v>0</v>
      </c>
      <c r="F15" s="1">
        <f>IF(tips!$C15="Thur",1,0)</f>
        <v>0</v>
      </c>
      <c r="G15" s="1">
        <f>IF(tips!D15="Dinner",1,IF(tips!D15="Lunch",0,""))</f>
        <v>1</v>
      </c>
      <c r="H15" s="1">
        <v>4</v>
      </c>
      <c r="I15" s="7">
        <v>18.43</v>
      </c>
      <c r="J15" s="8">
        <v>3</v>
      </c>
      <c r="L15" s="55"/>
      <c r="M15" s="56"/>
      <c r="N15" s="56"/>
      <c r="O15" s="56"/>
      <c r="P15" s="56"/>
      <c r="Q15" s="56"/>
      <c r="R15" s="56"/>
      <c r="S15" s="56"/>
      <c r="T15" s="57"/>
      <c r="U15" s="15"/>
      <c r="V15" s="14"/>
    </row>
    <row r="16" spans="1:22" ht="15" customHeight="1" x14ac:dyDescent="0.4">
      <c r="A16" s="1">
        <f>IF(tips!A16="Female",1,IF(tips!A16="Male",0,""))</f>
        <v>1</v>
      </c>
      <c r="B16" s="1">
        <f>IF(tips!B16="Yes",1,IF(tips!B16="No",0,""))</f>
        <v>0</v>
      </c>
      <c r="C16" s="1">
        <f>IF(tips!$C16="Sun",1,0)</f>
        <v>1</v>
      </c>
      <c r="D16" s="1">
        <f>IF(tips!$C16="Fri",1,0)</f>
        <v>0</v>
      </c>
      <c r="E16" s="1">
        <f>IF(tips!$C16="Sat",1,0)</f>
        <v>0</v>
      </c>
      <c r="F16" s="1">
        <f>IF(tips!$C16="Thur",1,0)</f>
        <v>0</v>
      </c>
      <c r="G16" s="1">
        <f>IF(tips!D16="Dinner",1,IF(tips!D16="Lunch",0,""))</f>
        <v>1</v>
      </c>
      <c r="H16" s="1">
        <v>2</v>
      </c>
      <c r="I16" s="7">
        <v>14.83</v>
      </c>
      <c r="J16" s="8">
        <v>3.02</v>
      </c>
      <c r="L16" s="55"/>
      <c r="M16" s="56"/>
      <c r="N16" s="56"/>
      <c r="O16" s="56"/>
      <c r="P16" s="56"/>
      <c r="Q16" s="56"/>
      <c r="R16" s="56"/>
      <c r="S16" s="56"/>
      <c r="T16" s="57"/>
      <c r="U16" s="15"/>
      <c r="V16" s="14"/>
    </row>
    <row r="17" spans="1:22" ht="15" customHeight="1" x14ac:dyDescent="0.4">
      <c r="A17" s="1">
        <f>IF(tips!A17="Female",1,IF(tips!A17="Male",0,""))</f>
        <v>0</v>
      </c>
      <c r="B17" s="1">
        <f>IF(tips!B17="Yes",1,IF(tips!B17="No",0,""))</f>
        <v>0</v>
      </c>
      <c r="C17" s="1">
        <f>IF(tips!$C17="Sun",1,0)</f>
        <v>1</v>
      </c>
      <c r="D17" s="1">
        <f>IF(tips!$C17="Fri",1,0)</f>
        <v>0</v>
      </c>
      <c r="E17" s="1">
        <f>IF(tips!$C17="Sat",1,0)</f>
        <v>0</v>
      </c>
      <c r="F17" s="1">
        <f>IF(tips!$C17="Thur",1,0)</f>
        <v>0</v>
      </c>
      <c r="G17" s="1">
        <f>IF(tips!D17="Dinner",1,IF(tips!D17="Lunch",0,""))</f>
        <v>1</v>
      </c>
      <c r="H17" s="1">
        <v>2</v>
      </c>
      <c r="I17" s="7">
        <v>21.58</v>
      </c>
      <c r="J17" s="8">
        <v>3.92</v>
      </c>
      <c r="L17" s="55"/>
      <c r="M17" s="56"/>
      <c r="N17" s="56"/>
      <c r="O17" s="56"/>
      <c r="P17" s="56"/>
      <c r="Q17" s="56"/>
      <c r="R17" s="56"/>
      <c r="S17" s="56"/>
      <c r="T17" s="57"/>
      <c r="U17" s="15"/>
      <c r="V17" s="14"/>
    </row>
    <row r="18" spans="1:22" ht="15" customHeight="1" thickBot="1" x14ac:dyDescent="0.45">
      <c r="A18" s="1">
        <f>IF(tips!A18="Female",1,IF(tips!A18="Male",0,""))</f>
        <v>1</v>
      </c>
      <c r="B18" s="1">
        <f>IF(tips!B18="Yes",1,IF(tips!B18="No",0,""))</f>
        <v>0</v>
      </c>
      <c r="C18" s="1">
        <f>IF(tips!$C18="Sun",1,0)</f>
        <v>1</v>
      </c>
      <c r="D18" s="1">
        <f>IF(tips!$C18="Fri",1,0)</f>
        <v>0</v>
      </c>
      <c r="E18" s="1">
        <f>IF(tips!$C18="Sat",1,0)</f>
        <v>0</v>
      </c>
      <c r="F18" s="1">
        <f>IF(tips!$C18="Thur",1,0)</f>
        <v>0</v>
      </c>
      <c r="G18" s="1">
        <f>IF(tips!D18="Dinner",1,IF(tips!D18="Lunch",0,""))</f>
        <v>1</v>
      </c>
      <c r="H18" s="1">
        <v>3</v>
      </c>
      <c r="I18" s="7">
        <v>10.33</v>
      </c>
      <c r="J18" s="8">
        <v>1.67</v>
      </c>
      <c r="L18" s="58"/>
      <c r="M18" s="59"/>
      <c r="N18" s="59"/>
      <c r="O18" s="59"/>
      <c r="P18" s="59"/>
      <c r="Q18" s="59"/>
      <c r="R18" s="59"/>
      <c r="S18" s="59"/>
      <c r="T18" s="60"/>
      <c r="U18" s="15"/>
      <c r="V18" s="14"/>
    </row>
    <row r="19" spans="1:22" ht="15" customHeight="1" x14ac:dyDescent="0.4">
      <c r="A19" s="1">
        <f>IF(tips!A19="Female",1,IF(tips!A19="Male",0,""))</f>
        <v>0</v>
      </c>
      <c r="B19" s="1">
        <f>IF(tips!B19="Yes",1,IF(tips!B19="No",0,""))</f>
        <v>0</v>
      </c>
      <c r="C19" s="1">
        <f>IF(tips!$C19="Sun",1,0)</f>
        <v>1</v>
      </c>
      <c r="D19" s="1">
        <f>IF(tips!$C19="Fri",1,0)</f>
        <v>0</v>
      </c>
      <c r="E19" s="1">
        <f>IF(tips!$C19="Sat",1,0)</f>
        <v>0</v>
      </c>
      <c r="F19" s="1">
        <f>IF(tips!$C19="Thur",1,0)</f>
        <v>0</v>
      </c>
      <c r="G19" s="1">
        <f>IF(tips!D19="Dinner",1,IF(tips!D19="Lunch",0,""))</f>
        <v>1</v>
      </c>
      <c r="H19" s="1">
        <v>3</v>
      </c>
      <c r="I19" s="7">
        <v>16.29</v>
      </c>
      <c r="J19" s="8">
        <v>3.71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</row>
    <row r="20" spans="1:22" ht="15" customHeight="1" x14ac:dyDescent="0.3">
      <c r="A20" s="1">
        <f>IF(tips!A20="Female",1,IF(tips!A20="Male",0,""))</f>
        <v>1</v>
      </c>
      <c r="B20" s="1">
        <f>IF(tips!B20="Yes",1,IF(tips!B20="No",0,""))</f>
        <v>0</v>
      </c>
      <c r="C20" s="1">
        <f>IF(tips!$C20="Sun",1,0)</f>
        <v>1</v>
      </c>
      <c r="D20" s="1">
        <f>IF(tips!$C20="Fri",1,0)</f>
        <v>0</v>
      </c>
      <c r="E20" s="1">
        <f>IF(tips!$C20="Sat",1,0)</f>
        <v>0</v>
      </c>
      <c r="F20" s="1">
        <f>IF(tips!$C20="Thur",1,0)</f>
        <v>0</v>
      </c>
      <c r="G20" s="1">
        <f>IF(tips!D20="Dinner",1,IF(tips!D20="Lunch",0,""))</f>
        <v>1</v>
      </c>
      <c r="H20" s="1">
        <v>3</v>
      </c>
      <c r="I20" s="7">
        <v>16.97</v>
      </c>
      <c r="J20" s="8">
        <v>3.5</v>
      </c>
    </row>
    <row r="21" spans="1:22" x14ac:dyDescent="0.3">
      <c r="A21" s="1">
        <f>IF(tips!A21="Female",1,IF(tips!A21="Male",0,""))</f>
        <v>0</v>
      </c>
      <c r="B21" s="1">
        <f>IF(tips!B21="Yes",1,IF(tips!B21="No",0,""))</f>
        <v>0</v>
      </c>
      <c r="C21" s="1">
        <f>IF(tips!$C21="Sun",1,0)</f>
        <v>0</v>
      </c>
      <c r="D21" s="1">
        <f>IF(tips!$C21="Fri",1,0)</f>
        <v>0</v>
      </c>
      <c r="E21" s="1">
        <f>IF(tips!$C21="Sat",1,0)</f>
        <v>1</v>
      </c>
      <c r="F21" s="1">
        <f>IF(tips!$C21="Thur",1,0)</f>
        <v>0</v>
      </c>
      <c r="G21" s="1">
        <f>IF(tips!D21="Dinner",1,IF(tips!D21="Lunch",0,""))</f>
        <v>1</v>
      </c>
      <c r="H21" s="1">
        <v>3</v>
      </c>
      <c r="I21" s="7">
        <v>20.65</v>
      </c>
      <c r="J21" s="8">
        <v>3.35</v>
      </c>
    </row>
    <row r="22" spans="1:22" x14ac:dyDescent="0.3">
      <c r="A22" s="1">
        <f>IF(tips!A22="Female",1,IF(tips!A22="Male",0,""))</f>
        <v>0</v>
      </c>
      <c r="B22" s="1">
        <f>IF(tips!B22="Yes",1,IF(tips!B22="No",0,""))</f>
        <v>0</v>
      </c>
      <c r="C22" s="1">
        <f>IF(tips!$C22="Sun",1,0)</f>
        <v>0</v>
      </c>
      <c r="D22" s="1">
        <f>IF(tips!$C22="Fri",1,0)</f>
        <v>0</v>
      </c>
      <c r="E22" s="1">
        <f>IF(tips!$C22="Sat",1,0)</f>
        <v>1</v>
      </c>
      <c r="F22" s="1">
        <f>IF(tips!$C22="Thur",1,0)</f>
        <v>0</v>
      </c>
      <c r="G22" s="1">
        <f>IF(tips!D22="Dinner",1,IF(tips!D22="Lunch",0,""))</f>
        <v>1</v>
      </c>
      <c r="H22" s="1">
        <v>2</v>
      </c>
      <c r="I22" s="7">
        <v>17.920000000000002</v>
      </c>
      <c r="J22" s="8">
        <v>4.08</v>
      </c>
    </row>
    <row r="23" spans="1:22" x14ac:dyDescent="0.3">
      <c r="A23" s="1">
        <f>IF(tips!A23="Female",1,IF(tips!A23="Male",0,""))</f>
        <v>1</v>
      </c>
      <c r="B23" s="1">
        <f>IF(tips!B23="Yes",1,IF(tips!B23="No",0,""))</f>
        <v>0</v>
      </c>
      <c r="C23" s="1">
        <f>IF(tips!$C23="Sun",1,0)</f>
        <v>0</v>
      </c>
      <c r="D23" s="1">
        <f>IF(tips!$C23="Fri",1,0)</f>
        <v>0</v>
      </c>
      <c r="E23" s="1">
        <f>IF(tips!$C23="Sat",1,0)</f>
        <v>1</v>
      </c>
      <c r="F23" s="1">
        <f>IF(tips!$C23="Thur",1,0)</f>
        <v>0</v>
      </c>
      <c r="G23" s="1">
        <f>IF(tips!D23="Dinner",1,IF(tips!D23="Lunch",0,""))</f>
        <v>1</v>
      </c>
      <c r="H23" s="1">
        <v>2</v>
      </c>
      <c r="I23" s="7">
        <v>20.29</v>
      </c>
      <c r="J23" s="8">
        <v>2.75</v>
      </c>
    </row>
    <row r="24" spans="1:22" x14ac:dyDescent="0.3">
      <c r="A24" s="1">
        <f>IF(tips!A24="Female",1,IF(tips!A24="Male",0,""))</f>
        <v>1</v>
      </c>
      <c r="B24" s="1">
        <f>IF(tips!B24="Yes",1,IF(tips!B24="No",0,""))</f>
        <v>0</v>
      </c>
      <c r="C24" s="1">
        <f>IF(tips!$C24="Sun",1,0)</f>
        <v>0</v>
      </c>
      <c r="D24" s="1">
        <f>IF(tips!$C24="Fri",1,0)</f>
        <v>0</v>
      </c>
      <c r="E24" s="1">
        <f>IF(tips!$C24="Sat",1,0)</f>
        <v>1</v>
      </c>
      <c r="F24" s="1">
        <f>IF(tips!$C24="Thur",1,0)</f>
        <v>0</v>
      </c>
      <c r="G24" s="1">
        <f>IF(tips!D24="Dinner",1,IF(tips!D24="Lunch",0,""))</f>
        <v>1</v>
      </c>
      <c r="H24" s="1">
        <v>2</v>
      </c>
      <c r="I24" s="7">
        <v>15.77</v>
      </c>
      <c r="J24" s="8">
        <v>2.23</v>
      </c>
    </row>
    <row r="25" spans="1:22" x14ac:dyDescent="0.3">
      <c r="A25" s="1">
        <f>IF(tips!A25="Female",1,IF(tips!A25="Male",0,""))</f>
        <v>0</v>
      </c>
      <c r="B25" s="1">
        <f>IF(tips!B25="Yes",1,IF(tips!B25="No",0,""))</f>
        <v>0</v>
      </c>
      <c r="C25" s="1">
        <f>IF(tips!$C25="Sun",1,0)</f>
        <v>0</v>
      </c>
      <c r="D25" s="1">
        <f>IF(tips!$C25="Fri",1,0)</f>
        <v>0</v>
      </c>
      <c r="E25" s="1">
        <f>IF(tips!$C25="Sat",1,0)</f>
        <v>1</v>
      </c>
      <c r="F25" s="1">
        <f>IF(tips!$C25="Thur",1,0)</f>
        <v>0</v>
      </c>
      <c r="G25" s="1">
        <f>IF(tips!D25="Dinner",1,IF(tips!D25="Lunch",0,""))</f>
        <v>1</v>
      </c>
      <c r="H25" s="1">
        <v>4</v>
      </c>
      <c r="I25" s="7">
        <v>39.42</v>
      </c>
      <c r="J25" s="8">
        <v>7.58</v>
      </c>
    </row>
    <row r="26" spans="1:22" ht="18.600000000000001" thickBot="1" x14ac:dyDescent="0.4">
      <c r="A26" s="1">
        <f>IF(tips!A26="Female",1,IF(tips!A26="Male",0,""))</f>
        <v>0</v>
      </c>
      <c r="B26" s="1">
        <f>IF(tips!B26="Yes",1,IF(tips!B26="No",0,""))</f>
        <v>0</v>
      </c>
      <c r="C26" s="1">
        <f>IF(tips!$C26="Sun",1,0)</f>
        <v>0</v>
      </c>
      <c r="D26" s="1">
        <f>IF(tips!$C26="Fri",1,0)</f>
        <v>0</v>
      </c>
      <c r="E26" s="1">
        <f>IF(tips!$C26="Sat",1,0)</f>
        <v>1</v>
      </c>
      <c r="F26" s="1">
        <f>IF(tips!$C26="Thur",1,0)</f>
        <v>0</v>
      </c>
      <c r="G26" s="1">
        <f>IF(tips!D26="Dinner",1,IF(tips!D26="Lunch",0,""))</f>
        <v>1</v>
      </c>
      <c r="H26" s="1">
        <v>2</v>
      </c>
      <c r="I26" s="7">
        <v>19.82</v>
      </c>
      <c r="J26" s="8">
        <v>3.18</v>
      </c>
      <c r="L26" s="61" t="s">
        <v>71</v>
      </c>
      <c r="M26" s="61"/>
      <c r="N26" s="61"/>
      <c r="O26" s="61"/>
      <c r="P26" s="61"/>
      <c r="Q26" s="61"/>
      <c r="R26" s="61"/>
      <c r="S26" s="61"/>
      <c r="T26" s="61"/>
      <c r="U26" s="61"/>
      <c r="V26" s="61"/>
    </row>
    <row r="27" spans="1:22" x14ac:dyDescent="0.3">
      <c r="A27" s="1">
        <f>IF(tips!A27="Female",1,IF(tips!A27="Male",0,""))</f>
        <v>0</v>
      </c>
      <c r="B27" s="1">
        <f>IF(tips!B27="Yes",1,IF(tips!B27="No",0,""))</f>
        <v>0</v>
      </c>
      <c r="C27" s="1">
        <f>IF(tips!$C27="Sun",1,0)</f>
        <v>0</v>
      </c>
      <c r="D27" s="1">
        <f>IF(tips!$C27="Fri",1,0)</f>
        <v>0</v>
      </c>
      <c r="E27" s="1">
        <f>IF(tips!$C27="Sat",1,0)</f>
        <v>1</v>
      </c>
      <c r="F27" s="1">
        <f>IF(tips!$C27="Thur",1,0)</f>
        <v>0</v>
      </c>
      <c r="G27" s="1">
        <f>IF(tips!D27="Dinner",1,IF(tips!D27="Lunch",0,""))</f>
        <v>1</v>
      </c>
      <c r="H27" s="1">
        <v>4</v>
      </c>
      <c r="I27" s="7">
        <v>17.809999999999999</v>
      </c>
      <c r="J27" s="8">
        <v>2.34</v>
      </c>
      <c r="L27" s="43"/>
      <c r="M27" s="43" t="s">
        <v>14</v>
      </c>
      <c r="N27" s="43" t="s">
        <v>13</v>
      </c>
      <c r="O27" s="43" t="s">
        <v>9</v>
      </c>
      <c r="P27" s="43" t="s">
        <v>8</v>
      </c>
      <c r="Q27" s="43" t="s">
        <v>4</v>
      </c>
      <c r="R27" s="43" t="s">
        <v>1</v>
      </c>
      <c r="S27" s="43" t="s">
        <v>11</v>
      </c>
      <c r="T27" s="43" t="s">
        <v>10</v>
      </c>
      <c r="U27" s="43" t="s">
        <v>16</v>
      </c>
      <c r="V27" s="43" t="s">
        <v>15</v>
      </c>
    </row>
    <row r="28" spans="1:22" x14ac:dyDescent="0.3">
      <c r="A28" s="1">
        <f>IF(tips!A28="Female",1,IF(tips!A28="Male",0,""))</f>
        <v>0</v>
      </c>
      <c r="B28" s="1">
        <f>IF(tips!B28="Yes",1,IF(tips!B28="No",0,""))</f>
        <v>0</v>
      </c>
      <c r="C28" s="1">
        <f>IF(tips!$C28="Sun",1,0)</f>
        <v>0</v>
      </c>
      <c r="D28" s="1">
        <f>IF(tips!$C28="Fri",1,0)</f>
        <v>0</v>
      </c>
      <c r="E28" s="1">
        <f>IF(tips!$C28="Sat",1,0)</f>
        <v>1</v>
      </c>
      <c r="F28" s="1">
        <f>IF(tips!$C28="Thur",1,0)</f>
        <v>0</v>
      </c>
      <c r="G28" s="1">
        <f>IF(tips!D28="Dinner",1,IF(tips!D28="Lunch",0,""))</f>
        <v>1</v>
      </c>
      <c r="H28" s="1">
        <v>2</v>
      </c>
      <c r="I28" s="7">
        <v>13.37</v>
      </c>
      <c r="J28" s="8">
        <v>2</v>
      </c>
      <c r="L28" s="44" t="s">
        <v>14</v>
      </c>
      <c r="M28" s="50">
        <v>1</v>
      </c>
      <c r="N28" s="45"/>
      <c r="O28" s="45"/>
      <c r="P28" s="45"/>
      <c r="Q28" s="45"/>
      <c r="R28" s="45"/>
      <c r="S28" s="45"/>
      <c r="T28" s="45"/>
      <c r="U28" s="45"/>
      <c r="V28" s="45"/>
    </row>
    <row r="29" spans="1:22" x14ac:dyDescent="0.3">
      <c r="A29" s="1">
        <f>IF(tips!A29="Female",1,IF(tips!A29="Male",0,""))</f>
        <v>0</v>
      </c>
      <c r="B29" s="1">
        <f>IF(tips!B29="Yes",1,IF(tips!B29="No",0,""))</f>
        <v>0</v>
      </c>
      <c r="C29" s="1">
        <f>IF(tips!$C29="Sun",1,0)</f>
        <v>0</v>
      </c>
      <c r="D29" s="1">
        <f>IF(tips!$C29="Fri",1,0)</f>
        <v>0</v>
      </c>
      <c r="E29" s="1">
        <f>IF(tips!$C29="Sat",1,0)</f>
        <v>1</v>
      </c>
      <c r="F29" s="1">
        <f>IF(tips!$C29="Thur",1,0)</f>
        <v>0</v>
      </c>
      <c r="G29" s="1">
        <f>IF(tips!D29="Dinner",1,IF(tips!D29="Lunch",0,""))</f>
        <v>1</v>
      </c>
      <c r="H29" s="1">
        <v>2</v>
      </c>
      <c r="I29" s="7">
        <v>12.69</v>
      </c>
      <c r="J29" s="8">
        <v>2</v>
      </c>
      <c r="L29" s="44" t="s">
        <v>13</v>
      </c>
      <c r="M29" s="45">
        <v>-2.8159517336962502E-3</v>
      </c>
      <c r="N29" s="50">
        <v>1</v>
      </c>
      <c r="O29" s="45"/>
      <c r="P29" s="45"/>
      <c r="Q29" s="45"/>
      <c r="R29" s="45"/>
      <c r="S29" s="45"/>
      <c r="T29" s="45"/>
      <c r="U29" s="45"/>
      <c r="V29" s="45"/>
    </row>
    <row r="30" spans="1:22" x14ac:dyDescent="0.3">
      <c r="A30" s="1">
        <f>IF(tips!A30="Female",1,IF(tips!A30="Male",0,""))</f>
        <v>0</v>
      </c>
      <c r="B30" s="1">
        <f>IF(tips!B30="Yes",1,IF(tips!B30="No",0,""))</f>
        <v>0</v>
      </c>
      <c r="C30" s="1">
        <f>IF(tips!$C30="Sun",1,0)</f>
        <v>0</v>
      </c>
      <c r="D30" s="1">
        <f>IF(tips!$C30="Fri",1,0)</f>
        <v>0</v>
      </c>
      <c r="E30" s="1">
        <f>IF(tips!$C30="Sat",1,0)</f>
        <v>1</v>
      </c>
      <c r="F30" s="1">
        <f>IF(tips!$C30="Thur",1,0)</f>
        <v>0</v>
      </c>
      <c r="G30" s="1">
        <f>IF(tips!D30="Dinner",1,IF(tips!D30="Lunch",0,""))</f>
        <v>1</v>
      </c>
      <c r="H30" s="1">
        <v>2</v>
      </c>
      <c r="I30" s="7">
        <v>21.7</v>
      </c>
      <c r="J30" s="8">
        <v>4.3</v>
      </c>
      <c r="L30" s="44" t="s">
        <v>9</v>
      </c>
      <c r="M30" s="45">
        <v>-0.16810556278792496</v>
      </c>
      <c r="N30" s="45">
        <v>-0.18162356069093988</v>
      </c>
      <c r="O30" s="50">
        <v>1</v>
      </c>
      <c r="P30" s="45"/>
      <c r="Q30" s="45"/>
      <c r="R30" s="45"/>
      <c r="S30" s="45"/>
      <c r="T30" s="45"/>
      <c r="U30" s="45"/>
      <c r="V30" s="45"/>
    </row>
    <row r="31" spans="1:22" x14ac:dyDescent="0.3">
      <c r="A31" s="1">
        <f>IF(tips!A31="Female",1,IF(tips!A31="Male",0,""))</f>
        <v>1</v>
      </c>
      <c r="B31" s="1">
        <f>IF(tips!B31="Yes",1,IF(tips!B31="No",0,""))</f>
        <v>0</v>
      </c>
      <c r="C31" s="1">
        <f>IF(tips!$C31="Sun",1,0)</f>
        <v>0</v>
      </c>
      <c r="D31" s="1">
        <f>IF(tips!$C31="Fri",1,0)</f>
        <v>0</v>
      </c>
      <c r="E31" s="1">
        <f>IF(tips!$C31="Sat",1,0)</f>
        <v>1</v>
      </c>
      <c r="F31" s="1">
        <f>IF(tips!$C31="Thur",1,0)</f>
        <v>0</v>
      </c>
      <c r="G31" s="1">
        <f>IF(tips!D31="Dinner",1,IF(tips!D31="Lunch",0,""))</f>
        <v>1</v>
      </c>
      <c r="H31" s="1">
        <v>2</v>
      </c>
      <c r="I31" s="7">
        <v>19.649999999999999</v>
      </c>
      <c r="J31" s="8">
        <v>3</v>
      </c>
      <c r="L31" s="44" t="s">
        <v>8</v>
      </c>
      <c r="M31" s="45">
        <v>7.1059527853085031E-2</v>
      </c>
      <c r="N31" s="45">
        <v>0.24431639216580975</v>
      </c>
      <c r="O31" s="45">
        <v>-0.19545090995198369</v>
      </c>
      <c r="P31" s="50">
        <v>1</v>
      </c>
      <c r="Q31" s="45"/>
      <c r="R31" s="45"/>
      <c r="S31" s="45"/>
      <c r="T31" s="45"/>
      <c r="U31" s="45"/>
      <c r="V31" s="45"/>
    </row>
    <row r="32" spans="1:22" x14ac:dyDescent="0.3">
      <c r="A32" s="1">
        <f>IF(tips!A32="Female",1,IF(tips!A32="Male",0,""))</f>
        <v>0</v>
      </c>
      <c r="B32" s="1">
        <f>IF(tips!B32="Yes",1,IF(tips!B32="No",0,""))</f>
        <v>0</v>
      </c>
      <c r="C32" s="1">
        <f>IF(tips!$C32="Sun",1,0)</f>
        <v>0</v>
      </c>
      <c r="D32" s="1">
        <f>IF(tips!$C32="Fri",1,0)</f>
        <v>0</v>
      </c>
      <c r="E32" s="1">
        <f>IF(tips!$C32="Sat",1,0)</f>
        <v>1</v>
      </c>
      <c r="F32" s="1">
        <f>IF(tips!$C32="Thur",1,0)</f>
        <v>0</v>
      </c>
      <c r="G32" s="1">
        <f>IF(tips!D32="Dinner",1,IF(tips!D32="Lunch",0,""))</f>
        <v>1</v>
      </c>
      <c r="H32" s="1">
        <v>2</v>
      </c>
      <c r="I32" s="7">
        <v>9.5500000000000007</v>
      </c>
      <c r="J32" s="8">
        <v>1.45</v>
      </c>
      <c r="L32" s="44" t="s">
        <v>4</v>
      </c>
      <c r="M32" s="45">
        <v>-5.3957097884178983E-2</v>
      </c>
      <c r="N32" s="45">
        <v>0.15574379204058184</v>
      </c>
      <c r="O32" s="45">
        <v>-0.50068197349268273</v>
      </c>
      <c r="P32" s="45">
        <v>-0.21631933617154617</v>
      </c>
      <c r="Q32" s="50">
        <v>1</v>
      </c>
      <c r="R32" s="45"/>
      <c r="S32" s="45"/>
      <c r="T32" s="45"/>
      <c r="U32" s="45"/>
      <c r="V32" s="45"/>
    </row>
    <row r="33" spans="1:22" x14ac:dyDescent="0.3">
      <c r="A33" s="1">
        <f>IF(tips!A33="Female",1,IF(tips!A33="Male",0,""))</f>
        <v>0</v>
      </c>
      <c r="B33" s="1">
        <f>IF(tips!B33="Yes",1,IF(tips!B33="No",0,""))</f>
        <v>0</v>
      </c>
      <c r="C33" s="1">
        <f>IF(tips!$C33="Sun",1,0)</f>
        <v>0</v>
      </c>
      <c r="D33" s="1">
        <f>IF(tips!$C33="Fri",1,0)</f>
        <v>0</v>
      </c>
      <c r="E33" s="1">
        <f>IF(tips!$C33="Sat",1,0)</f>
        <v>1</v>
      </c>
      <c r="F33" s="1">
        <f>IF(tips!$C33="Thur",1,0)</f>
        <v>0</v>
      </c>
      <c r="G33" s="1">
        <f>IF(tips!D33="Dinner",1,IF(tips!D33="Lunch",0,""))</f>
        <v>1</v>
      </c>
      <c r="H33" s="1">
        <v>4</v>
      </c>
      <c r="I33" s="7">
        <v>18.350000000000001</v>
      </c>
      <c r="J33" s="8">
        <v>2.5</v>
      </c>
      <c r="L33" s="44" t="s">
        <v>1</v>
      </c>
      <c r="M33" s="45">
        <v>0.19444477363836757</v>
      </c>
      <c r="N33" s="45">
        <v>-0.12853370627170327</v>
      </c>
      <c r="O33" s="45">
        <v>-0.39256565943156507</v>
      </c>
      <c r="P33" s="45">
        <v>-0.16960774972503123</v>
      </c>
      <c r="Q33" s="45">
        <v>-0.43448016114554605</v>
      </c>
      <c r="R33" s="50">
        <v>1</v>
      </c>
      <c r="S33" s="45"/>
      <c r="T33" s="45"/>
      <c r="U33" s="45"/>
      <c r="V33" s="45"/>
    </row>
    <row r="34" spans="1:22" x14ac:dyDescent="0.3">
      <c r="A34" s="1">
        <f>IF(tips!A34="Female",1,IF(tips!A34="Male",0,""))</f>
        <v>1</v>
      </c>
      <c r="B34" s="1">
        <f>IF(tips!B34="Yes",1,IF(tips!B34="No",0,""))</f>
        <v>0</v>
      </c>
      <c r="C34" s="1">
        <f>IF(tips!$C34="Sun",1,0)</f>
        <v>0</v>
      </c>
      <c r="D34" s="1">
        <f>IF(tips!$C34="Fri",1,0)</f>
        <v>0</v>
      </c>
      <c r="E34" s="1">
        <f>IF(tips!$C34="Sat",1,0)</f>
        <v>1</v>
      </c>
      <c r="F34" s="1">
        <f>IF(tips!$C34="Thur",1,0)</f>
        <v>0</v>
      </c>
      <c r="G34" s="1">
        <f>IF(tips!D34="Dinner",1,IF(tips!D34="Lunch",0,""))</f>
        <v>1</v>
      </c>
      <c r="H34" s="1">
        <v>2</v>
      </c>
      <c r="I34" s="7">
        <v>15.06</v>
      </c>
      <c r="J34" s="8">
        <v>3</v>
      </c>
      <c r="L34" s="44" t="s">
        <v>11</v>
      </c>
      <c r="M34" s="45">
        <v>-0.20523129613344476</v>
      </c>
      <c r="N34" s="45">
        <v>5.4921103595706899E-2</v>
      </c>
      <c r="O34" s="45">
        <v>0.41807122573019706</v>
      </c>
      <c r="P34" s="45">
        <v>-5.8158671944682563E-2</v>
      </c>
      <c r="Q34" s="45">
        <v>0.4627089740569581</v>
      </c>
      <c r="R34" s="45">
        <v>-0.91799576573061048</v>
      </c>
      <c r="S34" s="50">
        <v>1</v>
      </c>
      <c r="T34" s="45"/>
      <c r="U34" s="45"/>
      <c r="V34" s="45"/>
    </row>
    <row r="35" spans="1:22" x14ac:dyDescent="0.3">
      <c r="A35" s="1">
        <f>IF(tips!A35="Female",1,IF(tips!A35="Male",0,""))</f>
        <v>1</v>
      </c>
      <c r="B35" s="1">
        <f>IF(tips!B35="Yes",1,IF(tips!B35="No",0,""))</f>
        <v>0</v>
      </c>
      <c r="C35" s="1">
        <f>IF(tips!$C35="Sun",1,0)</f>
        <v>0</v>
      </c>
      <c r="D35" s="1">
        <f>IF(tips!$C35="Fri",1,0)</f>
        <v>0</v>
      </c>
      <c r="E35" s="1">
        <f>IF(tips!$C35="Sat",1,0)</f>
        <v>1</v>
      </c>
      <c r="F35" s="1">
        <f>IF(tips!$C35="Thur",1,0)</f>
        <v>0</v>
      </c>
      <c r="G35" s="1">
        <f>IF(tips!D35="Dinner",1,IF(tips!D35="Lunch",0,""))</f>
        <v>1</v>
      </c>
      <c r="H35" s="1">
        <v>4</v>
      </c>
      <c r="I35" s="7">
        <v>20.69</v>
      </c>
      <c r="J35" s="8">
        <v>2.4500000000000002</v>
      </c>
      <c r="L35" s="44" t="s">
        <v>10</v>
      </c>
      <c r="M35" s="45">
        <v>-8.6194815382524506E-2</v>
      </c>
      <c r="N35" s="45">
        <v>-0.13317824602877762</v>
      </c>
      <c r="O35" s="45">
        <v>0.193053536782088</v>
      </c>
      <c r="P35" s="45">
        <v>-0.14218436010811197</v>
      </c>
      <c r="Q35" s="45">
        <v>-4.1120801337655229E-2</v>
      </c>
      <c r="R35" s="45">
        <v>-7.2598186693253089E-2</v>
      </c>
      <c r="S35" s="45">
        <v>0.10341090969324018</v>
      </c>
      <c r="T35" s="50">
        <v>1</v>
      </c>
      <c r="U35" s="45"/>
      <c r="V35" s="45"/>
    </row>
    <row r="36" spans="1:22" ht="15" thickBot="1" x14ac:dyDescent="0.35">
      <c r="A36" s="1">
        <f>IF(tips!A36="Female",1,IF(tips!A36="Male",0,""))</f>
        <v>0</v>
      </c>
      <c r="B36" s="1">
        <f>IF(tips!B36="Yes",1,IF(tips!B36="No",0,""))</f>
        <v>0</v>
      </c>
      <c r="C36" s="1">
        <f>IF(tips!$C36="Sun",1,0)</f>
        <v>0</v>
      </c>
      <c r="D36" s="1">
        <f>IF(tips!$C36="Fri",1,0)</f>
        <v>0</v>
      </c>
      <c r="E36" s="1">
        <f>IF(tips!$C36="Sat",1,0)</f>
        <v>1</v>
      </c>
      <c r="F36" s="1">
        <f>IF(tips!$C36="Thur",1,0)</f>
        <v>0</v>
      </c>
      <c r="G36" s="1">
        <f>IF(tips!D36="Dinner",1,IF(tips!D36="Lunch",0,""))</f>
        <v>1</v>
      </c>
      <c r="H36" s="1">
        <v>2</v>
      </c>
      <c r="I36" s="7">
        <v>17.78</v>
      </c>
      <c r="J36" s="8">
        <v>3.27</v>
      </c>
      <c r="L36" s="44" t="s">
        <v>16</v>
      </c>
      <c r="M36" s="45">
        <v>-0.14487733703816522</v>
      </c>
      <c r="N36" s="45">
        <v>8.5721257322847813E-2</v>
      </c>
      <c r="O36" s="45">
        <v>0.12295257058705819</v>
      </c>
      <c r="P36" s="45">
        <v>-8.6167870463078805E-2</v>
      </c>
      <c r="Q36" s="45">
        <v>5.4919254869473591E-2</v>
      </c>
      <c r="R36" s="45">
        <v>-0.13817356248143217</v>
      </c>
      <c r="S36" s="45">
        <v>0.18311760533651456</v>
      </c>
      <c r="T36" s="45">
        <v>0.59831513090490263</v>
      </c>
      <c r="U36" s="50">
        <v>1</v>
      </c>
      <c r="V36" s="45"/>
    </row>
    <row r="37" spans="1:22" ht="15" thickBot="1" x14ac:dyDescent="0.35">
      <c r="A37" s="1">
        <f>IF(tips!A37="Female",1,IF(tips!A37="Male",0,""))</f>
        <v>0</v>
      </c>
      <c r="B37" s="1">
        <f>IF(tips!B37="Yes",1,IF(tips!B37="No",0,""))</f>
        <v>0</v>
      </c>
      <c r="C37" s="1">
        <f>IF(tips!$C37="Sun",1,0)</f>
        <v>0</v>
      </c>
      <c r="D37" s="1">
        <f>IF(tips!$C37="Fri",1,0)</f>
        <v>0</v>
      </c>
      <c r="E37" s="1">
        <f>IF(tips!$C37="Sat",1,0)</f>
        <v>1</v>
      </c>
      <c r="F37" s="1">
        <f>IF(tips!$C37="Thur",1,0)</f>
        <v>0</v>
      </c>
      <c r="G37" s="1">
        <f>IF(tips!D37="Dinner",1,IF(tips!D37="Lunch",0,""))</f>
        <v>1</v>
      </c>
      <c r="H37" s="1">
        <v>3</v>
      </c>
      <c r="I37" s="7">
        <v>24.06</v>
      </c>
      <c r="J37" s="8">
        <v>3.6</v>
      </c>
      <c r="L37" s="46" t="s">
        <v>15</v>
      </c>
      <c r="M37" s="47">
        <v>-8.8862061090736341E-2</v>
      </c>
      <c r="N37" s="47">
        <v>5.9285395278066352E-3</v>
      </c>
      <c r="O37" s="47">
        <v>0.12511398261516635</v>
      </c>
      <c r="P37" s="47">
        <v>-5.5463128348157524E-2</v>
      </c>
      <c r="Q37" s="47">
        <v>-2.7900343614578574E-3</v>
      </c>
      <c r="R37" s="47">
        <v>-9.5879173257456374E-2</v>
      </c>
      <c r="S37" s="47">
        <v>0.12162906226028647</v>
      </c>
      <c r="T37" s="48">
        <v>0.48929877523035786</v>
      </c>
      <c r="U37" s="49">
        <v>0.67573410921136434</v>
      </c>
      <c r="V37" s="51">
        <v>1</v>
      </c>
    </row>
    <row r="38" spans="1:22" x14ac:dyDescent="0.3">
      <c r="A38" s="1">
        <f>IF(tips!A38="Female",1,IF(tips!A38="Male",0,""))</f>
        <v>0</v>
      </c>
      <c r="B38" s="1">
        <f>IF(tips!B38="Yes",1,IF(tips!B38="No",0,""))</f>
        <v>0</v>
      </c>
      <c r="C38" s="1">
        <f>IF(tips!$C38="Sun",1,0)</f>
        <v>0</v>
      </c>
      <c r="D38" s="1">
        <f>IF(tips!$C38="Fri",1,0)</f>
        <v>0</v>
      </c>
      <c r="E38" s="1">
        <f>IF(tips!$C38="Sat",1,0)</f>
        <v>1</v>
      </c>
      <c r="F38" s="1">
        <f>IF(tips!$C38="Thur",1,0)</f>
        <v>0</v>
      </c>
      <c r="G38" s="1">
        <f>IF(tips!D38="Dinner",1,IF(tips!D38="Lunch",0,""))</f>
        <v>1</v>
      </c>
      <c r="H38" s="1">
        <v>3</v>
      </c>
      <c r="I38" s="7">
        <v>16.309999999999999</v>
      </c>
      <c r="J38" s="8">
        <v>2</v>
      </c>
    </row>
    <row r="39" spans="1:22" x14ac:dyDescent="0.3">
      <c r="A39" s="1">
        <f>IF(tips!A39="Female",1,IF(tips!A39="Male",0,""))</f>
        <v>1</v>
      </c>
      <c r="B39" s="1">
        <f>IF(tips!B39="Yes",1,IF(tips!B39="No",0,""))</f>
        <v>0</v>
      </c>
      <c r="C39" s="1">
        <f>IF(tips!$C39="Sun",1,0)</f>
        <v>0</v>
      </c>
      <c r="D39" s="1">
        <f>IF(tips!$C39="Fri",1,0)</f>
        <v>0</v>
      </c>
      <c r="E39" s="1">
        <f>IF(tips!$C39="Sat",1,0)</f>
        <v>1</v>
      </c>
      <c r="F39" s="1">
        <f>IF(tips!$C39="Thur",1,0)</f>
        <v>0</v>
      </c>
      <c r="G39" s="1">
        <f>IF(tips!D39="Dinner",1,IF(tips!D39="Lunch",0,""))</f>
        <v>1</v>
      </c>
      <c r="H39" s="1">
        <v>3</v>
      </c>
      <c r="I39" s="7">
        <v>16.93</v>
      </c>
      <c r="J39" s="8">
        <v>3.07</v>
      </c>
    </row>
    <row r="40" spans="1:22" x14ac:dyDescent="0.3">
      <c r="A40" s="1">
        <f>IF(tips!A40="Female",1,IF(tips!A40="Male",0,""))</f>
        <v>0</v>
      </c>
      <c r="B40" s="1">
        <f>IF(tips!B40="Yes",1,IF(tips!B40="No",0,""))</f>
        <v>0</v>
      </c>
      <c r="C40" s="1">
        <f>IF(tips!$C40="Sun",1,0)</f>
        <v>0</v>
      </c>
      <c r="D40" s="1">
        <f>IF(tips!$C40="Fri",1,0)</f>
        <v>0</v>
      </c>
      <c r="E40" s="1">
        <f>IF(tips!$C40="Sat",1,0)</f>
        <v>1</v>
      </c>
      <c r="F40" s="1">
        <f>IF(tips!$C40="Thur",1,0)</f>
        <v>0</v>
      </c>
      <c r="G40" s="1">
        <f>IF(tips!D40="Dinner",1,IF(tips!D40="Lunch",0,""))</f>
        <v>1</v>
      </c>
      <c r="H40" s="1">
        <v>3</v>
      </c>
      <c r="I40" s="7">
        <v>18.690000000000001</v>
      </c>
      <c r="J40" s="8">
        <v>2.31</v>
      </c>
    </row>
    <row r="41" spans="1:22" x14ac:dyDescent="0.3">
      <c r="A41" s="1">
        <f>IF(tips!A41="Female",1,IF(tips!A41="Male",0,""))</f>
        <v>0</v>
      </c>
      <c r="B41" s="1">
        <f>IF(tips!B41="Yes",1,IF(tips!B41="No",0,""))</f>
        <v>0</v>
      </c>
      <c r="C41" s="1">
        <f>IF(tips!$C41="Sun",1,0)</f>
        <v>0</v>
      </c>
      <c r="D41" s="1">
        <f>IF(tips!$C41="Fri",1,0)</f>
        <v>0</v>
      </c>
      <c r="E41" s="1">
        <f>IF(tips!$C41="Sat",1,0)</f>
        <v>1</v>
      </c>
      <c r="F41" s="1">
        <f>IF(tips!$C41="Thur",1,0)</f>
        <v>0</v>
      </c>
      <c r="G41" s="1">
        <f>IF(tips!D41="Dinner",1,IF(tips!D41="Lunch",0,""))</f>
        <v>1</v>
      </c>
      <c r="H41" s="1">
        <v>3</v>
      </c>
      <c r="I41" s="7">
        <v>31.27</v>
      </c>
      <c r="J41" s="8">
        <v>5</v>
      </c>
    </row>
    <row r="42" spans="1:22" x14ac:dyDescent="0.3">
      <c r="A42" s="1">
        <f>IF(tips!A42="Female",1,IF(tips!A42="Male",0,""))</f>
        <v>0</v>
      </c>
      <c r="B42" s="1">
        <f>IF(tips!B42="Yes",1,IF(tips!B42="No",0,""))</f>
        <v>0</v>
      </c>
      <c r="C42" s="1">
        <f>IF(tips!$C42="Sun",1,0)</f>
        <v>0</v>
      </c>
      <c r="D42" s="1">
        <f>IF(tips!$C42="Fri",1,0)</f>
        <v>0</v>
      </c>
      <c r="E42" s="1">
        <f>IF(tips!$C42="Sat",1,0)</f>
        <v>1</v>
      </c>
      <c r="F42" s="1">
        <f>IF(tips!$C42="Thur",1,0)</f>
        <v>0</v>
      </c>
      <c r="G42" s="1">
        <f>IF(tips!D42="Dinner",1,IF(tips!D42="Lunch",0,""))</f>
        <v>1</v>
      </c>
      <c r="H42" s="1">
        <v>3</v>
      </c>
      <c r="I42" s="7">
        <v>16.04</v>
      </c>
      <c r="J42" s="8">
        <v>2.2400000000000002</v>
      </c>
    </row>
    <row r="43" spans="1:22" x14ac:dyDescent="0.3">
      <c r="A43" s="1">
        <f>IF(tips!A43="Female",1,IF(tips!A43="Male",0,""))</f>
        <v>0</v>
      </c>
      <c r="B43" s="1">
        <f>IF(tips!B43="Yes",1,IF(tips!B43="No",0,""))</f>
        <v>0</v>
      </c>
      <c r="C43" s="1">
        <f>IF(tips!$C43="Sun",1,0)</f>
        <v>1</v>
      </c>
      <c r="D43" s="1">
        <f>IF(tips!$C43="Fri",1,0)</f>
        <v>0</v>
      </c>
      <c r="E43" s="1">
        <f>IF(tips!$C43="Sat",1,0)</f>
        <v>0</v>
      </c>
      <c r="F43" s="1">
        <f>IF(tips!$C43="Thur",1,0)</f>
        <v>0</v>
      </c>
      <c r="G43" s="1">
        <f>IF(tips!D43="Dinner",1,IF(tips!D43="Lunch",0,""))</f>
        <v>1</v>
      </c>
      <c r="H43" s="1">
        <v>2</v>
      </c>
      <c r="I43" s="7">
        <v>17.46</v>
      </c>
      <c r="J43" s="8">
        <v>2.54</v>
      </c>
    </row>
    <row r="44" spans="1:22" x14ac:dyDescent="0.3">
      <c r="A44" s="1">
        <f>IF(tips!A44="Female",1,IF(tips!A44="Male",0,""))</f>
        <v>0</v>
      </c>
      <c r="B44" s="1">
        <f>IF(tips!B44="Yes",1,IF(tips!B44="No",0,""))</f>
        <v>0</v>
      </c>
      <c r="C44" s="1">
        <f>IF(tips!$C44="Sun",1,0)</f>
        <v>1</v>
      </c>
      <c r="D44" s="1">
        <f>IF(tips!$C44="Fri",1,0)</f>
        <v>0</v>
      </c>
      <c r="E44" s="1">
        <f>IF(tips!$C44="Sat",1,0)</f>
        <v>0</v>
      </c>
      <c r="F44" s="1">
        <f>IF(tips!$C44="Thur",1,0)</f>
        <v>0</v>
      </c>
      <c r="G44" s="1">
        <f>IF(tips!D44="Dinner",1,IF(tips!D44="Lunch",0,""))</f>
        <v>1</v>
      </c>
      <c r="H44" s="1">
        <v>2</v>
      </c>
      <c r="I44" s="7">
        <v>13.94</v>
      </c>
      <c r="J44" s="8">
        <v>3.06</v>
      </c>
    </row>
    <row r="45" spans="1:22" x14ac:dyDescent="0.3">
      <c r="A45" s="1">
        <f>IF(tips!A45="Female",1,IF(tips!A45="Male",0,""))</f>
        <v>0</v>
      </c>
      <c r="B45" s="1">
        <f>IF(tips!B45="Yes",1,IF(tips!B45="No",0,""))</f>
        <v>0</v>
      </c>
      <c r="C45" s="1">
        <f>IF(tips!$C45="Sun",1,0)</f>
        <v>1</v>
      </c>
      <c r="D45" s="1">
        <f>IF(tips!$C45="Fri",1,0)</f>
        <v>0</v>
      </c>
      <c r="E45" s="1">
        <f>IF(tips!$C45="Sat",1,0)</f>
        <v>0</v>
      </c>
      <c r="F45" s="1">
        <f>IF(tips!$C45="Thur",1,0)</f>
        <v>0</v>
      </c>
      <c r="G45" s="1">
        <f>IF(tips!D45="Dinner",1,IF(tips!D45="Lunch",0,""))</f>
        <v>1</v>
      </c>
      <c r="H45" s="1">
        <v>2</v>
      </c>
      <c r="I45" s="7">
        <v>9.68</v>
      </c>
      <c r="J45" s="8">
        <v>1.32</v>
      </c>
    </row>
    <row r="46" spans="1:22" x14ac:dyDescent="0.3">
      <c r="A46" s="1">
        <f>IF(tips!A46="Female",1,IF(tips!A46="Male",0,""))</f>
        <v>0</v>
      </c>
      <c r="B46" s="1">
        <f>IF(tips!B46="Yes",1,IF(tips!B46="No",0,""))</f>
        <v>0</v>
      </c>
      <c r="C46" s="1">
        <f>IF(tips!$C46="Sun",1,0)</f>
        <v>1</v>
      </c>
      <c r="D46" s="1">
        <f>IF(tips!$C46="Fri",1,0)</f>
        <v>0</v>
      </c>
      <c r="E46" s="1">
        <f>IF(tips!$C46="Sat",1,0)</f>
        <v>0</v>
      </c>
      <c r="F46" s="1">
        <f>IF(tips!$C46="Thur",1,0)</f>
        <v>0</v>
      </c>
      <c r="G46" s="1">
        <f>IF(tips!D46="Dinner",1,IF(tips!D46="Lunch",0,""))</f>
        <v>1</v>
      </c>
      <c r="H46" s="1">
        <v>4</v>
      </c>
      <c r="I46" s="7">
        <v>30.4</v>
      </c>
      <c r="J46" s="8">
        <v>5.6</v>
      </c>
    </row>
    <row r="47" spans="1:22" x14ac:dyDescent="0.3">
      <c r="A47" s="1">
        <f>IF(tips!A47="Female",1,IF(tips!A47="Male",0,""))</f>
        <v>0</v>
      </c>
      <c r="B47" s="1">
        <f>IF(tips!B47="Yes",1,IF(tips!B47="No",0,""))</f>
        <v>0</v>
      </c>
      <c r="C47" s="1">
        <f>IF(tips!$C47="Sun",1,0)</f>
        <v>1</v>
      </c>
      <c r="D47" s="1">
        <f>IF(tips!$C47="Fri",1,0)</f>
        <v>0</v>
      </c>
      <c r="E47" s="1">
        <f>IF(tips!$C47="Sat",1,0)</f>
        <v>0</v>
      </c>
      <c r="F47" s="1">
        <f>IF(tips!$C47="Thur",1,0)</f>
        <v>0</v>
      </c>
      <c r="G47" s="1">
        <f>IF(tips!D47="Dinner",1,IF(tips!D47="Lunch",0,""))</f>
        <v>1</v>
      </c>
      <c r="H47" s="1">
        <v>2</v>
      </c>
      <c r="I47" s="7">
        <v>18.29</v>
      </c>
      <c r="J47" s="8">
        <v>3</v>
      </c>
    </row>
    <row r="48" spans="1:22" x14ac:dyDescent="0.3">
      <c r="A48" s="1">
        <f>IF(tips!A48="Female",1,IF(tips!A48="Male",0,""))</f>
        <v>0</v>
      </c>
      <c r="B48" s="1">
        <f>IF(tips!B48="Yes",1,IF(tips!B48="No",0,""))</f>
        <v>0</v>
      </c>
      <c r="C48" s="1">
        <f>IF(tips!$C48="Sun",1,0)</f>
        <v>1</v>
      </c>
      <c r="D48" s="1">
        <f>IF(tips!$C48="Fri",1,0)</f>
        <v>0</v>
      </c>
      <c r="E48" s="1">
        <f>IF(tips!$C48="Sat",1,0)</f>
        <v>0</v>
      </c>
      <c r="F48" s="1">
        <f>IF(tips!$C48="Thur",1,0)</f>
        <v>0</v>
      </c>
      <c r="G48" s="1">
        <f>IF(tips!D48="Dinner",1,IF(tips!D48="Lunch",0,""))</f>
        <v>1</v>
      </c>
      <c r="H48" s="1">
        <v>2</v>
      </c>
      <c r="I48" s="7">
        <v>22.23</v>
      </c>
      <c r="J48" s="8">
        <v>5</v>
      </c>
    </row>
    <row r="49" spans="1:10" x14ac:dyDescent="0.3">
      <c r="A49" s="1">
        <f>IF(tips!A49="Female",1,IF(tips!A49="Male",0,""))</f>
        <v>0</v>
      </c>
      <c r="B49" s="1">
        <f>IF(tips!B49="Yes",1,IF(tips!B49="No",0,""))</f>
        <v>0</v>
      </c>
      <c r="C49" s="1">
        <f>IF(tips!$C49="Sun",1,0)</f>
        <v>1</v>
      </c>
      <c r="D49" s="1">
        <f>IF(tips!$C49="Fri",1,0)</f>
        <v>0</v>
      </c>
      <c r="E49" s="1">
        <f>IF(tips!$C49="Sat",1,0)</f>
        <v>0</v>
      </c>
      <c r="F49" s="1">
        <f>IF(tips!$C49="Thur",1,0)</f>
        <v>0</v>
      </c>
      <c r="G49" s="1">
        <f>IF(tips!D49="Dinner",1,IF(tips!D49="Lunch",0,""))</f>
        <v>1</v>
      </c>
      <c r="H49" s="1">
        <v>4</v>
      </c>
      <c r="I49" s="7">
        <v>32.4</v>
      </c>
      <c r="J49" s="8">
        <v>6</v>
      </c>
    </row>
    <row r="50" spans="1:10" x14ac:dyDescent="0.3">
      <c r="A50" s="1">
        <f>IF(tips!A50="Female",1,IF(tips!A50="Male",0,""))</f>
        <v>0</v>
      </c>
      <c r="B50" s="1">
        <f>IF(tips!B50="Yes",1,IF(tips!B50="No",0,""))</f>
        <v>0</v>
      </c>
      <c r="C50" s="1">
        <f>IF(tips!$C50="Sun",1,0)</f>
        <v>1</v>
      </c>
      <c r="D50" s="1">
        <f>IF(tips!$C50="Fri",1,0)</f>
        <v>0</v>
      </c>
      <c r="E50" s="1">
        <f>IF(tips!$C50="Sat",1,0)</f>
        <v>0</v>
      </c>
      <c r="F50" s="1">
        <f>IF(tips!$C50="Thur",1,0)</f>
        <v>0</v>
      </c>
      <c r="G50" s="1">
        <f>IF(tips!D50="Dinner",1,IF(tips!D50="Lunch",0,""))</f>
        <v>1</v>
      </c>
      <c r="H50" s="1">
        <v>3</v>
      </c>
      <c r="I50" s="7">
        <v>28.55</v>
      </c>
      <c r="J50" s="8">
        <v>2.0499999999999998</v>
      </c>
    </row>
    <row r="51" spans="1:10" x14ac:dyDescent="0.3">
      <c r="A51" s="1">
        <f>IF(tips!A51="Female",1,IF(tips!A51="Male",0,""))</f>
        <v>0</v>
      </c>
      <c r="B51" s="1">
        <f>IF(tips!B51="Yes",1,IF(tips!B51="No",0,""))</f>
        <v>0</v>
      </c>
      <c r="C51" s="1">
        <f>IF(tips!$C51="Sun",1,0)</f>
        <v>1</v>
      </c>
      <c r="D51" s="1">
        <f>IF(tips!$C51="Fri",1,0)</f>
        <v>0</v>
      </c>
      <c r="E51" s="1">
        <f>IF(tips!$C51="Sat",1,0)</f>
        <v>0</v>
      </c>
      <c r="F51" s="1">
        <f>IF(tips!$C51="Thur",1,0)</f>
        <v>0</v>
      </c>
      <c r="G51" s="1">
        <f>IF(tips!D51="Dinner",1,IF(tips!D51="Lunch",0,""))</f>
        <v>1</v>
      </c>
      <c r="H51" s="1">
        <v>2</v>
      </c>
      <c r="I51" s="7">
        <v>18.04</v>
      </c>
      <c r="J51" s="8">
        <v>3</v>
      </c>
    </row>
    <row r="52" spans="1:10" x14ac:dyDescent="0.3">
      <c r="A52" s="1">
        <f>IF(tips!A52="Female",1,IF(tips!A52="Male",0,""))</f>
        <v>0</v>
      </c>
      <c r="B52" s="1">
        <f>IF(tips!B52="Yes",1,IF(tips!B52="No",0,""))</f>
        <v>0</v>
      </c>
      <c r="C52" s="1">
        <f>IF(tips!$C52="Sun",1,0)</f>
        <v>1</v>
      </c>
      <c r="D52" s="1">
        <f>IF(tips!$C52="Fri",1,0)</f>
        <v>0</v>
      </c>
      <c r="E52" s="1">
        <f>IF(tips!$C52="Sat",1,0)</f>
        <v>0</v>
      </c>
      <c r="F52" s="1">
        <f>IF(tips!$C52="Thur",1,0)</f>
        <v>0</v>
      </c>
      <c r="G52" s="1">
        <f>IF(tips!D52="Dinner",1,IF(tips!D52="Lunch",0,""))</f>
        <v>1</v>
      </c>
      <c r="H52" s="1">
        <v>2</v>
      </c>
      <c r="I52" s="7">
        <v>12.54</v>
      </c>
      <c r="J52" s="8">
        <v>2.5</v>
      </c>
    </row>
    <row r="53" spans="1:10" x14ac:dyDescent="0.3">
      <c r="A53" s="1">
        <f>IF(tips!A53="Female",1,IF(tips!A53="Male",0,""))</f>
        <v>1</v>
      </c>
      <c r="B53" s="1">
        <f>IF(tips!B53="Yes",1,IF(tips!B53="No",0,""))</f>
        <v>0</v>
      </c>
      <c r="C53" s="1">
        <f>IF(tips!$C53="Sun",1,0)</f>
        <v>1</v>
      </c>
      <c r="D53" s="1">
        <f>IF(tips!$C53="Fri",1,0)</f>
        <v>0</v>
      </c>
      <c r="E53" s="1">
        <f>IF(tips!$C53="Sat",1,0)</f>
        <v>0</v>
      </c>
      <c r="F53" s="1">
        <f>IF(tips!$C53="Thur",1,0)</f>
        <v>0</v>
      </c>
      <c r="G53" s="1">
        <f>IF(tips!D53="Dinner",1,IF(tips!D53="Lunch",0,""))</f>
        <v>1</v>
      </c>
      <c r="H53" s="1">
        <v>2</v>
      </c>
      <c r="I53" s="7">
        <v>10.29</v>
      </c>
      <c r="J53" s="8">
        <v>2.6</v>
      </c>
    </row>
    <row r="54" spans="1:10" x14ac:dyDescent="0.3">
      <c r="A54" s="1">
        <f>IF(tips!A54="Female",1,IF(tips!A54="Male",0,""))</f>
        <v>1</v>
      </c>
      <c r="B54" s="1">
        <f>IF(tips!B54="Yes",1,IF(tips!B54="No",0,""))</f>
        <v>0</v>
      </c>
      <c r="C54" s="1">
        <f>IF(tips!$C54="Sun",1,0)</f>
        <v>1</v>
      </c>
      <c r="D54" s="1">
        <f>IF(tips!$C54="Fri",1,0)</f>
        <v>0</v>
      </c>
      <c r="E54" s="1">
        <f>IF(tips!$C54="Sat",1,0)</f>
        <v>0</v>
      </c>
      <c r="F54" s="1">
        <f>IF(tips!$C54="Thur",1,0)</f>
        <v>0</v>
      </c>
      <c r="G54" s="1">
        <f>IF(tips!D54="Dinner",1,IF(tips!D54="Lunch",0,""))</f>
        <v>1</v>
      </c>
      <c r="H54" s="1">
        <v>4</v>
      </c>
      <c r="I54" s="7">
        <v>34.81</v>
      </c>
      <c r="J54" s="8">
        <v>5.2</v>
      </c>
    </row>
    <row r="55" spans="1:10" x14ac:dyDescent="0.3">
      <c r="A55" s="1">
        <f>IF(tips!A55="Female",1,IF(tips!A55="Male",0,""))</f>
        <v>0</v>
      </c>
      <c r="B55" s="1">
        <f>IF(tips!B55="Yes",1,IF(tips!B55="No",0,""))</f>
        <v>0</v>
      </c>
      <c r="C55" s="1">
        <f>IF(tips!$C55="Sun",1,0)</f>
        <v>1</v>
      </c>
      <c r="D55" s="1">
        <f>IF(tips!$C55="Fri",1,0)</f>
        <v>0</v>
      </c>
      <c r="E55" s="1">
        <f>IF(tips!$C55="Sat",1,0)</f>
        <v>0</v>
      </c>
      <c r="F55" s="1">
        <f>IF(tips!$C55="Thur",1,0)</f>
        <v>0</v>
      </c>
      <c r="G55" s="1">
        <f>IF(tips!D55="Dinner",1,IF(tips!D55="Lunch",0,""))</f>
        <v>1</v>
      </c>
      <c r="H55" s="1">
        <v>2</v>
      </c>
      <c r="I55" s="7">
        <v>9.94</v>
      </c>
      <c r="J55" s="8">
        <v>1.56</v>
      </c>
    </row>
    <row r="56" spans="1:10" x14ac:dyDescent="0.3">
      <c r="A56" s="1">
        <f>IF(tips!A56="Female",1,IF(tips!A56="Male",0,""))</f>
        <v>0</v>
      </c>
      <c r="B56" s="1">
        <f>IF(tips!B56="Yes",1,IF(tips!B56="No",0,""))</f>
        <v>0</v>
      </c>
      <c r="C56" s="1">
        <f>IF(tips!$C56="Sun",1,0)</f>
        <v>1</v>
      </c>
      <c r="D56" s="1">
        <f>IF(tips!$C56="Fri",1,0)</f>
        <v>0</v>
      </c>
      <c r="E56" s="1">
        <f>IF(tips!$C56="Sat",1,0)</f>
        <v>0</v>
      </c>
      <c r="F56" s="1">
        <f>IF(tips!$C56="Thur",1,0)</f>
        <v>0</v>
      </c>
      <c r="G56" s="1">
        <f>IF(tips!D56="Dinner",1,IF(tips!D56="Lunch",0,""))</f>
        <v>1</v>
      </c>
      <c r="H56" s="1">
        <v>4</v>
      </c>
      <c r="I56" s="7">
        <v>25.56</v>
      </c>
      <c r="J56" s="8">
        <v>4.34</v>
      </c>
    </row>
    <row r="57" spans="1:10" x14ac:dyDescent="0.3">
      <c r="A57" s="1">
        <f>IF(tips!A57="Female",1,IF(tips!A57="Male",0,""))</f>
        <v>0</v>
      </c>
      <c r="B57" s="1">
        <f>IF(tips!B57="Yes",1,IF(tips!B57="No",0,""))</f>
        <v>0</v>
      </c>
      <c r="C57" s="1">
        <f>IF(tips!$C57="Sun",1,0)</f>
        <v>1</v>
      </c>
      <c r="D57" s="1">
        <f>IF(tips!$C57="Fri",1,0)</f>
        <v>0</v>
      </c>
      <c r="E57" s="1">
        <f>IF(tips!$C57="Sat",1,0)</f>
        <v>0</v>
      </c>
      <c r="F57" s="1">
        <f>IF(tips!$C57="Thur",1,0)</f>
        <v>0</v>
      </c>
      <c r="G57" s="1">
        <f>IF(tips!D57="Dinner",1,IF(tips!D57="Lunch",0,""))</f>
        <v>1</v>
      </c>
      <c r="H57" s="1">
        <v>2</v>
      </c>
      <c r="I57" s="7">
        <v>19.489999999999998</v>
      </c>
      <c r="J57" s="8">
        <v>3.51</v>
      </c>
    </row>
    <row r="58" spans="1:10" x14ac:dyDescent="0.3">
      <c r="A58" s="1">
        <f>IF(tips!A58="Female",1,IF(tips!A58="Male",0,""))</f>
        <v>0</v>
      </c>
      <c r="B58" s="1">
        <f>IF(tips!B58="Yes",1,IF(tips!B58="No",0,""))</f>
        <v>1</v>
      </c>
      <c r="C58" s="1">
        <f>IF(tips!$C58="Sun",1,0)</f>
        <v>0</v>
      </c>
      <c r="D58" s="1">
        <f>IF(tips!$C58="Fri",1,0)</f>
        <v>0</v>
      </c>
      <c r="E58" s="1">
        <f>IF(tips!$C58="Sat",1,0)</f>
        <v>1</v>
      </c>
      <c r="F58" s="1">
        <f>IF(tips!$C58="Thur",1,0)</f>
        <v>0</v>
      </c>
      <c r="G58" s="1">
        <f>IF(tips!D58="Dinner",1,IF(tips!D58="Lunch",0,""))</f>
        <v>1</v>
      </c>
      <c r="H58" s="1">
        <v>4</v>
      </c>
      <c r="I58" s="7">
        <v>38.01</v>
      </c>
      <c r="J58" s="8">
        <v>3</v>
      </c>
    </row>
    <row r="59" spans="1:10" x14ac:dyDescent="0.3">
      <c r="A59" s="1">
        <f>IF(tips!A59="Female",1,IF(tips!A59="Male",0,""))</f>
        <v>1</v>
      </c>
      <c r="B59" s="1">
        <f>IF(tips!B59="Yes",1,IF(tips!B59="No",0,""))</f>
        <v>0</v>
      </c>
      <c r="C59" s="1">
        <f>IF(tips!$C59="Sun",1,0)</f>
        <v>0</v>
      </c>
      <c r="D59" s="1">
        <f>IF(tips!$C59="Fri",1,0)</f>
        <v>0</v>
      </c>
      <c r="E59" s="1">
        <f>IF(tips!$C59="Sat",1,0)</f>
        <v>1</v>
      </c>
      <c r="F59" s="1">
        <f>IF(tips!$C59="Thur",1,0)</f>
        <v>0</v>
      </c>
      <c r="G59" s="1">
        <f>IF(tips!D59="Dinner",1,IF(tips!D59="Lunch",0,""))</f>
        <v>1</v>
      </c>
      <c r="H59" s="1">
        <v>2</v>
      </c>
      <c r="I59" s="7">
        <v>26.41</v>
      </c>
      <c r="J59" s="8">
        <v>1.5</v>
      </c>
    </row>
    <row r="60" spans="1:10" x14ac:dyDescent="0.3">
      <c r="A60" s="1">
        <f>IF(tips!A60="Female",1,IF(tips!A60="Male",0,""))</f>
        <v>0</v>
      </c>
      <c r="B60" s="1">
        <f>IF(tips!B60="Yes",1,IF(tips!B60="No",0,""))</f>
        <v>1</v>
      </c>
      <c r="C60" s="1">
        <f>IF(tips!$C60="Sun",1,0)</f>
        <v>0</v>
      </c>
      <c r="D60" s="1">
        <f>IF(tips!$C60="Fri",1,0)</f>
        <v>0</v>
      </c>
      <c r="E60" s="1">
        <f>IF(tips!$C60="Sat",1,0)</f>
        <v>1</v>
      </c>
      <c r="F60" s="1">
        <f>IF(tips!$C60="Thur",1,0)</f>
        <v>0</v>
      </c>
      <c r="G60" s="1">
        <f>IF(tips!D60="Dinner",1,IF(tips!D60="Lunch",0,""))</f>
        <v>1</v>
      </c>
      <c r="H60" s="1">
        <v>2</v>
      </c>
      <c r="I60" s="7">
        <v>11.24</v>
      </c>
      <c r="J60" s="8">
        <v>1.76</v>
      </c>
    </row>
    <row r="61" spans="1:10" x14ac:dyDescent="0.3">
      <c r="A61" s="1">
        <f>IF(tips!A61="Female",1,IF(tips!A61="Male",0,""))</f>
        <v>0</v>
      </c>
      <c r="B61" s="1">
        <f>IF(tips!B61="Yes",1,IF(tips!B61="No",0,""))</f>
        <v>0</v>
      </c>
      <c r="C61" s="1">
        <f>IF(tips!$C61="Sun",1,0)</f>
        <v>0</v>
      </c>
      <c r="D61" s="1">
        <f>IF(tips!$C61="Fri",1,0)</f>
        <v>0</v>
      </c>
      <c r="E61" s="1">
        <f>IF(tips!$C61="Sat",1,0)</f>
        <v>1</v>
      </c>
      <c r="F61" s="1">
        <f>IF(tips!$C61="Thur",1,0)</f>
        <v>0</v>
      </c>
      <c r="G61" s="1">
        <f>IF(tips!D61="Dinner",1,IF(tips!D61="Lunch",0,""))</f>
        <v>1</v>
      </c>
      <c r="H61" s="1">
        <v>4</v>
      </c>
      <c r="I61" s="7">
        <v>48.27</v>
      </c>
      <c r="J61" s="8">
        <v>6.73</v>
      </c>
    </row>
    <row r="62" spans="1:10" x14ac:dyDescent="0.3">
      <c r="A62" s="1">
        <f>IF(tips!A62="Female",1,IF(tips!A62="Male",0,""))</f>
        <v>0</v>
      </c>
      <c r="B62" s="1">
        <f>IF(tips!B62="Yes",1,IF(tips!B62="No",0,""))</f>
        <v>1</v>
      </c>
      <c r="C62" s="1">
        <f>IF(tips!$C62="Sun",1,0)</f>
        <v>0</v>
      </c>
      <c r="D62" s="1">
        <f>IF(tips!$C62="Fri",1,0)</f>
        <v>0</v>
      </c>
      <c r="E62" s="1">
        <f>IF(tips!$C62="Sat",1,0)</f>
        <v>1</v>
      </c>
      <c r="F62" s="1">
        <f>IF(tips!$C62="Thur",1,0)</f>
        <v>0</v>
      </c>
      <c r="G62" s="1">
        <f>IF(tips!D62="Dinner",1,IF(tips!D62="Lunch",0,""))</f>
        <v>1</v>
      </c>
      <c r="H62" s="1">
        <v>2</v>
      </c>
      <c r="I62" s="7">
        <v>20.29</v>
      </c>
      <c r="J62" s="8">
        <v>3.21</v>
      </c>
    </row>
    <row r="63" spans="1:10" x14ac:dyDescent="0.3">
      <c r="A63" s="1">
        <f>IF(tips!A63="Female",1,IF(tips!A63="Male",0,""))</f>
        <v>0</v>
      </c>
      <c r="B63" s="1">
        <f>IF(tips!B63="Yes",1,IF(tips!B63="No",0,""))</f>
        <v>1</v>
      </c>
      <c r="C63" s="1">
        <f>IF(tips!$C63="Sun",1,0)</f>
        <v>0</v>
      </c>
      <c r="D63" s="1">
        <f>IF(tips!$C63="Fri",1,0)</f>
        <v>0</v>
      </c>
      <c r="E63" s="1">
        <f>IF(tips!$C63="Sat",1,0)</f>
        <v>1</v>
      </c>
      <c r="F63" s="1">
        <f>IF(tips!$C63="Thur",1,0)</f>
        <v>0</v>
      </c>
      <c r="G63" s="1">
        <f>IF(tips!D63="Dinner",1,IF(tips!D63="Lunch",0,""))</f>
        <v>1</v>
      </c>
      <c r="H63" s="1">
        <v>2</v>
      </c>
      <c r="I63" s="7">
        <v>13.81</v>
      </c>
      <c r="J63" s="8">
        <v>2</v>
      </c>
    </row>
    <row r="64" spans="1:10" x14ac:dyDescent="0.3">
      <c r="A64" s="1">
        <f>IF(tips!A64="Female",1,IF(tips!A64="Male",0,""))</f>
        <v>0</v>
      </c>
      <c r="B64" s="1">
        <f>IF(tips!B64="Yes",1,IF(tips!B64="No",0,""))</f>
        <v>1</v>
      </c>
      <c r="C64" s="1">
        <f>IF(tips!$C64="Sun",1,0)</f>
        <v>0</v>
      </c>
      <c r="D64" s="1">
        <f>IF(tips!$C64="Fri",1,0)</f>
        <v>0</v>
      </c>
      <c r="E64" s="1">
        <f>IF(tips!$C64="Sat",1,0)</f>
        <v>1</v>
      </c>
      <c r="F64" s="1">
        <f>IF(tips!$C64="Thur",1,0)</f>
        <v>0</v>
      </c>
      <c r="G64" s="1">
        <f>IF(tips!D64="Dinner",1,IF(tips!D64="Lunch",0,""))</f>
        <v>1</v>
      </c>
      <c r="H64" s="1">
        <v>2</v>
      </c>
      <c r="I64" s="7">
        <v>11.02</v>
      </c>
      <c r="J64" s="8">
        <v>1.98</v>
      </c>
    </row>
    <row r="65" spans="1:10" x14ac:dyDescent="0.3">
      <c r="A65" s="1">
        <f>IF(tips!A65="Female",1,IF(tips!A65="Male",0,""))</f>
        <v>0</v>
      </c>
      <c r="B65" s="1">
        <f>IF(tips!B65="Yes",1,IF(tips!B65="No",0,""))</f>
        <v>1</v>
      </c>
      <c r="C65" s="1">
        <f>IF(tips!$C65="Sun",1,0)</f>
        <v>0</v>
      </c>
      <c r="D65" s="1">
        <f>IF(tips!$C65="Fri",1,0)</f>
        <v>0</v>
      </c>
      <c r="E65" s="1">
        <f>IF(tips!$C65="Sat",1,0)</f>
        <v>1</v>
      </c>
      <c r="F65" s="1">
        <f>IF(tips!$C65="Thur",1,0)</f>
        <v>0</v>
      </c>
      <c r="G65" s="1">
        <f>IF(tips!D65="Dinner",1,IF(tips!D65="Lunch",0,""))</f>
        <v>1</v>
      </c>
      <c r="H65" s="1">
        <v>4</v>
      </c>
      <c r="I65" s="7">
        <v>18.29</v>
      </c>
      <c r="J65" s="8">
        <v>3.76</v>
      </c>
    </row>
    <row r="66" spans="1:10" x14ac:dyDescent="0.3">
      <c r="A66" s="1">
        <f>IF(tips!A66="Female",1,IF(tips!A66="Male",0,""))</f>
        <v>0</v>
      </c>
      <c r="B66" s="1">
        <f>IF(tips!B66="Yes",1,IF(tips!B66="No",0,""))</f>
        <v>0</v>
      </c>
      <c r="C66" s="1">
        <f>IF(tips!$C66="Sun",1,0)</f>
        <v>0</v>
      </c>
      <c r="D66" s="1">
        <f>IF(tips!$C66="Fri",1,0)</f>
        <v>0</v>
      </c>
      <c r="E66" s="1">
        <f>IF(tips!$C66="Sat",1,0)</f>
        <v>1</v>
      </c>
      <c r="F66" s="1">
        <f>IF(tips!$C66="Thur",1,0)</f>
        <v>0</v>
      </c>
      <c r="G66" s="1">
        <f>IF(tips!D66="Dinner",1,IF(tips!D66="Lunch",0,""))</f>
        <v>1</v>
      </c>
      <c r="H66" s="1">
        <v>3</v>
      </c>
      <c r="I66" s="7">
        <v>17.59</v>
      </c>
      <c r="J66" s="8">
        <v>2.64</v>
      </c>
    </row>
    <row r="67" spans="1:10" x14ac:dyDescent="0.3">
      <c r="A67" s="1">
        <f>IF(tips!A67="Female",1,IF(tips!A67="Male",0,""))</f>
        <v>0</v>
      </c>
      <c r="B67" s="1">
        <f>IF(tips!B67="Yes",1,IF(tips!B67="No",0,""))</f>
        <v>0</v>
      </c>
      <c r="C67" s="1">
        <f>IF(tips!$C67="Sun",1,0)</f>
        <v>0</v>
      </c>
      <c r="D67" s="1">
        <f>IF(tips!$C67="Fri",1,0)</f>
        <v>0</v>
      </c>
      <c r="E67" s="1">
        <f>IF(tips!$C67="Sat",1,0)</f>
        <v>1</v>
      </c>
      <c r="F67" s="1">
        <f>IF(tips!$C67="Thur",1,0)</f>
        <v>0</v>
      </c>
      <c r="G67" s="1">
        <f>IF(tips!D67="Dinner",1,IF(tips!D67="Lunch",0,""))</f>
        <v>1</v>
      </c>
      <c r="H67" s="1">
        <v>3</v>
      </c>
      <c r="I67" s="7">
        <v>20.079999999999998</v>
      </c>
      <c r="J67" s="8">
        <v>3.15</v>
      </c>
    </row>
    <row r="68" spans="1:10" x14ac:dyDescent="0.3">
      <c r="A68" s="1">
        <f>IF(tips!A68="Female",1,IF(tips!A68="Male",0,""))</f>
        <v>1</v>
      </c>
      <c r="B68" s="1">
        <f>IF(tips!B68="Yes",1,IF(tips!B68="No",0,""))</f>
        <v>0</v>
      </c>
      <c r="C68" s="1">
        <f>IF(tips!$C68="Sun",1,0)</f>
        <v>0</v>
      </c>
      <c r="D68" s="1">
        <f>IF(tips!$C68="Fri",1,0)</f>
        <v>0</v>
      </c>
      <c r="E68" s="1">
        <f>IF(tips!$C68="Sat",1,0)</f>
        <v>1</v>
      </c>
      <c r="F68" s="1">
        <f>IF(tips!$C68="Thur",1,0)</f>
        <v>0</v>
      </c>
      <c r="G68" s="1">
        <f>IF(tips!D68="Dinner",1,IF(tips!D68="Lunch",0,""))</f>
        <v>1</v>
      </c>
      <c r="H68" s="1">
        <v>2</v>
      </c>
      <c r="I68" s="7">
        <v>16.45</v>
      </c>
      <c r="J68" s="8">
        <v>2.4700000000000002</v>
      </c>
    </row>
    <row r="69" spans="1:10" x14ac:dyDescent="0.3">
      <c r="A69" s="1">
        <f>IF(tips!A69="Female",1,IF(tips!A69="Male",0,""))</f>
        <v>1</v>
      </c>
      <c r="B69" s="1">
        <f>IF(tips!B69="Yes",1,IF(tips!B69="No",0,""))</f>
        <v>1</v>
      </c>
      <c r="C69" s="1">
        <f>IF(tips!$C69="Sun",1,0)</f>
        <v>0</v>
      </c>
      <c r="D69" s="1">
        <f>IF(tips!$C69="Fri",1,0)</f>
        <v>0</v>
      </c>
      <c r="E69" s="1">
        <f>IF(tips!$C69="Sat",1,0)</f>
        <v>1</v>
      </c>
      <c r="F69" s="1">
        <f>IF(tips!$C69="Thur",1,0)</f>
        <v>0</v>
      </c>
      <c r="G69" s="1">
        <f>IF(tips!D69="Dinner",1,IF(tips!D69="Lunch",0,""))</f>
        <v>1</v>
      </c>
      <c r="H69" s="1">
        <v>1</v>
      </c>
      <c r="I69" s="7">
        <v>3.07</v>
      </c>
      <c r="J69" s="8">
        <v>1</v>
      </c>
    </row>
    <row r="70" spans="1:10" x14ac:dyDescent="0.3">
      <c r="A70" s="1">
        <f>IF(tips!A70="Female",1,IF(tips!A70="Male",0,""))</f>
        <v>0</v>
      </c>
      <c r="B70" s="1">
        <f>IF(tips!B70="Yes",1,IF(tips!B70="No",0,""))</f>
        <v>0</v>
      </c>
      <c r="C70" s="1">
        <f>IF(tips!$C70="Sun",1,0)</f>
        <v>0</v>
      </c>
      <c r="D70" s="1">
        <f>IF(tips!$C70="Fri",1,0)</f>
        <v>0</v>
      </c>
      <c r="E70" s="1">
        <f>IF(tips!$C70="Sat",1,0)</f>
        <v>1</v>
      </c>
      <c r="F70" s="1">
        <f>IF(tips!$C70="Thur",1,0)</f>
        <v>0</v>
      </c>
      <c r="G70" s="1">
        <f>IF(tips!D70="Dinner",1,IF(tips!D70="Lunch",0,""))</f>
        <v>1</v>
      </c>
      <c r="H70" s="1">
        <v>2</v>
      </c>
      <c r="I70" s="7">
        <v>20.23</v>
      </c>
      <c r="J70" s="8">
        <v>2.0099999999999998</v>
      </c>
    </row>
    <row r="71" spans="1:10" x14ac:dyDescent="0.3">
      <c r="A71" s="1">
        <f>IF(tips!A71="Female",1,IF(tips!A71="Male",0,""))</f>
        <v>0</v>
      </c>
      <c r="B71" s="1">
        <f>IF(tips!B71="Yes",1,IF(tips!B71="No",0,""))</f>
        <v>1</v>
      </c>
      <c r="C71" s="1">
        <f>IF(tips!$C71="Sun",1,0)</f>
        <v>0</v>
      </c>
      <c r="D71" s="1">
        <f>IF(tips!$C71="Fri",1,0)</f>
        <v>0</v>
      </c>
      <c r="E71" s="1">
        <f>IF(tips!$C71="Sat",1,0)</f>
        <v>1</v>
      </c>
      <c r="F71" s="1">
        <f>IF(tips!$C71="Thur",1,0)</f>
        <v>0</v>
      </c>
      <c r="G71" s="1">
        <f>IF(tips!D71="Dinner",1,IF(tips!D71="Lunch",0,""))</f>
        <v>1</v>
      </c>
      <c r="H71" s="1">
        <v>2</v>
      </c>
      <c r="I71" s="7">
        <v>15.01</v>
      </c>
      <c r="J71" s="8">
        <v>2.09</v>
      </c>
    </row>
    <row r="72" spans="1:10" x14ac:dyDescent="0.3">
      <c r="A72" s="1">
        <f>IF(tips!A72="Female",1,IF(tips!A72="Male",0,""))</f>
        <v>0</v>
      </c>
      <c r="B72" s="1">
        <f>IF(tips!B72="Yes",1,IF(tips!B72="No",0,""))</f>
        <v>0</v>
      </c>
      <c r="C72" s="1">
        <f>IF(tips!$C72="Sun",1,0)</f>
        <v>0</v>
      </c>
      <c r="D72" s="1">
        <f>IF(tips!$C72="Fri",1,0)</f>
        <v>0</v>
      </c>
      <c r="E72" s="1">
        <f>IF(tips!$C72="Sat",1,0)</f>
        <v>1</v>
      </c>
      <c r="F72" s="1">
        <f>IF(tips!$C72="Thur",1,0)</f>
        <v>0</v>
      </c>
      <c r="G72" s="1">
        <f>IF(tips!D72="Dinner",1,IF(tips!D72="Lunch",0,""))</f>
        <v>1</v>
      </c>
      <c r="H72" s="1">
        <v>2</v>
      </c>
      <c r="I72" s="7">
        <v>12.02</v>
      </c>
      <c r="J72" s="8">
        <v>1.97</v>
      </c>
    </row>
    <row r="73" spans="1:10" x14ac:dyDescent="0.3">
      <c r="A73" s="1">
        <f>IF(tips!A73="Female",1,IF(tips!A73="Male",0,""))</f>
        <v>1</v>
      </c>
      <c r="B73" s="1">
        <f>IF(tips!B73="Yes",1,IF(tips!B73="No",0,""))</f>
        <v>0</v>
      </c>
      <c r="C73" s="1">
        <f>IF(tips!$C73="Sun",1,0)</f>
        <v>0</v>
      </c>
      <c r="D73" s="1">
        <f>IF(tips!$C73="Fri",1,0)</f>
        <v>0</v>
      </c>
      <c r="E73" s="1">
        <f>IF(tips!$C73="Sat",1,0)</f>
        <v>1</v>
      </c>
      <c r="F73" s="1">
        <f>IF(tips!$C73="Thur",1,0)</f>
        <v>0</v>
      </c>
      <c r="G73" s="1">
        <f>IF(tips!D73="Dinner",1,IF(tips!D73="Lunch",0,""))</f>
        <v>1</v>
      </c>
      <c r="H73" s="1">
        <v>3</v>
      </c>
      <c r="I73" s="7">
        <v>17.07</v>
      </c>
      <c r="J73" s="8">
        <v>3</v>
      </c>
    </row>
    <row r="74" spans="1:10" x14ac:dyDescent="0.3">
      <c r="A74" s="1">
        <f>IF(tips!A74="Female",1,IF(tips!A74="Male",0,""))</f>
        <v>1</v>
      </c>
      <c r="B74" s="1">
        <f>IF(tips!B74="Yes",1,IF(tips!B74="No",0,""))</f>
        <v>1</v>
      </c>
      <c r="C74" s="1">
        <f>IF(tips!$C74="Sun",1,0)</f>
        <v>0</v>
      </c>
      <c r="D74" s="1">
        <f>IF(tips!$C74="Fri",1,0)</f>
        <v>0</v>
      </c>
      <c r="E74" s="1">
        <f>IF(tips!$C74="Sat",1,0)</f>
        <v>1</v>
      </c>
      <c r="F74" s="1">
        <f>IF(tips!$C74="Thur",1,0)</f>
        <v>0</v>
      </c>
      <c r="G74" s="1">
        <f>IF(tips!D74="Dinner",1,IF(tips!D74="Lunch",0,""))</f>
        <v>1</v>
      </c>
      <c r="H74" s="1">
        <v>2</v>
      </c>
      <c r="I74" s="7">
        <v>26.86</v>
      </c>
      <c r="J74" s="8">
        <v>3.14</v>
      </c>
    </row>
    <row r="75" spans="1:10" x14ac:dyDescent="0.3">
      <c r="A75" s="1">
        <f>IF(tips!A75="Female",1,IF(tips!A75="Male",0,""))</f>
        <v>1</v>
      </c>
      <c r="B75" s="1">
        <f>IF(tips!B75="Yes",1,IF(tips!B75="No",0,""))</f>
        <v>1</v>
      </c>
      <c r="C75" s="1">
        <f>IF(tips!$C75="Sun",1,0)</f>
        <v>0</v>
      </c>
      <c r="D75" s="1">
        <f>IF(tips!$C75="Fri",1,0)</f>
        <v>0</v>
      </c>
      <c r="E75" s="1">
        <f>IF(tips!$C75="Sat",1,0)</f>
        <v>1</v>
      </c>
      <c r="F75" s="1">
        <f>IF(tips!$C75="Thur",1,0)</f>
        <v>0</v>
      </c>
      <c r="G75" s="1">
        <f>IF(tips!D75="Dinner",1,IF(tips!D75="Lunch",0,""))</f>
        <v>1</v>
      </c>
      <c r="H75" s="1">
        <v>2</v>
      </c>
      <c r="I75" s="7">
        <v>25.28</v>
      </c>
      <c r="J75" s="8">
        <v>5</v>
      </c>
    </row>
    <row r="76" spans="1:10" x14ac:dyDescent="0.3">
      <c r="A76" s="1">
        <f>IF(tips!A76="Female",1,IF(tips!A76="Male",0,""))</f>
        <v>1</v>
      </c>
      <c r="B76" s="1">
        <f>IF(tips!B76="Yes",1,IF(tips!B76="No",0,""))</f>
        <v>0</v>
      </c>
      <c r="C76" s="1">
        <f>IF(tips!$C76="Sun",1,0)</f>
        <v>0</v>
      </c>
      <c r="D76" s="1">
        <f>IF(tips!$C76="Fri",1,0)</f>
        <v>0</v>
      </c>
      <c r="E76" s="1">
        <f>IF(tips!$C76="Sat",1,0)</f>
        <v>1</v>
      </c>
      <c r="F76" s="1">
        <f>IF(tips!$C76="Thur",1,0)</f>
        <v>0</v>
      </c>
      <c r="G76" s="1">
        <f>IF(tips!D76="Dinner",1,IF(tips!D76="Lunch",0,""))</f>
        <v>1</v>
      </c>
      <c r="H76" s="1">
        <v>2</v>
      </c>
      <c r="I76" s="7">
        <v>14.73</v>
      </c>
      <c r="J76" s="8">
        <v>2.2000000000000002</v>
      </c>
    </row>
    <row r="77" spans="1:10" x14ac:dyDescent="0.3">
      <c r="A77" s="1">
        <f>IF(tips!A77="Female",1,IF(tips!A77="Male",0,""))</f>
        <v>0</v>
      </c>
      <c r="B77" s="1">
        <f>IF(tips!B77="Yes",1,IF(tips!B77="No",0,""))</f>
        <v>0</v>
      </c>
      <c r="C77" s="1">
        <f>IF(tips!$C77="Sun",1,0)</f>
        <v>0</v>
      </c>
      <c r="D77" s="1">
        <f>IF(tips!$C77="Fri",1,0)</f>
        <v>0</v>
      </c>
      <c r="E77" s="1">
        <f>IF(tips!$C77="Sat",1,0)</f>
        <v>1</v>
      </c>
      <c r="F77" s="1">
        <f>IF(tips!$C77="Thur",1,0)</f>
        <v>0</v>
      </c>
      <c r="G77" s="1">
        <f>IF(tips!D77="Dinner",1,IF(tips!D77="Lunch",0,""))</f>
        <v>1</v>
      </c>
      <c r="H77" s="1">
        <v>2</v>
      </c>
      <c r="I77" s="7">
        <v>10.51</v>
      </c>
      <c r="J77" s="8">
        <v>1.25</v>
      </c>
    </row>
    <row r="78" spans="1:10" x14ac:dyDescent="0.3">
      <c r="A78" s="1">
        <f>IF(tips!A78="Female",1,IF(tips!A78="Male",0,""))</f>
        <v>0</v>
      </c>
      <c r="B78" s="1">
        <f>IF(tips!B78="Yes",1,IF(tips!B78="No",0,""))</f>
        <v>1</v>
      </c>
      <c r="C78" s="1">
        <f>IF(tips!$C78="Sun",1,0)</f>
        <v>0</v>
      </c>
      <c r="D78" s="1">
        <f>IF(tips!$C78="Fri",1,0)</f>
        <v>0</v>
      </c>
      <c r="E78" s="1">
        <f>IF(tips!$C78="Sat",1,0)</f>
        <v>1</v>
      </c>
      <c r="F78" s="1">
        <f>IF(tips!$C78="Thur",1,0)</f>
        <v>0</v>
      </c>
      <c r="G78" s="1">
        <f>IF(tips!D78="Dinner",1,IF(tips!D78="Lunch",0,""))</f>
        <v>1</v>
      </c>
      <c r="H78" s="1">
        <v>2</v>
      </c>
      <c r="I78" s="7">
        <v>17.920000000000002</v>
      </c>
      <c r="J78" s="8">
        <v>3.08</v>
      </c>
    </row>
    <row r="79" spans="1:10" x14ac:dyDescent="0.3">
      <c r="A79" s="1">
        <f>IF(tips!A79="Female",1,IF(tips!A79="Male",0,""))</f>
        <v>0</v>
      </c>
      <c r="B79" s="1">
        <f>IF(tips!B79="Yes",1,IF(tips!B79="No",0,""))</f>
        <v>0</v>
      </c>
      <c r="C79" s="1">
        <f>IF(tips!$C79="Sun",1,0)</f>
        <v>0</v>
      </c>
      <c r="D79" s="1">
        <f>IF(tips!$C79="Fri",1,0)</f>
        <v>0</v>
      </c>
      <c r="E79" s="1">
        <f>IF(tips!$C79="Sat",1,0)</f>
        <v>0</v>
      </c>
      <c r="F79" s="1">
        <f>IF(tips!$C79="Thur",1,0)</f>
        <v>1</v>
      </c>
      <c r="G79" s="1">
        <f>IF(tips!D79="Dinner",1,IF(tips!D79="Lunch",0,""))</f>
        <v>0</v>
      </c>
      <c r="H79" s="1">
        <v>4</v>
      </c>
      <c r="I79" s="7">
        <v>27.2</v>
      </c>
      <c r="J79" s="8">
        <v>4</v>
      </c>
    </row>
    <row r="80" spans="1:10" x14ac:dyDescent="0.3">
      <c r="A80" s="1">
        <f>IF(tips!A80="Female",1,IF(tips!A80="Male",0,""))</f>
        <v>0</v>
      </c>
      <c r="B80" s="1">
        <f>IF(tips!B80="Yes",1,IF(tips!B80="No",0,""))</f>
        <v>0</v>
      </c>
      <c r="C80" s="1">
        <f>IF(tips!$C80="Sun",1,0)</f>
        <v>0</v>
      </c>
      <c r="D80" s="1">
        <f>IF(tips!$C80="Fri",1,0)</f>
        <v>0</v>
      </c>
      <c r="E80" s="1">
        <f>IF(tips!$C80="Sat",1,0)</f>
        <v>0</v>
      </c>
      <c r="F80" s="1">
        <f>IF(tips!$C80="Thur",1,0)</f>
        <v>1</v>
      </c>
      <c r="G80" s="1">
        <f>IF(tips!D80="Dinner",1,IF(tips!D80="Lunch",0,""))</f>
        <v>0</v>
      </c>
      <c r="H80" s="1">
        <v>2</v>
      </c>
      <c r="I80" s="7">
        <v>22.76</v>
      </c>
      <c r="J80" s="8">
        <v>3</v>
      </c>
    </row>
    <row r="81" spans="1:10" x14ac:dyDescent="0.3">
      <c r="A81" s="1">
        <f>IF(tips!A81="Female",1,IF(tips!A81="Male",0,""))</f>
        <v>0</v>
      </c>
      <c r="B81" s="1">
        <f>IF(tips!B81="Yes",1,IF(tips!B81="No",0,""))</f>
        <v>0</v>
      </c>
      <c r="C81" s="1">
        <f>IF(tips!$C81="Sun",1,0)</f>
        <v>0</v>
      </c>
      <c r="D81" s="1">
        <f>IF(tips!$C81="Fri",1,0)</f>
        <v>0</v>
      </c>
      <c r="E81" s="1">
        <f>IF(tips!$C81="Sat",1,0)</f>
        <v>0</v>
      </c>
      <c r="F81" s="1">
        <f>IF(tips!$C81="Thur",1,0)</f>
        <v>1</v>
      </c>
      <c r="G81" s="1">
        <f>IF(tips!D81="Dinner",1,IF(tips!D81="Lunch",0,""))</f>
        <v>0</v>
      </c>
      <c r="H81" s="1">
        <v>2</v>
      </c>
      <c r="I81" s="7">
        <v>17.29</v>
      </c>
      <c r="J81" s="8">
        <v>2.71</v>
      </c>
    </row>
    <row r="82" spans="1:10" x14ac:dyDescent="0.3">
      <c r="A82" s="1">
        <f>IF(tips!A82="Female",1,IF(tips!A82="Male",0,""))</f>
        <v>0</v>
      </c>
      <c r="B82" s="1">
        <f>IF(tips!B82="Yes",1,IF(tips!B82="No",0,""))</f>
        <v>1</v>
      </c>
      <c r="C82" s="1">
        <f>IF(tips!$C82="Sun",1,0)</f>
        <v>0</v>
      </c>
      <c r="D82" s="1">
        <f>IF(tips!$C82="Fri",1,0)</f>
        <v>0</v>
      </c>
      <c r="E82" s="1">
        <f>IF(tips!$C82="Sat",1,0)</f>
        <v>0</v>
      </c>
      <c r="F82" s="1">
        <f>IF(tips!$C82="Thur",1,0)</f>
        <v>1</v>
      </c>
      <c r="G82" s="1">
        <f>IF(tips!D82="Dinner",1,IF(tips!D82="Lunch",0,""))</f>
        <v>0</v>
      </c>
      <c r="H82" s="1">
        <v>2</v>
      </c>
      <c r="I82" s="7">
        <v>19.440000000000001</v>
      </c>
      <c r="J82" s="8">
        <v>3</v>
      </c>
    </row>
    <row r="83" spans="1:10" x14ac:dyDescent="0.3">
      <c r="A83" s="1">
        <f>IF(tips!A83="Female",1,IF(tips!A83="Male",0,""))</f>
        <v>0</v>
      </c>
      <c r="B83" s="1">
        <f>IF(tips!B83="Yes",1,IF(tips!B83="No",0,""))</f>
        <v>0</v>
      </c>
      <c r="C83" s="1">
        <f>IF(tips!$C83="Sun",1,0)</f>
        <v>0</v>
      </c>
      <c r="D83" s="1">
        <f>IF(tips!$C83="Fri",1,0)</f>
        <v>0</v>
      </c>
      <c r="E83" s="1">
        <f>IF(tips!$C83="Sat",1,0)</f>
        <v>0</v>
      </c>
      <c r="F83" s="1">
        <f>IF(tips!$C83="Thur",1,0)</f>
        <v>1</v>
      </c>
      <c r="G83" s="1">
        <f>IF(tips!D83="Dinner",1,IF(tips!D83="Lunch",0,""))</f>
        <v>0</v>
      </c>
      <c r="H83" s="1">
        <v>2</v>
      </c>
      <c r="I83" s="7">
        <v>16.66</v>
      </c>
      <c r="J83" s="8">
        <v>3.4</v>
      </c>
    </row>
    <row r="84" spans="1:10" x14ac:dyDescent="0.3">
      <c r="A84" s="1">
        <f>IF(tips!A84="Female",1,IF(tips!A84="Male",0,""))</f>
        <v>1</v>
      </c>
      <c r="B84" s="1">
        <f>IF(tips!B84="Yes",1,IF(tips!B84="No",0,""))</f>
        <v>0</v>
      </c>
      <c r="C84" s="1">
        <f>IF(tips!$C84="Sun",1,0)</f>
        <v>0</v>
      </c>
      <c r="D84" s="1">
        <f>IF(tips!$C84="Fri",1,0)</f>
        <v>0</v>
      </c>
      <c r="E84" s="1">
        <f>IF(tips!$C84="Sat",1,0)</f>
        <v>0</v>
      </c>
      <c r="F84" s="1">
        <f>IF(tips!$C84="Thur",1,0)</f>
        <v>1</v>
      </c>
      <c r="G84" s="1">
        <f>IF(tips!D84="Dinner",1,IF(tips!D84="Lunch",0,""))</f>
        <v>0</v>
      </c>
      <c r="H84" s="1">
        <v>1</v>
      </c>
      <c r="I84" s="7">
        <v>10.07</v>
      </c>
      <c r="J84" s="8">
        <v>1.83</v>
      </c>
    </row>
    <row r="85" spans="1:10" x14ac:dyDescent="0.3">
      <c r="A85" s="1">
        <f>IF(tips!A85="Female",1,IF(tips!A85="Male",0,""))</f>
        <v>0</v>
      </c>
      <c r="B85" s="1">
        <f>IF(tips!B85="Yes",1,IF(tips!B85="No",0,""))</f>
        <v>1</v>
      </c>
      <c r="C85" s="1">
        <f>IF(tips!$C85="Sun",1,0)</f>
        <v>0</v>
      </c>
      <c r="D85" s="1">
        <f>IF(tips!$C85="Fri",1,0)</f>
        <v>0</v>
      </c>
      <c r="E85" s="1">
        <f>IF(tips!$C85="Sat",1,0)</f>
        <v>0</v>
      </c>
      <c r="F85" s="1">
        <f>IF(tips!$C85="Thur",1,0)</f>
        <v>1</v>
      </c>
      <c r="G85" s="1">
        <f>IF(tips!D85="Dinner",1,IF(tips!D85="Lunch",0,""))</f>
        <v>0</v>
      </c>
      <c r="H85" s="1">
        <v>2</v>
      </c>
      <c r="I85" s="7">
        <v>32.68</v>
      </c>
      <c r="J85" s="8">
        <v>5</v>
      </c>
    </row>
    <row r="86" spans="1:10" x14ac:dyDescent="0.3">
      <c r="A86" s="1">
        <f>IF(tips!A86="Female",1,IF(tips!A86="Male",0,""))</f>
        <v>0</v>
      </c>
      <c r="B86" s="1">
        <f>IF(tips!B86="Yes",1,IF(tips!B86="No",0,""))</f>
        <v>0</v>
      </c>
      <c r="C86" s="1">
        <f>IF(tips!$C86="Sun",1,0)</f>
        <v>0</v>
      </c>
      <c r="D86" s="1">
        <f>IF(tips!$C86="Fri",1,0)</f>
        <v>0</v>
      </c>
      <c r="E86" s="1">
        <f>IF(tips!$C86="Sat",1,0)</f>
        <v>0</v>
      </c>
      <c r="F86" s="1">
        <f>IF(tips!$C86="Thur",1,0)</f>
        <v>1</v>
      </c>
      <c r="G86" s="1">
        <f>IF(tips!D86="Dinner",1,IF(tips!D86="Lunch",0,""))</f>
        <v>0</v>
      </c>
      <c r="H86" s="1">
        <v>2</v>
      </c>
      <c r="I86" s="7">
        <v>15.98</v>
      </c>
      <c r="J86" s="8">
        <v>2.0299999999999998</v>
      </c>
    </row>
    <row r="87" spans="1:10" x14ac:dyDescent="0.3">
      <c r="A87" s="1">
        <f>IF(tips!A87="Female",1,IF(tips!A87="Male",0,""))</f>
        <v>1</v>
      </c>
      <c r="B87" s="1">
        <f>IF(tips!B87="Yes",1,IF(tips!B87="No",0,""))</f>
        <v>0</v>
      </c>
      <c r="C87" s="1">
        <f>IF(tips!$C87="Sun",1,0)</f>
        <v>0</v>
      </c>
      <c r="D87" s="1">
        <f>IF(tips!$C87="Fri",1,0)</f>
        <v>0</v>
      </c>
      <c r="E87" s="1">
        <f>IF(tips!$C87="Sat",1,0)</f>
        <v>0</v>
      </c>
      <c r="F87" s="1">
        <f>IF(tips!$C87="Thur",1,0)</f>
        <v>1</v>
      </c>
      <c r="G87" s="1">
        <f>IF(tips!D87="Dinner",1,IF(tips!D87="Lunch",0,""))</f>
        <v>0</v>
      </c>
      <c r="H87" s="1">
        <v>4</v>
      </c>
      <c r="I87" s="7">
        <v>34.83</v>
      </c>
      <c r="J87" s="8">
        <v>5.17</v>
      </c>
    </row>
    <row r="88" spans="1:10" x14ac:dyDescent="0.3">
      <c r="A88" s="1">
        <f>IF(tips!A88="Female",1,IF(tips!A88="Male",0,""))</f>
        <v>0</v>
      </c>
      <c r="B88" s="1">
        <f>IF(tips!B88="Yes",1,IF(tips!B88="No",0,""))</f>
        <v>0</v>
      </c>
      <c r="C88" s="1">
        <f>IF(tips!$C88="Sun",1,0)</f>
        <v>0</v>
      </c>
      <c r="D88" s="1">
        <f>IF(tips!$C88="Fri",1,0)</f>
        <v>0</v>
      </c>
      <c r="E88" s="1">
        <f>IF(tips!$C88="Sat",1,0)</f>
        <v>0</v>
      </c>
      <c r="F88" s="1">
        <f>IF(tips!$C88="Thur",1,0)</f>
        <v>1</v>
      </c>
      <c r="G88" s="1">
        <f>IF(tips!D88="Dinner",1,IF(tips!D88="Lunch",0,""))</f>
        <v>0</v>
      </c>
      <c r="H88" s="1">
        <v>2</v>
      </c>
      <c r="I88" s="7">
        <v>13.03</v>
      </c>
      <c r="J88" s="8">
        <v>2</v>
      </c>
    </row>
    <row r="89" spans="1:10" x14ac:dyDescent="0.3">
      <c r="A89" s="1">
        <f>IF(tips!A89="Female",1,IF(tips!A89="Male",0,""))</f>
        <v>0</v>
      </c>
      <c r="B89" s="1">
        <f>IF(tips!B89="Yes",1,IF(tips!B89="No",0,""))</f>
        <v>0</v>
      </c>
      <c r="C89" s="1">
        <f>IF(tips!$C89="Sun",1,0)</f>
        <v>0</v>
      </c>
      <c r="D89" s="1">
        <f>IF(tips!$C89="Fri",1,0)</f>
        <v>0</v>
      </c>
      <c r="E89" s="1">
        <f>IF(tips!$C89="Sat",1,0)</f>
        <v>0</v>
      </c>
      <c r="F89" s="1">
        <f>IF(tips!$C89="Thur",1,0)</f>
        <v>1</v>
      </c>
      <c r="G89" s="1">
        <f>IF(tips!D89="Dinner",1,IF(tips!D89="Lunch",0,""))</f>
        <v>0</v>
      </c>
      <c r="H89" s="1">
        <v>2</v>
      </c>
      <c r="I89" s="7">
        <v>18.28</v>
      </c>
      <c r="J89" s="8">
        <v>4</v>
      </c>
    </row>
    <row r="90" spans="1:10" x14ac:dyDescent="0.3">
      <c r="A90" s="1">
        <f>IF(tips!A90="Female",1,IF(tips!A90="Male",0,""))</f>
        <v>0</v>
      </c>
      <c r="B90" s="1">
        <f>IF(tips!B90="Yes",1,IF(tips!B90="No",0,""))</f>
        <v>0</v>
      </c>
      <c r="C90" s="1">
        <f>IF(tips!$C90="Sun",1,0)</f>
        <v>0</v>
      </c>
      <c r="D90" s="1">
        <f>IF(tips!$C90="Fri",1,0)</f>
        <v>0</v>
      </c>
      <c r="E90" s="1">
        <f>IF(tips!$C90="Sat",1,0)</f>
        <v>0</v>
      </c>
      <c r="F90" s="1">
        <f>IF(tips!$C90="Thur",1,0)</f>
        <v>1</v>
      </c>
      <c r="G90" s="1">
        <f>IF(tips!D90="Dinner",1,IF(tips!D90="Lunch",0,""))</f>
        <v>0</v>
      </c>
      <c r="H90" s="1">
        <v>2</v>
      </c>
      <c r="I90" s="7">
        <v>24.71</v>
      </c>
      <c r="J90" s="8">
        <v>5.85</v>
      </c>
    </row>
    <row r="91" spans="1:10" x14ac:dyDescent="0.3">
      <c r="A91" s="1">
        <f>IF(tips!A91="Female",1,IF(tips!A91="Male",0,""))</f>
        <v>0</v>
      </c>
      <c r="B91" s="1">
        <f>IF(tips!B91="Yes",1,IF(tips!B91="No",0,""))</f>
        <v>0</v>
      </c>
      <c r="C91" s="1">
        <f>IF(tips!$C91="Sun",1,0)</f>
        <v>0</v>
      </c>
      <c r="D91" s="1">
        <f>IF(tips!$C91="Fri",1,0)</f>
        <v>0</v>
      </c>
      <c r="E91" s="1">
        <f>IF(tips!$C91="Sat",1,0)</f>
        <v>0</v>
      </c>
      <c r="F91" s="1">
        <f>IF(tips!$C91="Thur",1,0)</f>
        <v>1</v>
      </c>
      <c r="G91" s="1">
        <f>IF(tips!D91="Dinner",1,IF(tips!D91="Lunch",0,""))</f>
        <v>0</v>
      </c>
      <c r="H91" s="1">
        <v>2</v>
      </c>
      <c r="I91" s="7">
        <v>21.16</v>
      </c>
      <c r="J91" s="8">
        <v>3</v>
      </c>
    </row>
    <row r="92" spans="1:10" x14ac:dyDescent="0.3">
      <c r="A92" s="1">
        <f>IF(tips!A92="Female",1,IF(tips!A92="Male",0,""))</f>
        <v>0</v>
      </c>
      <c r="B92" s="1">
        <f>IF(tips!B92="Yes",1,IF(tips!B92="No",0,""))</f>
        <v>1</v>
      </c>
      <c r="C92" s="1">
        <f>IF(tips!$C92="Sun",1,0)</f>
        <v>0</v>
      </c>
      <c r="D92" s="1">
        <f>IF(tips!$C92="Fri",1,0)</f>
        <v>1</v>
      </c>
      <c r="E92" s="1">
        <f>IF(tips!$C92="Sat",1,0)</f>
        <v>0</v>
      </c>
      <c r="F92" s="1">
        <f>IF(tips!$C92="Thur",1,0)</f>
        <v>0</v>
      </c>
      <c r="G92" s="1">
        <f>IF(tips!D92="Dinner",1,IF(tips!D92="Lunch",0,""))</f>
        <v>1</v>
      </c>
      <c r="H92" s="1">
        <v>2</v>
      </c>
      <c r="I92" s="7">
        <v>28.97</v>
      </c>
      <c r="J92" s="8">
        <v>3</v>
      </c>
    </row>
    <row r="93" spans="1:10" x14ac:dyDescent="0.3">
      <c r="A93" s="1">
        <f>IF(tips!A93="Female",1,IF(tips!A93="Male",0,""))</f>
        <v>0</v>
      </c>
      <c r="B93" s="1">
        <f>IF(tips!B93="Yes",1,IF(tips!B93="No",0,""))</f>
        <v>0</v>
      </c>
      <c r="C93" s="1">
        <f>IF(tips!$C93="Sun",1,0)</f>
        <v>0</v>
      </c>
      <c r="D93" s="1">
        <f>IF(tips!$C93="Fri",1,0)</f>
        <v>1</v>
      </c>
      <c r="E93" s="1">
        <f>IF(tips!$C93="Sat",1,0)</f>
        <v>0</v>
      </c>
      <c r="F93" s="1">
        <f>IF(tips!$C93="Thur",1,0)</f>
        <v>0</v>
      </c>
      <c r="G93" s="1">
        <f>IF(tips!D93="Dinner",1,IF(tips!D93="Lunch",0,""))</f>
        <v>1</v>
      </c>
      <c r="H93" s="1">
        <v>2</v>
      </c>
      <c r="I93" s="7">
        <v>22.49</v>
      </c>
      <c r="J93" s="8">
        <v>3.5</v>
      </c>
    </row>
    <row r="94" spans="1:10" x14ac:dyDescent="0.3">
      <c r="A94" s="1">
        <f>IF(tips!A94="Female",1,IF(tips!A94="Male",0,""))</f>
        <v>1</v>
      </c>
      <c r="B94" s="1">
        <f>IF(tips!B94="Yes",1,IF(tips!B94="No",0,""))</f>
        <v>1</v>
      </c>
      <c r="C94" s="1">
        <f>IF(tips!$C94="Sun",1,0)</f>
        <v>0</v>
      </c>
      <c r="D94" s="1">
        <f>IF(tips!$C94="Fri",1,0)</f>
        <v>1</v>
      </c>
      <c r="E94" s="1">
        <f>IF(tips!$C94="Sat",1,0)</f>
        <v>0</v>
      </c>
      <c r="F94" s="1">
        <f>IF(tips!$C94="Thur",1,0)</f>
        <v>0</v>
      </c>
      <c r="G94" s="1">
        <f>IF(tips!D94="Dinner",1,IF(tips!D94="Lunch",0,""))</f>
        <v>1</v>
      </c>
      <c r="H94" s="1">
        <v>2</v>
      </c>
      <c r="I94" s="7">
        <v>5.75</v>
      </c>
      <c r="J94" s="8">
        <v>1</v>
      </c>
    </row>
    <row r="95" spans="1:10" x14ac:dyDescent="0.3">
      <c r="A95" s="1">
        <f>IF(tips!A95="Female",1,IF(tips!A95="Male",0,""))</f>
        <v>1</v>
      </c>
      <c r="B95" s="1">
        <f>IF(tips!B95="Yes",1,IF(tips!B95="No",0,""))</f>
        <v>1</v>
      </c>
      <c r="C95" s="1">
        <f>IF(tips!$C95="Sun",1,0)</f>
        <v>0</v>
      </c>
      <c r="D95" s="1">
        <f>IF(tips!$C95="Fri",1,0)</f>
        <v>1</v>
      </c>
      <c r="E95" s="1">
        <f>IF(tips!$C95="Sat",1,0)</f>
        <v>0</v>
      </c>
      <c r="F95" s="1">
        <f>IF(tips!$C95="Thur",1,0)</f>
        <v>0</v>
      </c>
      <c r="G95" s="1">
        <f>IF(tips!D95="Dinner",1,IF(tips!D95="Lunch",0,""))</f>
        <v>1</v>
      </c>
      <c r="H95" s="1">
        <v>2</v>
      </c>
      <c r="I95" s="7">
        <v>16.32</v>
      </c>
      <c r="J95" s="8">
        <v>4.3</v>
      </c>
    </row>
    <row r="96" spans="1:10" x14ac:dyDescent="0.3">
      <c r="A96" s="1">
        <f>IF(tips!A96="Female",1,IF(tips!A96="Male",0,""))</f>
        <v>1</v>
      </c>
      <c r="B96" s="1">
        <f>IF(tips!B96="Yes",1,IF(tips!B96="No",0,""))</f>
        <v>0</v>
      </c>
      <c r="C96" s="1">
        <f>IF(tips!$C96="Sun",1,0)</f>
        <v>0</v>
      </c>
      <c r="D96" s="1">
        <f>IF(tips!$C96="Fri",1,0)</f>
        <v>1</v>
      </c>
      <c r="E96" s="1">
        <f>IF(tips!$C96="Sat",1,0)</f>
        <v>0</v>
      </c>
      <c r="F96" s="1">
        <f>IF(tips!$C96="Thur",1,0)</f>
        <v>0</v>
      </c>
      <c r="G96" s="1">
        <f>IF(tips!D96="Dinner",1,IF(tips!D96="Lunch",0,""))</f>
        <v>1</v>
      </c>
      <c r="H96" s="1">
        <v>2</v>
      </c>
      <c r="I96" s="7">
        <v>22.75</v>
      </c>
      <c r="J96" s="8">
        <v>3.25</v>
      </c>
    </row>
    <row r="97" spans="1:10" x14ac:dyDescent="0.3">
      <c r="A97" s="1">
        <f>IF(tips!A97="Female",1,IF(tips!A97="Male",0,""))</f>
        <v>0</v>
      </c>
      <c r="B97" s="1">
        <f>IF(tips!B97="Yes",1,IF(tips!B97="No",0,""))</f>
        <v>1</v>
      </c>
      <c r="C97" s="1">
        <f>IF(tips!$C97="Sun",1,0)</f>
        <v>0</v>
      </c>
      <c r="D97" s="1">
        <f>IF(tips!$C97="Fri",1,0)</f>
        <v>1</v>
      </c>
      <c r="E97" s="1">
        <f>IF(tips!$C97="Sat",1,0)</f>
        <v>0</v>
      </c>
      <c r="F97" s="1">
        <f>IF(tips!$C97="Thur",1,0)</f>
        <v>0</v>
      </c>
      <c r="G97" s="1">
        <f>IF(tips!D97="Dinner",1,IF(tips!D97="Lunch",0,""))</f>
        <v>1</v>
      </c>
      <c r="H97" s="1">
        <v>4</v>
      </c>
      <c r="I97" s="7">
        <v>40.17</v>
      </c>
      <c r="J97" s="8">
        <v>4.7300000000000004</v>
      </c>
    </row>
    <row r="98" spans="1:10" x14ac:dyDescent="0.3">
      <c r="A98" s="1">
        <f>IF(tips!A98="Female",1,IF(tips!A98="Male",0,""))</f>
        <v>0</v>
      </c>
      <c r="B98" s="1">
        <f>IF(tips!B98="Yes",1,IF(tips!B98="No",0,""))</f>
        <v>1</v>
      </c>
      <c r="C98" s="1">
        <f>IF(tips!$C98="Sun",1,0)</f>
        <v>0</v>
      </c>
      <c r="D98" s="1">
        <f>IF(tips!$C98="Fri",1,0)</f>
        <v>1</v>
      </c>
      <c r="E98" s="1">
        <f>IF(tips!$C98="Sat",1,0)</f>
        <v>0</v>
      </c>
      <c r="F98" s="1">
        <f>IF(tips!$C98="Thur",1,0)</f>
        <v>0</v>
      </c>
      <c r="G98" s="1">
        <f>IF(tips!D98="Dinner",1,IF(tips!D98="Lunch",0,""))</f>
        <v>1</v>
      </c>
      <c r="H98" s="1">
        <v>2</v>
      </c>
      <c r="I98" s="7">
        <v>27.28</v>
      </c>
      <c r="J98" s="8">
        <v>4</v>
      </c>
    </row>
    <row r="99" spans="1:10" x14ac:dyDescent="0.3">
      <c r="A99" s="1">
        <f>IF(tips!A99="Female",1,IF(tips!A99="Male",0,""))</f>
        <v>0</v>
      </c>
      <c r="B99" s="1">
        <f>IF(tips!B99="Yes",1,IF(tips!B99="No",0,""))</f>
        <v>1</v>
      </c>
      <c r="C99" s="1">
        <f>IF(tips!$C99="Sun",1,0)</f>
        <v>0</v>
      </c>
      <c r="D99" s="1">
        <f>IF(tips!$C99="Fri",1,0)</f>
        <v>1</v>
      </c>
      <c r="E99" s="1">
        <f>IF(tips!$C99="Sat",1,0)</f>
        <v>0</v>
      </c>
      <c r="F99" s="1">
        <f>IF(tips!$C99="Thur",1,0)</f>
        <v>0</v>
      </c>
      <c r="G99" s="1">
        <f>IF(tips!D99="Dinner",1,IF(tips!D99="Lunch",0,""))</f>
        <v>1</v>
      </c>
      <c r="H99" s="1">
        <v>2</v>
      </c>
      <c r="I99" s="7">
        <v>12.03</v>
      </c>
      <c r="J99" s="8">
        <v>1.5</v>
      </c>
    </row>
    <row r="100" spans="1:10" x14ac:dyDescent="0.3">
      <c r="A100" s="1">
        <f>IF(tips!A100="Female",1,IF(tips!A100="Male",0,""))</f>
        <v>0</v>
      </c>
      <c r="B100" s="1">
        <f>IF(tips!B100="Yes",1,IF(tips!B100="No",0,""))</f>
        <v>1</v>
      </c>
      <c r="C100" s="1">
        <f>IF(tips!$C100="Sun",1,0)</f>
        <v>0</v>
      </c>
      <c r="D100" s="1">
        <f>IF(tips!$C100="Fri",1,0)</f>
        <v>1</v>
      </c>
      <c r="E100" s="1">
        <f>IF(tips!$C100="Sat",1,0)</f>
        <v>0</v>
      </c>
      <c r="F100" s="1">
        <f>IF(tips!$C100="Thur",1,0)</f>
        <v>0</v>
      </c>
      <c r="G100" s="1">
        <f>IF(tips!D100="Dinner",1,IF(tips!D100="Lunch",0,""))</f>
        <v>1</v>
      </c>
      <c r="H100" s="1">
        <v>2</v>
      </c>
      <c r="I100" s="7">
        <v>21.01</v>
      </c>
      <c r="J100" s="8">
        <v>3</v>
      </c>
    </row>
    <row r="101" spans="1:10" x14ac:dyDescent="0.3">
      <c r="A101" s="1">
        <f>IF(tips!A101="Female",1,IF(tips!A101="Male",0,""))</f>
        <v>0</v>
      </c>
      <c r="B101" s="1">
        <f>IF(tips!B101="Yes",1,IF(tips!B101="No",0,""))</f>
        <v>0</v>
      </c>
      <c r="C101" s="1">
        <f>IF(tips!$C101="Sun",1,0)</f>
        <v>0</v>
      </c>
      <c r="D101" s="1">
        <f>IF(tips!$C101="Fri",1,0)</f>
        <v>1</v>
      </c>
      <c r="E101" s="1">
        <f>IF(tips!$C101="Sat",1,0)</f>
        <v>0</v>
      </c>
      <c r="F101" s="1">
        <f>IF(tips!$C101="Thur",1,0)</f>
        <v>0</v>
      </c>
      <c r="G101" s="1">
        <f>IF(tips!D101="Dinner",1,IF(tips!D101="Lunch",0,""))</f>
        <v>1</v>
      </c>
      <c r="H101" s="1">
        <v>2</v>
      </c>
      <c r="I101" s="7">
        <v>12.46</v>
      </c>
      <c r="J101" s="8">
        <v>1.5</v>
      </c>
    </row>
    <row r="102" spans="1:10" x14ac:dyDescent="0.3">
      <c r="A102" s="1">
        <f>IF(tips!A102="Female",1,IF(tips!A102="Male",0,""))</f>
        <v>1</v>
      </c>
      <c r="B102" s="1">
        <f>IF(tips!B102="Yes",1,IF(tips!B102="No",0,""))</f>
        <v>1</v>
      </c>
      <c r="C102" s="1">
        <f>IF(tips!$C102="Sun",1,0)</f>
        <v>0</v>
      </c>
      <c r="D102" s="1">
        <f>IF(tips!$C102="Fri",1,0)</f>
        <v>1</v>
      </c>
      <c r="E102" s="1">
        <f>IF(tips!$C102="Sat",1,0)</f>
        <v>0</v>
      </c>
      <c r="F102" s="1">
        <f>IF(tips!$C102="Thur",1,0)</f>
        <v>0</v>
      </c>
      <c r="G102" s="1">
        <f>IF(tips!D102="Dinner",1,IF(tips!D102="Lunch",0,""))</f>
        <v>1</v>
      </c>
      <c r="H102" s="1">
        <v>2</v>
      </c>
      <c r="I102" s="7">
        <v>11.35</v>
      </c>
      <c r="J102" s="8">
        <v>2.5</v>
      </c>
    </row>
    <row r="103" spans="1:10" x14ac:dyDescent="0.3">
      <c r="A103" s="1">
        <f>IF(tips!A103="Female",1,IF(tips!A103="Male",0,""))</f>
        <v>1</v>
      </c>
      <c r="B103" s="1">
        <f>IF(tips!B103="Yes",1,IF(tips!B103="No",0,""))</f>
        <v>1</v>
      </c>
      <c r="C103" s="1">
        <f>IF(tips!$C103="Sun",1,0)</f>
        <v>0</v>
      </c>
      <c r="D103" s="1">
        <f>IF(tips!$C103="Fri",1,0)</f>
        <v>1</v>
      </c>
      <c r="E103" s="1">
        <f>IF(tips!$C103="Sat",1,0)</f>
        <v>0</v>
      </c>
      <c r="F103" s="1">
        <f>IF(tips!$C103="Thur",1,0)</f>
        <v>0</v>
      </c>
      <c r="G103" s="1">
        <f>IF(tips!D103="Dinner",1,IF(tips!D103="Lunch",0,""))</f>
        <v>1</v>
      </c>
      <c r="H103" s="1">
        <v>2</v>
      </c>
      <c r="I103" s="7">
        <v>15.38</v>
      </c>
      <c r="J103" s="8">
        <v>3</v>
      </c>
    </row>
    <row r="104" spans="1:10" x14ac:dyDescent="0.3">
      <c r="A104" s="1">
        <f>IF(tips!A104="Female",1,IF(tips!A104="Male",0,""))</f>
        <v>1</v>
      </c>
      <c r="B104" s="1">
        <f>IF(tips!B104="Yes",1,IF(tips!B104="No",0,""))</f>
        <v>1</v>
      </c>
      <c r="C104" s="1">
        <f>IF(tips!$C104="Sun",1,0)</f>
        <v>0</v>
      </c>
      <c r="D104" s="1">
        <f>IF(tips!$C104="Fri",1,0)</f>
        <v>0</v>
      </c>
      <c r="E104" s="1">
        <f>IF(tips!$C104="Sat",1,0)</f>
        <v>1</v>
      </c>
      <c r="F104" s="1">
        <f>IF(tips!$C104="Thur",1,0)</f>
        <v>0</v>
      </c>
      <c r="G104" s="1">
        <f>IF(tips!D104="Dinner",1,IF(tips!D104="Lunch",0,""))</f>
        <v>1</v>
      </c>
      <c r="H104" s="1">
        <v>3</v>
      </c>
      <c r="I104" s="7">
        <v>44.3</v>
      </c>
      <c r="J104" s="8">
        <v>2.5</v>
      </c>
    </row>
    <row r="105" spans="1:10" x14ac:dyDescent="0.3">
      <c r="A105" s="1">
        <f>IF(tips!A105="Female",1,IF(tips!A105="Male",0,""))</f>
        <v>1</v>
      </c>
      <c r="B105" s="1">
        <f>IF(tips!B105="Yes",1,IF(tips!B105="No",0,""))</f>
        <v>1</v>
      </c>
      <c r="C105" s="1">
        <f>IF(tips!$C105="Sun",1,0)</f>
        <v>0</v>
      </c>
      <c r="D105" s="1">
        <f>IF(tips!$C105="Fri",1,0)</f>
        <v>0</v>
      </c>
      <c r="E105" s="1">
        <f>IF(tips!$C105="Sat",1,0)</f>
        <v>1</v>
      </c>
      <c r="F105" s="1">
        <f>IF(tips!$C105="Thur",1,0)</f>
        <v>0</v>
      </c>
      <c r="G105" s="1">
        <f>IF(tips!D105="Dinner",1,IF(tips!D105="Lunch",0,""))</f>
        <v>1</v>
      </c>
      <c r="H105" s="1">
        <v>2</v>
      </c>
      <c r="I105" s="7">
        <v>22.42</v>
      </c>
      <c r="J105" s="8">
        <v>3.48</v>
      </c>
    </row>
    <row r="106" spans="1:10" x14ac:dyDescent="0.3">
      <c r="A106" s="1">
        <f>IF(tips!A106="Female",1,IF(tips!A106="Male",0,""))</f>
        <v>1</v>
      </c>
      <c r="B106" s="1">
        <f>IF(tips!B106="Yes",1,IF(tips!B106="No",0,""))</f>
        <v>0</v>
      </c>
      <c r="C106" s="1">
        <f>IF(tips!$C106="Sun",1,0)</f>
        <v>0</v>
      </c>
      <c r="D106" s="1">
        <f>IF(tips!$C106="Fri",1,0)</f>
        <v>0</v>
      </c>
      <c r="E106" s="1">
        <f>IF(tips!$C106="Sat",1,0)</f>
        <v>1</v>
      </c>
      <c r="F106" s="1">
        <f>IF(tips!$C106="Thur",1,0)</f>
        <v>0</v>
      </c>
      <c r="G106" s="1">
        <f>IF(tips!D106="Dinner",1,IF(tips!D106="Lunch",0,""))</f>
        <v>1</v>
      </c>
      <c r="H106" s="1">
        <v>2</v>
      </c>
      <c r="I106" s="7">
        <v>20.92</v>
      </c>
      <c r="J106" s="8">
        <v>4.08</v>
      </c>
    </row>
    <row r="107" spans="1:10" x14ac:dyDescent="0.3">
      <c r="A107" s="1">
        <f>IF(tips!A107="Female",1,IF(tips!A107="Male",0,""))</f>
        <v>0</v>
      </c>
      <c r="B107" s="1">
        <f>IF(tips!B107="Yes",1,IF(tips!B107="No",0,""))</f>
        <v>1</v>
      </c>
      <c r="C107" s="1">
        <f>IF(tips!$C107="Sun",1,0)</f>
        <v>0</v>
      </c>
      <c r="D107" s="1">
        <f>IF(tips!$C107="Fri",1,0)</f>
        <v>0</v>
      </c>
      <c r="E107" s="1">
        <f>IF(tips!$C107="Sat",1,0)</f>
        <v>1</v>
      </c>
      <c r="F107" s="1">
        <f>IF(tips!$C107="Thur",1,0)</f>
        <v>0</v>
      </c>
      <c r="G107" s="1">
        <f>IF(tips!D107="Dinner",1,IF(tips!D107="Lunch",0,""))</f>
        <v>1</v>
      </c>
      <c r="H107" s="1">
        <v>2</v>
      </c>
      <c r="I107" s="7">
        <v>15.36</v>
      </c>
      <c r="J107" s="8">
        <v>1.64</v>
      </c>
    </row>
    <row r="108" spans="1:10" x14ac:dyDescent="0.3">
      <c r="A108" s="1">
        <f>IF(tips!A108="Female",1,IF(tips!A108="Male",0,""))</f>
        <v>0</v>
      </c>
      <c r="B108" s="1">
        <f>IF(tips!B108="Yes",1,IF(tips!B108="No",0,""))</f>
        <v>1</v>
      </c>
      <c r="C108" s="1">
        <f>IF(tips!$C108="Sun",1,0)</f>
        <v>0</v>
      </c>
      <c r="D108" s="1">
        <f>IF(tips!$C108="Fri",1,0)</f>
        <v>0</v>
      </c>
      <c r="E108" s="1">
        <f>IF(tips!$C108="Sat",1,0)</f>
        <v>1</v>
      </c>
      <c r="F108" s="1">
        <f>IF(tips!$C108="Thur",1,0)</f>
        <v>0</v>
      </c>
      <c r="G108" s="1">
        <f>IF(tips!D108="Dinner",1,IF(tips!D108="Lunch",0,""))</f>
        <v>1</v>
      </c>
      <c r="H108" s="1">
        <v>2</v>
      </c>
      <c r="I108" s="7">
        <v>20.49</v>
      </c>
      <c r="J108" s="8">
        <v>4.0599999999999996</v>
      </c>
    </row>
    <row r="109" spans="1:10" x14ac:dyDescent="0.3">
      <c r="A109" s="1">
        <f>IF(tips!A109="Female",1,IF(tips!A109="Male",0,""))</f>
        <v>0</v>
      </c>
      <c r="B109" s="1">
        <f>IF(tips!B109="Yes",1,IF(tips!B109="No",0,""))</f>
        <v>1</v>
      </c>
      <c r="C109" s="1">
        <f>IF(tips!$C109="Sun",1,0)</f>
        <v>0</v>
      </c>
      <c r="D109" s="1">
        <f>IF(tips!$C109="Fri",1,0)</f>
        <v>0</v>
      </c>
      <c r="E109" s="1">
        <f>IF(tips!$C109="Sat",1,0)</f>
        <v>1</v>
      </c>
      <c r="F109" s="1">
        <f>IF(tips!$C109="Thur",1,0)</f>
        <v>0</v>
      </c>
      <c r="G109" s="1">
        <f>IF(tips!D109="Dinner",1,IF(tips!D109="Lunch",0,""))</f>
        <v>1</v>
      </c>
      <c r="H109" s="1">
        <v>2</v>
      </c>
      <c r="I109" s="7">
        <v>25.21</v>
      </c>
      <c r="J109" s="8">
        <v>4.29</v>
      </c>
    </row>
    <row r="110" spans="1:10" x14ac:dyDescent="0.3">
      <c r="A110" s="1">
        <f>IF(tips!A110="Female",1,IF(tips!A110="Male",0,""))</f>
        <v>0</v>
      </c>
      <c r="B110" s="1">
        <f>IF(tips!B110="Yes",1,IF(tips!B110="No",0,""))</f>
        <v>0</v>
      </c>
      <c r="C110" s="1">
        <f>IF(tips!$C110="Sun",1,0)</f>
        <v>0</v>
      </c>
      <c r="D110" s="1">
        <f>IF(tips!$C110="Fri",1,0)</f>
        <v>0</v>
      </c>
      <c r="E110" s="1">
        <f>IF(tips!$C110="Sat",1,0)</f>
        <v>1</v>
      </c>
      <c r="F110" s="1">
        <f>IF(tips!$C110="Thur",1,0)</f>
        <v>0</v>
      </c>
      <c r="G110" s="1">
        <f>IF(tips!D110="Dinner",1,IF(tips!D110="Lunch",0,""))</f>
        <v>1</v>
      </c>
      <c r="H110" s="1">
        <v>2</v>
      </c>
      <c r="I110" s="7">
        <v>18.239999999999998</v>
      </c>
      <c r="J110" s="8">
        <v>3.76</v>
      </c>
    </row>
    <row r="111" spans="1:10" x14ac:dyDescent="0.3">
      <c r="A111" s="1">
        <f>IF(tips!A111="Female",1,IF(tips!A111="Male",0,""))</f>
        <v>1</v>
      </c>
      <c r="B111" s="1">
        <f>IF(tips!B111="Yes",1,IF(tips!B111="No",0,""))</f>
        <v>1</v>
      </c>
      <c r="C111" s="1">
        <f>IF(tips!$C111="Sun",1,0)</f>
        <v>0</v>
      </c>
      <c r="D111" s="1">
        <f>IF(tips!$C111="Fri",1,0)</f>
        <v>0</v>
      </c>
      <c r="E111" s="1">
        <f>IF(tips!$C111="Sat",1,0)</f>
        <v>1</v>
      </c>
      <c r="F111" s="1">
        <f>IF(tips!$C111="Thur",1,0)</f>
        <v>0</v>
      </c>
      <c r="G111" s="1">
        <f>IF(tips!D111="Dinner",1,IF(tips!D111="Lunch",0,""))</f>
        <v>1</v>
      </c>
      <c r="H111" s="1">
        <v>2</v>
      </c>
      <c r="I111" s="7">
        <v>14.31</v>
      </c>
      <c r="J111" s="8">
        <v>4</v>
      </c>
    </row>
    <row r="112" spans="1:10" x14ac:dyDescent="0.3">
      <c r="A112" s="1">
        <f>IF(tips!A112="Female",1,IF(tips!A112="Male",0,""))</f>
        <v>0</v>
      </c>
      <c r="B112" s="1">
        <f>IF(tips!B112="Yes",1,IF(tips!B112="No",0,""))</f>
        <v>0</v>
      </c>
      <c r="C112" s="1">
        <f>IF(tips!$C112="Sun",1,0)</f>
        <v>0</v>
      </c>
      <c r="D112" s="1">
        <f>IF(tips!$C112="Fri",1,0)</f>
        <v>0</v>
      </c>
      <c r="E112" s="1">
        <f>IF(tips!$C112="Sat",1,0)</f>
        <v>1</v>
      </c>
      <c r="F112" s="1">
        <f>IF(tips!$C112="Thur",1,0)</f>
        <v>0</v>
      </c>
      <c r="G112" s="1">
        <f>IF(tips!D112="Dinner",1,IF(tips!D112="Lunch",0,""))</f>
        <v>1</v>
      </c>
      <c r="H112" s="1">
        <v>2</v>
      </c>
      <c r="I112" s="7">
        <v>14</v>
      </c>
      <c r="J112" s="8">
        <v>3</v>
      </c>
    </row>
    <row r="113" spans="1:10" x14ac:dyDescent="0.3">
      <c r="A113" s="1">
        <f>IF(tips!A113="Female",1,IF(tips!A113="Male",0,""))</f>
        <v>1</v>
      </c>
      <c r="B113" s="1">
        <f>IF(tips!B113="Yes",1,IF(tips!B113="No",0,""))</f>
        <v>0</v>
      </c>
      <c r="C113" s="1">
        <f>IF(tips!$C113="Sun",1,0)</f>
        <v>0</v>
      </c>
      <c r="D113" s="1">
        <f>IF(tips!$C113="Fri",1,0)</f>
        <v>0</v>
      </c>
      <c r="E113" s="1">
        <f>IF(tips!$C113="Sat",1,0)</f>
        <v>1</v>
      </c>
      <c r="F113" s="1">
        <f>IF(tips!$C113="Thur",1,0)</f>
        <v>0</v>
      </c>
      <c r="G113" s="1">
        <f>IF(tips!D113="Dinner",1,IF(tips!D113="Lunch",0,""))</f>
        <v>1</v>
      </c>
      <c r="H113" s="1">
        <v>1</v>
      </c>
      <c r="I113" s="7">
        <v>7.25</v>
      </c>
      <c r="J113" s="8">
        <v>1</v>
      </c>
    </row>
    <row r="114" spans="1:10" x14ac:dyDescent="0.3">
      <c r="A114" s="1">
        <f>IF(tips!A114="Female",1,IF(tips!A114="Male",0,""))</f>
        <v>0</v>
      </c>
      <c r="B114" s="1">
        <f>IF(tips!B114="Yes",1,IF(tips!B114="No",0,""))</f>
        <v>0</v>
      </c>
      <c r="C114" s="1">
        <f>IF(tips!$C114="Sun",1,0)</f>
        <v>1</v>
      </c>
      <c r="D114" s="1">
        <f>IF(tips!$C114="Fri",1,0)</f>
        <v>0</v>
      </c>
      <c r="E114" s="1">
        <f>IF(tips!$C114="Sat",1,0)</f>
        <v>0</v>
      </c>
      <c r="F114" s="1">
        <f>IF(tips!$C114="Thur",1,0)</f>
        <v>0</v>
      </c>
      <c r="G114" s="1">
        <f>IF(tips!D114="Dinner",1,IF(tips!D114="Lunch",0,""))</f>
        <v>1</v>
      </c>
      <c r="H114" s="1">
        <v>3</v>
      </c>
      <c r="I114" s="7">
        <v>38.07</v>
      </c>
      <c r="J114" s="8">
        <v>4</v>
      </c>
    </row>
    <row r="115" spans="1:10" x14ac:dyDescent="0.3">
      <c r="A115" s="1">
        <f>IF(tips!A115="Female",1,IF(tips!A115="Male",0,""))</f>
        <v>0</v>
      </c>
      <c r="B115" s="1">
        <f>IF(tips!B115="Yes",1,IF(tips!B115="No",0,""))</f>
        <v>0</v>
      </c>
      <c r="C115" s="1">
        <f>IF(tips!$C115="Sun",1,0)</f>
        <v>1</v>
      </c>
      <c r="D115" s="1">
        <f>IF(tips!$C115="Fri",1,0)</f>
        <v>0</v>
      </c>
      <c r="E115" s="1">
        <f>IF(tips!$C115="Sat",1,0)</f>
        <v>0</v>
      </c>
      <c r="F115" s="1">
        <f>IF(tips!$C115="Thur",1,0)</f>
        <v>0</v>
      </c>
      <c r="G115" s="1">
        <f>IF(tips!D115="Dinner",1,IF(tips!D115="Lunch",0,""))</f>
        <v>1</v>
      </c>
      <c r="H115" s="1">
        <v>2</v>
      </c>
      <c r="I115" s="7">
        <v>23.95</v>
      </c>
      <c r="J115" s="8">
        <v>2.5499999999999998</v>
      </c>
    </row>
    <row r="116" spans="1:10" x14ac:dyDescent="0.3">
      <c r="A116" s="1">
        <f>IF(tips!A116="Female",1,IF(tips!A116="Male",0,""))</f>
        <v>1</v>
      </c>
      <c r="B116" s="1">
        <f>IF(tips!B116="Yes",1,IF(tips!B116="No",0,""))</f>
        <v>0</v>
      </c>
      <c r="C116" s="1">
        <f>IF(tips!$C116="Sun",1,0)</f>
        <v>1</v>
      </c>
      <c r="D116" s="1">
        <f>IF(tips!$C116="Fri",1,0)</f>
        <v>0</v>
      </c>
      <c r="E116" s="1">
        <f>IF(tips!$C116="Sat",1,0)</f>
        <v>0</v>
      </c>
      <c r="F116" s="1">
        <f>IF(tips!$C116="Thur",1,0)</f>
        <v>0</v>
      </c>
      <c r="G116" s="1">
        <f>IF(tips!D116="Dinner",1,IF(tips!D116="Lunch",0,""))</f>
        <v>1</v>
      </c>
      <c r="H116" s="1">
        <v>3</v>
      </c>
      <c r="I116" s="7">
        <v>25.71</v>
      </c>
      <c r="J116" s="8">
        <v>4</v>
      </c>
    </row>
    <row r="117" spans="1:10" x14ac:dyDescent="0.3">
      <c r="A117" s="1">
        <f>IF(tips!A117="Female",1,IF(tips!A117="Male",0,""))</f>
        <v>1</v>
      </c>
      <c r="B117" s="1">
        <f>IF(tips!B117="Yes",1,IF(tips!B117="No",0,""))</f>
        <v>0</v>
      </c>
      <c r="C117" s="1">
        <f>IF(tips!$C117="Sun",1,0)</f>
        <v>1</v>
      </c>
      <c r="D117" s="1">
        <f>IF(tips!$C117="Fri",1,0)</f>
        <v>0</v>
      </c>
      <c r="E117" s="1">
        <f>IF(tips!$C117="Sat",1,0)</f>
        <v>0</v>
      </c>
      <c r="F117" s="1">
        <f>IF(tips!$C117="Thur",1,0)</f>
        <v>0</v>
      </c>
      <c r="G117" s="1">
        <f>IF(tips!D117="Dinner",1,IF(tips!D117="Lunch",0,""))</f>
        <v>1</v>
      </c>
      <c r="H117" s="1">
        <v>2</v>
      </c>
      <c r="I117" s="7">
        <v>17.309999999999999</v>
      </c>
      <c r="J117" s="8">
        <v>3.5</v>
      </c>
    </row>
    <row r="118" spans="1:10" x14ac:dyDescent="0.3">
      <c r="A118" s="1">
        <f>IF(tips!A118="Female",1,IF(tips!A118="Male",0,""))</f>
        <v>0</v>
      </c>
      <c r="B118" s="1">
        <f>IF(tips!B118="Yes",1,IF(tips!B118="No",0,""))</f>
        <v>0</v>
      </c>
      <c r="C118" s="1">
        <f>IF(tips!$C118="Sun",1,0)</f>
        <v>1</v>
      </c>
      <c r="D118" s="1">
        <f>IF(tips!$C118="Fri",1,0)</f>
        <v>0</v>
      </c>
      <c r="E118" s="1">
        <f>IF(tips!$C118="Sat",1,0)</f>
        <v>0</v>
      </c>
      <c r="F118" s="1">
        <f>IF(tips!$C118="Thur",1,0)</f>
        <v>0</v>
      </c>
      <c r="G118" s="1">
        <f>IF(tips!D118="Dinner",1,IF(tips!D118="Lunch",0,""))</f>
        <v>1</v>
      </c>
      <c r="H118" s="1">
        <v>4</v>
      </c>
      <c r="I118" s="7">
        <v>29.93</v>
      </c>
      <c r="J118" s="8">
        <v>5.07</v>
      </c>
    </row>
    <row r="119" spans="1:10" x14ac:dyDescent="0.3">
      <c r="A119" s="1">
        <f>IF(tips!A119="Female",1,IF(tips!A119="Male",0,""))</f>
        <v>1</v>
      </c>
      <c r="B119" s="1">
        <f>IF(tips!B119="Yes",1,IF(tips!B119="No",0,""))</f>
        <v>0</v>
      </c>
      <c r="C119" s="1">
        <f>IF(tips!$C119="Sun",1,0)</f>
        <v>0</v>
      </c>
      <c r="D119" s="1">
        <f>IF(tips!$C119="Fri",1,0)</f>
        <v>0</v>
      </c>
      <c r="E119" s="1">
        <f>IF(tips!$C119="Sat",1,0)</f>
        <v>0</v>
      </c>
      <c r="F119" s="1">
        <f>IF(tips!$C119="Thur",1,0)</f>
        <v>1</v>
      </c>
      <c r="G119" s="1">
        <f>IF(tips!D119="Dinner",1,IF(tips!D119="Lunch",0,""))</f>
        <v>0</v>
      </c>
      <c r="H119" s="1">
        <v>2</v>
      </c>
      <c r="I119" s="7">
        <v>10.65</v>
      </c>
      <c r="J119" s="8">
        <v>1.5</v>
      </c>
    </row>
    <row r="120" spans="1:10" x14ac:dyDescent="0.3">
      <c r="A120" s="1">
        <f>IF(tips!A120="Female",1,IF(tips!A120="Male",0,""))</f>
        <v>1</v>
      </c>
      <c r="B120" s="1">
        <f>IF(tips!B120="Yes",1,IF(tips!B120="No",0,""))</f>
        <v>0</v>
      </c>
      <c r="C120" s="1">
        <f>IF(tips!$C120="Sun",1,0)</f>
        <v>0</v>
      </c>
      <c r="D120" s="1">
        <f>IF(tips!$C120="Fri",1,0)</f>
        <v>0</v>
      </c>
      <c r="E120" s="1">
        <f>IF(tips!$C120="Sat",1,0)</f>
        <v>0</v>
      </c>
      <c r="F120" s="1">
        <f>IF(tips!$C120="Thur",1,0)</f>
        <v>1</v>
      </c>
      <c r="G120" s="1">
        <f>IF(tips!D120="Dinner",1,IF(tips!D120="Lunch",0,""))</f>
        <v>0</v>
      </c>
      <c r="H120" s="1">
        <v>2</v>
      </c>
      <c r="I120" s="7">
        <v>12.43</v>
      </c>
      <c r="J120" s="8">
        <v>1.8</v>
      </c>
    </row>
    <row r="121" spans="1:10" x14ac:dyDescent="0.3">
      <c r="A121" s="1">
        <f>IF(tips!A121="Female",1,IF(tips!A121="Male",0,""))</f>
        <v>1</v>
      </c>
      <c r="B121" s="1">
        <f>IF(tips!B121="Yes",1,IF(tips!B121="No",0,""))</f>
        <v>0</v>
      </c>
      <c r="C121" s="1">
        <f>IF(tips!$C121="Sun",1,0)</f>
        <v>0</v>
      </c>
      <c r="D121" s="1">
        <f>IF(tips!$C121="Fri",1,0)</f>
        <v>0</v>
      </c>
      <c r="E121" s="1">
        <f>IF(tips!$C121="Sat",1,0)</f>
        <v>0</v>
      </c>
      <c r="F121" s="1">
        <f>IF(tips!$C121="Thur",1,0)</f>
        <v>1</v>
      </c>
      <c r="G121" s="1">
        <f>IF(tips!D121="Dinner",1,IF(tips!D121="Lunch",0,""))</f>
        <v>0</v>
      </c>
      <c r="H121" s="1">
        <v>4</v>
      </c>
      <c r="I121" s="7">
        <v>24.08</v>
      </c>
      <c r="J121" s="8">
        <v>2.92</v>
      </c>
    </row>
    <row r="122" spans="1:10" x14ac:dyDescent="0.3">
      <c r="A122" s="1">
        <f>IF(tips!A122="Female",1,IF(tips!A122="Male",0,""))</f>
        <v>0</v>
      </c>
      <c r="B122" s="1">
        <f>IF(tips!B122="Yes",1,IF(tips!B122="No",0,""))</f>
        <v>0</v>
      </c>
      <c r="C122" s="1">
        <f>IF(tips!$C122="Sun",1,0)</f>
        <v>0</v>
      </c>
      <c r="D122" s="1">
        <f>IF(tips!$C122="Fri",1,0)</f>
        <v>0</v>
      </c>
      <c r="E122" s="1">
        <f>IF(tips!$C122="Sat",1,0)</f>
        <v>0</v>
      </c>
      <c r="F122" s="1">
        <f>IF(tips!$C122="Thur",1,0)</f>
        <v>1</v>
      </c>
      <c r="G122" s="1">
        <f>IF(tips!D122="Dinner",1,IF(tips!D122="Lunch",0,""))</f>
        <v>0</v>
      </c>
      <c r="H122" s="1">
        <v>2</v>
      </c>
      <c r="I122" s="7">
        <v>11.69</v>
      </c>
      <c r="J122" s="8">
        <v>2.31</v>
      </c>
    </row>
    <row r="123" spans="1:10" x14ac:dyDescent="0.3">
      <c r="A123" s="1">
        <f>IF(tips!A123="Female",1,IF(tips!A123="Male",0,""))</f>
        <v>1</v>
      </c>
      <c r="B123" s="1">
        <f>IF(tips!B123="Yes",1,IF(tips!B123="No",0,""))</f>
        <v>0</v>
      </c>
      <c r="C123" s="1">
        <f>IF(tips!$C123="Sun",1,0)</f>
        <v>0</v>
      </c>
      <c r="D123" s="1">
        <f>IF(tips!$C123="Fri",1,0)</f>
        <v>0</v>
      </c>
      <c r="E123" s="1">
        <f>IF(tips!$C123="Sat",1,0)</f>
        <v>0</v>
      </c>
      <c r="F123" s="1">
        <f>IF(tips!$C123="Thur",1,0)</f>
        <v>1</v>
      </c>
      <c r="G123" s="1">
        <f>IF(tips!D123="Dinner",1,IF(tips!D123="Lunch",0,""))</f>
        <v>0</v>
      </c>
      <c r="H123" s="1">
        <v>2</v>
      </c>
      <c r="I123" s="7">
        <v>13.42</v>
      </c>
      <c r="J123" s="8">
        <v>1.68</v>
      </c>
    </row>
    <row r="124" spans="1:10" x14ac:dyDescent="0.3">
      <c r="A124" s="1">
        <f>IF(tips!A124="Female",1,IF(tips!A124="Male",0,""))</f>
        <v>0</v>
      </c>
      <c r="B124" s="1">
        <f>IF(tips!B124="Yes",1,IF(tips!B124="No",0,""))</f>
        <v>0</v>
      </c>
      <c r="C124" s="1">
        <f>IF(tips!$C124="Sun",1,0)</f>
        <v>0</v>
      </c>
      <c r="D124" s="1">
        <f>IF(tips!$C124="Fri",1,0)</f>
        <v>0</v>
      </c>
      <c r="E124" s="1">
        <f>IF(tips!$C124="Sat",1,0)</f>
        <v>0</v>
      </c>
      <c r="F124" s="1">
        <f>IF(tips!$C124="Thur",1,0)</f>
        <v>1</v>
      </c>
      <c r="G124" s="1">
        <f>IF(tips!D124="Dinner",1,IF(tips!D124="Lunch",0,""))</f>
        <v>0</v>
      </c>
      <c r="H124" s="1">
        <v>2</v>
      </c>
      <c r="I124" s="7">
        <v>14.26</v>
      </c>
      <c r="J124" s="8">
        <v>2.5</v>
      </c>
    </row>
    <row r="125" spans="1:10" x14ac:dyDescent="0.3">
      <c r="A125" s="1">
        <f>IF(tips!A125="Female",1,IF(tips!A125="Male",0,""))</f>
        <v>0</v>
      </c>
      <c r="B125" s="1">
        <f>IF(tips!B125="Yes",1,IF(tips!B125="No",0,""))</f>
        <v>0</v>
      </c>
      <c r="C125" s="1">
        <f>IF(tips!$C125="Sun",1,0)</f>
        <v>0</v>
      </c>
      <c r="D125" s="1">
        <f>IF(tips!$C125="Fri",1,0)</f>
        <v>0</v>
      </c>
      <c r="E125" s="1">
        <f>IF(tips!$C125="Sat",1,0)</f>
        <v>0</v>
      </c>
      <c r="F125" s="1">
        <f>IF(tips!$C125="Thur",1,0)</f>
        <v>1</v>
      </c>
      <c r="G125" s="1">
        <f>IF(tips!D125="Dinner",1,IF(tips!D125="Lunch",0,""))</f>
        <v>0</v>
      </c>
      <c r="H125" s="1">
        <v>2</v>
      </c>
      <c r="I125" s="7">
        <v>15.95</v>
      </c>
      <c r="J125" s="8">
        <v>2</v>
      </c>
    </row>
    <row r="126" spans="1:10" x14ac:dyDescent="0.3">
      <c r="A126" s="1">
        <f>IF(tips!A126="Female",1,IF(tips!A126="Male",0,""))</f>
        <v>1</v>
      </c>
      <c r="B126" s="1">
        <f>IF(tips!B126="Yes",1,IF(tips!B126="No",0,""))</f>
        <v>0</v>
      </c>
      <c r="C126" s="1">
        <f>IF(tips!$C126="Sun",1,0)</f>
        <v>0</v>
      </c>
      <c r="D126" s="1">
        <f>IF(tips!$C126="Fri",1,0)</f>
        <v>0</v>
      </c>
      <c r="E126" s="1">
        <f>IF(tips!$C126="Sat",1,0)</f>
        <v>0</v>
      </c>
      <c r="F126" s="1">
        <f>IF(tips!$C126="Thur",1,0)</f>
        <v>1</v>
      </c>
      <c r="G126" s="1">
        <f>IF(tips!D126="Dinner",1,IF(tips!D126="Lunch",0,""))</f>
        <v>0</v>
      </c>
      <c r="H126" s="1">
        <v>2</v>
      </c>
      <c r="I126" s="7">
        <v>12.48</v>
      </c>
      <c r="J126" s="8">
        <v>2.52</v>
      </c>
    </row>
    <row r="127" spans="1:10" x14ac:dyDescent="0.3">
      <c r="A127" s="1">
        <f>IF(tips!A127="Female",1,IF(tips!A127="Male",0,""))</f>
        <v>1</v>
      </c>
      <c r="B127" s="1">
        <f>IF(tips!B127="Yes",1,IF(tips!B127="No",0,""))</f>
        <v>0</v>
      </c>
      <c r="C127" s="1">
        <f>IF(tips!$C127="Sun",1,0)</f>
        <v>0</v>
      </c>
      <c r="D127" s="1">
        <f>IF(tips!$C127="Fri",1,0)</f>
        <v>0</v>
      </c>
      <c r="E127" s="1">
        <f>IF(tips!$C127="Sat",1,0)</f>
        <v>0</v>
      </c>
      <c r="F127" s="1">
        <f>IF(tips!$C127="Thur",1,0)</f>
        <v>1</v>
      </c>
      <c r="G127" s="1">
        <f>IF(tips!D127="Dinner",1,IF(tips!D127="Lunch",0,""))</f>
        <v>0</v>
      </c>
      <c r="H127" s="1">
        <v>6</v>
      </c>
      <c r="I127" s="7">
        <v>29.8</v>
      </c>
      <c r="J127" s="8">
        <v>4.2</v>
      </c>
    </row>
    <row r="128" spans="1:10" x14ac:dyDescent="0.3">
      <c r="A128" s="1">
        <f>IF(tips!A128="Female",1,IF(tips!A128="Male",0,""))</f>
        <v>0</v>
      </c>
      <c r="B128" s="1">
        <f>IF(tips!B128="Yes",1,IF(tips!B128="No",0,""))</f>
        <v>0</v>
      </c>
      <c r="C128" s="1">
        <f>IF(tips!$C128="Sun",1,0)</f>
        <v>0</v>
      </c>
      <c r="D128" s="1">
        <f>IF(tips!$C128="Fri",1,0)</f>
        <v>0</v>
      </c>
      <c r="E128" s="1">
        <f>IF(tips!$C128="Sat",1,0)</f>
        <v>0</v>
      </c>
      <c r="F128" s="1">
        <f>IF(tips!$C128="Thur",1,0)</f>
        <v>1</v>
      </c>
      <c r="G128" s="1">
        <f>IF(tips!D128="Dinner",1,IF(tips!D128="Lunch",0,""))</f>
        <v>0</v>
      </c>
      <c r="H128" s="1">
        <v>2</v>
      </c>
      <c r="I128" s="7">
        <v>8.52</v>
      </c>
      <c r="J128" s="8">
        <v>1.48</v>
      </c>
    </row>
    <row r="129" spans="1:10" x14ac:dyDescent="0.3">
      <c r="A129" s="1">
        <f>IF(tips!A129="Female",1,IF(tips!A129="Male",0,""))</f>
        <v>1</v>
      </c>
      <c r="B129" s="1">
        <f>IF(tips!B129="Yes",1,IF(tips!B129="No",0,""))</f>
        <v>0</v>
      </c>
      <c r="C129" s="1">
        <f>IF(tips!$C129="Sun",1,0)</f>
        <v>0</v>
      </c>
      <c r="D129" s="1">
        <f>IF(tips!$C129="Fri",1,0)</f>
        <v>0</v>
      </c>
      <c r="E129" s="1">
        <f>IF(tips!$C129="Sat",1,0)</f>
        <v>0</v>
      </c>
      <c r="F129" s="1">
        <f>IF(tips!$C129="Thur",1,0)</f>
        <v>1</v>
      </c>
      <c r="G129" s="1">
        <f>IF(tips!D129="Dinner",1,IF(tips!D129="Lunch",0,""))</f>
        <v>0</v>
      </c>
      <c r="H129" s="1">
        <v>2</v>
      </c>
      <c r="I129" s="7">
        <v>14.52</v>
      </c>
      <c r="J129" s="8">
        <v>2</v>
      </c>
    </row>
    <row r="130" spans="1:10" x14ac:dyDescent="0.3">
      <c r="A130" s="1">
        <f>IF(tips!A130="Female",1,IF(tips!A130="Male",0,""))</f>
        <v>1</v>
      </c>
      <c r="B130" s="1">
        <f>IF(tips!B130="Yes",1,IF(tips!B130="No",0,""))</f>
        <v>0</v>
      </c>
      <c r="C130" s="1">
        <f>IF(tips!$C130="Sun",1,0)</f>
        <v>0</v>
      </c>
      <c r="D130" s="1">
        <f>IF(tips!$C130="Fri",1,0)</f>
        <v>0</v>
      </c>
      <c r="E130" s="1">
        <f>IF(tips!$C130="Sat",1,0)</f>
        <v>0</v>
      </c>
      <c r="F130" s="1">
        <f>IF(tips!$C130="Thur",1,0)</f>
        <v>1</v>
      </c>
      <c r="G130" s="1">
        <f>IF(tips!D130="Dinner",1,IF(tips!D130="Lunch",0,""))</f>
        <v>0</v>
      </c>
      <c r="H130" s="1">
        <v>2</v>
      </c>
      <c r="I130" s="7">
        <v>11.38</v>
      </c>
      <c r="J130" s="8">
        <v>2</v>
      </c>
    </row>
    <row r="131" spans="1:10" x14ac:dyDescent="0.3">
      <c r="A131" s="1">
        <f>IF(tips!A131="Female",1,IF(tips!A131="Male",0,""))</f>
        <v>0</v>
      </c>
      <c r="B131" s="1">
        <f>IF(tips!B131="Yes",1,IF(tips!B131="No",0,""))</f>
        <v>0</v>
      </c>
      <c r="C131" s="1">
        <f>IF(tips!$C131="Sun",1,0)</f>
        <v>0</v>
      </c>
      <c r="D131" s="1">
        <f>IF(tips!$C131="Fri",1,0)</f>
        <v>0</v>
      </c>
      <c r="E131" s="1">
        <f>IF(tips!$C131="Sat",1,0)</f>
        <v>0</v>
      </c>
      <c r="F131" s="1">
        <f>IF(tips!$C131="Thur",1,0)</f>
        <v>1</v>
      </c>
      <c r="G131" s="1">
        <f>IF(tips!D131="Dinner",1,IF(tips!D131="Lunch",0,""))</f>
        <v>0</v>
      </c>
      <c r="H131" s="1">
        <v>3</v>
      </c>
      <c r="I131" s="7">
        <v>22.82</v>
      </c>
      <c r="J131" s="8">
        <v>2.1800000000000002</v>
      </c>
    </row>
    <row r="132" spans="1:10" x14ac:dyDescent="0.3">
      <c r="A132" s="1">
        <f>IF(tips!A132="Female",1,IF(tips!A132="Male",0,""))</f>
        <v>0</v>
      </c>
      <c r="B132" s="1">
        <f>IF(tips!B132="Yes",1,IF(tips!B132="No",0,""))</f>
        <v>0</v>
      </c>
      <c r="C132" s="1">
        <f>IF(tips!$C132="Sun",1,0)</f>
        <v>0</v>
      </c>
      <c r="D132" s="1">
        <f>IF(tips!$C132="Fri",1,0)</f>
        <v>0</v>
      </c>
      <c r="E132" s="1">
        <f>IF(tips!$C132="Sat",1,0)</f>
        <v>0</v>
      </c>
      <c r="F132" s="1">
        <f>IF(tips!$C132="Thur",1,0)</f>
        <v>1</v>
      </c>
      <c r="G132" s="1">
        <f>IF(tips!D132="Dinner",1,IF(tips!D132="Lunch",0,""))</f>
        <v>0</v>
      </c>
      <c r="H132" s="1">
        <v>2</v>
      </c>
      <c r="I132" s="7">
        <v>19.079999999999998</v>
      </c>
      <c r="J132" s="8">
        <v>1.5</v>
      </c>
    </row>
    <row r="133" spans="1:10" x14ac:dyDescent="0.3">
      <c r="A133" s="1">
        <f>IF(tips!A133="Female",1,IF(tips!A133="Male",0,""))</f>
        <v>1</v>
      </c>
      <c r="B133" s="1">
        <f>IF(tips!B133="Yes",1,IF(tips!B133="No",0,""))</f>
        <v>0</v>
      </c>
      <c r="C133" s="1">
        <f>IF(tips!$C133="Sun",1,0)</f>
        <v>0</v>
      </c>
      <c r="D133" s="1">
        <f>IF(tips!$C133="Fri",1,0)</f>
        <v>0</v>
      </c>
      <c r="E133" s="1">
        <f>IF(tips!$C133="Sat",1,0)</f>
        <v>0</v>
      </c>
      <c r="F133" s="1">
        <f>IF(tips!$C133="Thur",1,0)</f>
        <v>1</v>
      </c>
      <c r="G133" s="1">
        <f>IF(tips!D133="Dinner",1,IF(tips!D133="Lunch",0,""))</f>
        <v>0</v>
      </c>
      <c r="H133" s="1">
        <v>2</v>
      </c>
      <c r="I133" s="7">
        <v>20.27</v>
      </c>
      <c r="J133" s="8">
        <v>2.83</v>
      </c>
    </row>
    <row r="134" spans="1:10" x14ac:dyDescent="0.3">
      <c r="A134" s="1">
        <f>IF(tips!A134="Female",1,IF(tips!A134="Male",0,""))</f>
        <v>1</v>
      </c>
      <c r="B134" s="1">
        <f>IF(tips!B134="Yes",1,IF(tips!B134="No",0,""))</f>
        <v>0</v>
      </c>
      <c r="C134" s="1">
        <f>IF(tips!$C134="Sun",1,0)</f>
        <v>0</v>
      </c>
      <c r="D134" s="1">
        <f>IF(tips!$C134="Fri",1,0)</f>
        <v>0</v>
      </c>
      <c r="E134" s="1">
        <f>IF(tips!$C134="Sat",1,0)</f>
        <v>0</v>
      </c>
      <c r="F134" s="1">
        <f>IF(tips!$C134="Thur",1,0)</f>
        <v>1</v>
      </c>
      <c r="G134" s="1">
        <f>IF(tips!D134="Dinner",1,IF(tips!D134="Lunch",0,""))</f>
        <v>0</v>
      </c>
      <c r="H134" s="1">
        <v>2</v>
      </c>
      <c r="I134" s="7">
        <v>11.17</v>
      </c>
      <c r="J134" s="8">
        <v>1.5</v>
      </c>
    </row>
    <row r="135" spans="1:10" x14ac:dyDescent="0.3">
      <c r="A135" s="1">
        <f>IF(tips!A135="Female",1,IF(tips!A135="Male",0,""))</f>
        <v>1</v>
      </c>
      <c r="B135" s="1">
        <f>IF(tips!B135="Yes",1,IF(tips!B135="No",0,""))</f>
        <v>0</v>
      </c>
      <c r="C135" s="1">
        <f>IF(tips!$C135="Sun",1,0)</f>
        <v>0</v>
      </c>
      <c r="D135" s="1">
        <f>IF(tips!$C135="Fri",1,0)</f>
        <v>0</v>
      </c>
      <c r="E135" s="1">
        <f>IF(tips!$C135="Sat",1,0)</f>
        <v>0</v>
      </c>
      <c r="F135" s="1">
        <f>IF(tips!$C135="Thur",1,0)</f>
        <v>1</v>
      </c>
      <c r="G135" s="1">
        <f>IF(tips!D135="Dinner",1,IF(tips!D135="Lunch",0,""))</f>
        <v>0</v>
      </c>
      <c r="H135" s="1">
        <v>2</v>
      </c>
      <c r="I135" s="7">
        <v>12.26</v>
      </c>
      <c r="J135" s="8">
        <v>2</v>
      </c>
    </row>
    <row r="136" spans="1:10" x14ac:dyDescent="0.3">
      <c r="A136" s="1">
        <f>IF(tips!A136="Female",1,IF(tips!A136="Male",0,""))</f>
        <v>1</v>
      </c>
      <c r="B136" s="1">
        <f>IF(tips!B136="Yes",1,IF(tips!B136="No",0,""))</f>
        <v>0</v>
      </c>
      <c r="C136" s="1">
        <f>IF(tips!$C136="Sun",1,0)</f>
        <v>0</v>
      </c>
      <c r="D136" s="1">
        <f>IF(tips!$C136="Fri",1,0)</f>
        <v>0</v>
      </c>
      <c r="E136" s="1">
        <f>IF(tips!$C136="Sat",1,0)</f>
        <v>0</v>
      </c>
      <c r="F136" s="1">
        <f>IF(tips!$C136="Thur",1,0)</f>
        <v>1</v>
      </c>
      <c r="G136" s="1">
        <f>IF(tips!D136="Dinner",1,IF(tips!D136="Lunch",0,""))</f>
        <v>0</v>
      </c>
      <c r="H136" s="1">
        <v>2</v>
      </c>
      <c r="I136" s="7">
        <v>18.260000000000002</v>
      </c>
      <c r="J136" s="8">
        <v>3.25</v>
      </c>
    </row>
    <row r="137" spans="1:10" x14ac:dyDescent="0.3">
      <c r="A137" s="1">
        <f>IF(tips!A137="Female",1,IF(tips!A137="Male",0,""))</f>
        <v>1</v>
      </c>
      <c r="B137" s="1">
        <f>IF(tips!B137="Yes",1,IF(tips!B137="No",0,""))</f>
        <v>0</v>
      </c>
      <c r="C137" s="1">
        <f>IF(tips!$C137="Sun",1,0)</f>
        <v>0</v>
      </c>
      <c r="D137" s="1">
        <f>IF(tips!$C137="Fri",1,0)</f>
        <v>0</v>
      </c>
      <c r="E137" s="1">
        <f>IF(tips!$C137="Sat",1,0)</f>
        <v>0</v>
      </c>
      <c r="F137" s="1">
        <f>IF(tips!$C137="Thur",1,0)</f>
        <v>1</v>
      </c>
      <c r="G137" s="1">
        <f>IF(tips!D137="Dinner",1,IF(tips!D137="Lunch",0,""))</f>
        <v>0</v>
      </c>
      <c r="H137" s="1">
        <v>2</v>
      </c>
      <c r="I137" s="7">
        <v>8.51</v>
      </c>
      <c r="J137" s="8">
        <v>1.25</v>
      </c>
    </row>
    <row r="138" spans="1:10" x14ac:dyDescent="0.3">
      <c r="A138" s="1">
        <f>IF(tips!A138="Female",1,IF(tips!A138="Male",0,""))</f>
        <v>1</v>
      </c>
      <c r="B138" s="1">
        <f>IF(tips!B138="Yes",1,IF(tips!B138="No",0,""))</f>
        <v>0</v>
      </c>
      <c r="C138" s="1">
        <f>IF(tips!$C138="Sun",1,0)</f>
        <v>0</v>
      </c>
      <c r="D138" s="1">
        <f>IF(tips!$C138="Fri",1,0)</f>
        <v>0</v>
      </c>
      <c r="E138" s="1">
        <f>IF(tips!$C138="Sat",1,0)</f>
        <v>0</v>
      </c>
      <c r="F138" s="1">
        <f>IF(tips!$C138="Thur",1,0)</f>
        <v>1</v>
      </c>
      <c r="G138" s="1">
        <f>IF(tips!D138="Dinner",1,IF(tips!D138="Lunch",0,""))</f>
        <v>0</v>
      </c>
      <c r="H138" s="1">
        <v>2</v>
      </c>
      <c r="I138" s="7">
        <v>10.33</v>
      </c>
      <c r="J138" s="8">
        <v>2</v>
      </c>
    </row>
    <row r="139" spans="1:10" x14ac:dyDescent="0.3">
      <c r="A139" s="1">
        <f>IF(tips!A139="Female",1,IF(tips!A139="Male",0,""))</f>
        <v>1</v>
      </c>
      <c r="B139" s="1">
        <f>IF(tips!B139="Yes",1,IF(tips!B139="No",0,""))</f>
        <v>0</v>
      </c>
      <c r="C139" s="1">
        <f>IF(tips!$C139="Sun",1,0)</f>
        <v>0</v>
      </c>
      <c r="D139" s="1">
        <f>IF(tips!$C139="Fri",1,0)</f>
        <v>0</v>
      </c>
      <c r="E139" s="1">
        <f>IF(tips!$C139="Sat",1,0)</f>
        <v>0</v>
      </c>
      <c r="F139" s="1">
        <f>IF(tips!$C139="Thur",1,0)</f>
        <v>1</v>
      </c>
      <c r="G139" s="1">
        <f>IF(tips!D139="Dinner",1,IF(tips!D139="Lunch",0,""))</f>
        <v>0</v>
      </c>
      <c r="H139" s="1">
        <v>2</v>
      </c>
      <c r="I139" s="7">
        <v>14.15</v>
      </c>
      <c r="J139" s="8">
        <v>2</v>
      </c>
    </row>
    <row r="140" spans="1:10" x14ac:dyDescent="0.3">
      <c r="A140" s="1">
        <f>IF(tips!A140="Female",1,IF(tips!A140="Male",0,""))</f>
        <v>0</v>
      </c>
      <c r="B140" s="1">
        <f>IF(tips!B140="Yes",1,IF(tips!B140="No",0,""))</f>
        <v>1</v>
      </c>
      <c r="C140" s="1">
        <f>IF(tips!$C140="Sun",1,0)</f>
        <v>0</v>
      </c>
      <c r="D140" s="1">
        <f>IF(tips!$C140="Fri",1,0)</f>
        <v>0</v>
      </c>
      <c r="E140" s="1">
        <f>IF(tips!$C140="Sat",1,0)</f>
        <v>0</v>
      </c>
      <c r="F140" s="1">
        <f>IF(tips!$C140="Thur",1,0)</f>
        <v>1</v>
      </c>
      <c r="G140" s="1">
        <f>IF(tips!D140="Dinner",1,IF(tips!D140="Lunch",0,""))</f>
        <v>0</v>
      </c>
      <c r="H140" s="1">
        <v>2</v>
      </c>
      <c r="I140" s="7">
        <v>16</v>
      </c>
      <c r="J140" s="8">
        <v>2</v>
      </c>
    </row>
    <row r="141" spans="1:10" x14ac:dyDescent="0.3">
      <c r="A141" s="1">
        <f>IF(tips!A141="Female",1,IF(tips!A141="Male",0,""))</f>
        <v>1</v>
      </c>
      <c r="B141" s="1">
        <f>IF(tips!B141="Yes",1,IF(tips!B141="No",0,""))</f>
        <v>0</v>
      </c>
      <c r="C141" s="1">
        <f>IF(tips!$C141="Sun",1,0)</f>
        <v>0</v>
      </c>
      <c r="D141" s="1">
        <f>IF(tips!$C141="Fri",1,0)</f>
        <v>0</v>
      </c>
      <c r="E141" s="1">
        <f>IF(tips!$C141="Sat",1,0)</f>
        <v>0</v>
      </c>
      <c r="F141" s="1">
        <f>IF(tips!$C141="Thur",1,0)</f>
        <v>1</v>
      </c>
      <c r="G141" s="1">
        <f>IF(tips!D141="Dinner",1,IF(tips!D141="Lunch",0,""))</f>
        <v>0</v>
      </c>
      <c r="H141" s="1">
        <v>2</v>
      </c>
      <c r="I141" s="7">
        <v>13.16</v>
      </c>
      <c r="J141" s="8">
        <v>2.75</v>
      </c>
    </row>
    <row r="142" spans="1:10" x14ac:dyDescent="0.3">
      <c r="A142" s="1">
        <f>IF(tips!A142="Female",1,IF(tips!A142="Male",0,""))</f>
        <v>1</v>
      </c>
      <c r="B142" s="1">
        <f>IF(tips!B142="Yes",1,IF(tips!B142="No",0,""))</f>
        <v>0</v>
      </c>
      <c r="C142" s="1">
        <f>IF(tips!$C142="Sun",1,0)</f>
        <v>0</v>
      </c>
      <c r="D142" s="1">
        <f>IF(tips!$C142="Fri",1,0)</f>
        <v>0</v>
      </c>
      <c r="E142" s="1">
        <f>IF(tips!$C142="Sat",1,0)</f>
        <v>0</v>
      </c>
      <c r="F142" s="1">
        <f>IF(tips!$C142="Thur",1,0)</f>
        <v>1</v>
      </c>
      <c r="G142" s="1">
        <f>IF(tips!D142="Dinner",1,IF(tips!D142="Lunch",0,""))</f>
        <v>0</v>
      </c>
      <c r="H142" s="1">
        <v>2</v>
      </c>
      <c r="I142" s="7">
        <v>17.47</v>
      </c>
      <c r="J142" s="8">
        <v>3.5</v>
      </c>
    </row>
    <row r="143" spans="1:10" x14ac:dyDescent="0.3">
      <c r="A143" s="1">
        <f>IF(tips!A143="Female",1,IF(tips!A143="Male",0,""))</f>
        <v>0</v>
      </c>
      <c r="B143" s="1">
        <f>IF(tips!B143="Yes",1,IF(tips!B143="No",0,""))</f>
        <v>0</v>
      </c>
      <c r="C143" s="1">
        <f>IF(tips!$C143="Sun",1,0)</f>
        <v>0</v>
      </c>
      <c r="D143" s="1">
        <f>IF(tips!$C143="Fri",1,0)</f>
        <v>0</v>
      </c>
      <c r="E143" s="1">
        <f>IF(tips!$C143="Sat",1,0)</f>
        <v>0</v>
      </c>
      <c r="F143" s="1">
        <f>IF(tips!$C143="Thur",1,0)</f>
        <v>1</v>
      </c>
      <c r="G143" s="1">
        <f>IF(tips!D143="Dinner",1,IF(tips!D143="Lunch",0,""))</f>
        <v>0</v>
      </c>
      <c r="H143" s="1">
        <v>6</v>
      </c>
      <c r="I143" s="7">
        <v>34.299999999999997</v>
      </c>
      <c r="J143" s="8">
        <v>6.7</v>
      </c>
    </row>
    <row r="144" spans="1:10" x14ac:dyDescent="0.3">
      <c r="A144" s="1">
        <f>IF(tips!A144="Female",1,IF(tips!A144="Male",0,""))</f>
        <v>0</v>
      </c>
      <c r="B144" s="1">
        <f>IF(tips!B144="Yes",1,IF(tips!B144="No",0,""))</f>
        <v>0</v>
      </c>
      <c r="C144" s="1">
        <f>IF(tips!$C144="Sun",1,0)</f>
        <v>0</v>
      </c>
      <c r="D144" s="1">
        <f>IF(tips!$C144="Fri",1,0)</f>
        <v>0</v>
      </c>
      <c r="E144" s="1">
        <f>IF(tips!$C144="Sat",1,0)</f>
        <v>0</v>
      </c>
      <c r="F144" s="1">
        <f>IF(tips!$C144="Thur",1,0)</f>
        <v>1</v>
      </c>
      <c r="G144" s="1">
        <f>IF(tips!D144="Dinner",1,IF(tips!D144="Lunch",0,""))</f>
        <v>0</v>
      </c>
      <c r="H144" s="1">
        <v>5</v>
      </c>
      <c r="I144" s="7">
        <v>41.19</v>
      </c>
      <c r="J144" s="8">
        <v>5</v>
      </c>
    </row>
    <row r="145" spans="1:10" x14ac:dyDescent="0.3">
      <c r="A145" s="1">
        <f>IF(tips!A145="Female",1,IF(tips!A145="Male",0,""))</f>
        <v>1</v>
      </c>
      <c r="B145" s="1">
        <f>IF(tips!B145="Yes",1,IF(tips!B145="No",0,""))</f>
        <v>0</v>
      </c>
      <c r="C145" s="1">
        <f>IF(tips!$C145="Sun",1,0)</f>
        <v>0</v>
      </c>
      <c r="D145" s="1">
        <f>IF(tips!$C145="Fri",1,0)</f>
        <v>0</v>
      </c>
      <c r="E145" s="1">
        <f>IF(tips!$C145="Sat",1,0)</f>
        <v>0</v>
      </c>
      <c r="F145" s="1">
        <f>IF(tips!$C145="Thur",1,0)</f>
        <v>1</v>
      </c>
      <c r="G145" s="1">
        <f>IF(tips!D145="Dinner",1,IF(tips!D145="Lunch",0,""))</f>
        <v>0</v>
      </c>
      <c r="H145" s="1">
        <v>6</v>
      </c>
      <c r="I145" s="7">
        <v>27.05</v>
      </c>
      <c r="J145" s="8">
        <v>5</v>
      </c>
    </row>
    <row r="146" spans="1:10" x14ac:dyDescent="0.3">
      <c r="A146" s="1">
        <f>IF(tips!A146="Female",1,IF(tips!A146="Male",0,""))</f>
        <v>1</v>
      </c>
      <c r="B146" s="1">
        <f>IF(tips!B146="Yes",1,IF(tips!B146="No",0,""))</f>
        <v>0</v>
      </c>
      <c r="C146" s="1">
        <f>IF(tips!$C146="Sun",1,0)</f>
        <v>0</v>
      </c>
      <c r="D146" s="1">
        <f>IF(tips!$C146="Fri",1,0)</f>
        <v>0</v>
      </c>
      <c r="E146" s="1">
        <f>IF(tips!$C146="Sat",1,0)</f>
        <v>0</v>
      </c>
      <c r="F146" s="1">
        <f>IF(tips!$C146="Thur",1,0)</f>
        <v>1</v>
      </c>
      <c r="G146" s="1">
        <f>IF(tips!D146="Dinner",1,IF(tips!D146="Lunch",0,""))</f>
        <v>0</v>
      </c>
      <c r="H146" s="1">
        <v>2</v>
      </c>
      <c r="I146" s="7">
        <v>16.43</v>
      </c>
      <c r="J146" s="8">
        <v>2.2999999999999998</v>
      </c>
    </row>
    <row r="147" spans="1:10" x14ac:dyDescent="0.3">
      <c r="A147" s="1">
        <f>IF(tips!A147="Female",1,IF(tips!A147="Male",0,""))</f>
        <v>1</v>
      </c>
      <c r="B147" s="1">
        <f>IF(tips!B147="Yes",1,IF(tips!B147="No",0,""))</f>
        <v>0</v>
      </c>
      <c r="C147" s="1">
        <f>IF(tips!$C147="Sun",1,0)</f>
        <v>0</v>
      </c>
      <c r="D147" s="1">
        <f>IF(tips!$C147="Fri",1,0)</f>
        <v>0</v>
      </c>
      <c r="E147" s="1">
        <f>IF(tips!$C147="Sat",1,0)</f>
        <v>0</v>
      </c>
      <c r="F147" s="1">
        <f>IF(tips!$C147="Thur",1,0)</f>
        <v>1</v>
      </c>
      <c r="G147" s="1">
        <f>IF(tips!D147="Dinner",1,IF(tips!D147="Lunch",0,""))</f>
        <v>0</v>
      </c>
      <c r="H147" s="1">
        <v>2</v>
      </c>
      <c r="I147" s="7">
        <v>8.35</v>
      </c>
      <c r="J147" s="8">
        <v>1.5</v>
      </c>
    </row>
    <row r="148" spans="1:10" x14ac:dyDescent="0.3">
      <c r="A148" s="1">
        <f>IF(tips!A148="Female",1,IF(tips!A148="Male",0,""))</f>
        <v>1</v>
      </c>
      <c r="B148" s="1">
        <f>IF(tips!B148="Yes",1,IF(tips!B148="No",0,""))</f>
        <v>0</v>
      </c>
      <c r="C148" s="1">
        <f>IF(tips!$C148="Sun",1,0)</f>
        <v>0</v>
      </c>
      <c r="D148" s="1">
        <f>IF(tips!$C148="Fri",1,0)</f>
        <v>0</v>
      </c>
      <c r="E148" s="1">
        <f>IF(tips!$C148="Sat",1,0)</f>
        <v>0</v>
      </c>
      <c r="F148" s="1">
        <f>IF(tips!$C148="Thur",1,0)</f>
        <v>1</v>
      </c>
      <c r="G148" s="1">
        <f>IF(tips!D148="Dinner",1,IF(tips!D148="Lunch",0,""))</f>
        <v>0</v>
      </c>
      <c r="H148" s="1">
        <v>3</v>
      </c>
      <c r="I148" s="7">
        <v>18.64</v>
      </c>
      <c r="J148" s="8">
        <v>1.36</v>
      </c>
    </row>
    <row r="149" spans="1:10" x14ac:dyDescent="0.3">
      <c r="A149" s="1">
        <f>IF(tips!A149="Female",1,IF(tips!A149="Male",0,""))</f>
        <v>1</v>
      </c>
      <c r="B149" s="1">
        <f>IF(tips!B149="Yes",1,IF(tips!B149="No",0,""))</f>
        <v>0</v>
      </c>
      <c r="C149" s="1">
        <f>IF(tips!$C149="Sun",1,0)</f>
        <v>0</v>
      </c>
      <c r="D149" s="1">
        <f>IF(tips!$C149="Fri",1,0)</f>
        <v>0</v>
      </c>
      <c r="E149" s="1">
        <f>IF(tips!$C149="Sat",1,0)</f>
        <v>0</v>
      </c>
      <c r="F149" s="1">
        <f>IF(tips!$C149="Thur",1,0)</f>
        <v>1</v>
      </c>
      <c r="G149" s="1">
        <f>IF(tips!D149="Dinner",1,IF(tips!D149="Lunch",0,""))</f>
        <v>0</v>
      </c>
      <c r="H149" s="1">
        <v>2</v>
      </c>
      <c r="I149" s="7">
        <v>11.87</v>
      </c>
      <c r="J149" s="8">
        <v>1.63</v>
      </c>
    </row>
    <row r="150" spans="1:10" x14ac:dyDescent="0.3">
      <c r="A150" s="1">
        <f>IF(tips!A150="Female",1,IF(tips!A150="Male",0,""))</f>
        <v>0</v>
      </c>
      <c r="B150" s="1">
        <f>IF(tips!B150="Yes",1,IF(tips!B150="No",0,""))</f>
        <v>0</v>
      </c>
      <c r="C150" s="1">
        <f>IF(tips!$C150="Sun",1,0)</f>
        <v>0</v>
      </c>
      <c r="D150" s="1">
        <f>IF(tips!$C150="Fri",1,0)</f>
        <v>0</v>
      </c>
      <c r="E150" s="1">
        <f>IF(tips!$C150="Sat",1,0)</f>
        <v>0</v>
      </c>
      <c r="F150" s="1">
        <f>IF(tips!$C150="Thur",1,0)</f>
        <v>1</v>
      </c>
      <c r="G150" s="1">
        <f>IF(tips!D150="Dinner",1,IF(tips!D150="Lunch",0,""))</f>
        <v>0</v>
      </c>
      <c r="H150" s="1">
        <v>2</v>
      </c>
      <c r="I150" s="7">
        <v>9.7799999999999994</v>
      </c>
      <c r="J150" s="8">
        <v>1.73</v>
      </c>
    </row>
    <row r="151" spans="1:10" x14ac:dyDescent="0.3">
      <c r="A151" s="1">
        <f>IF(tips!A151="Female",1,IF(tips!A151="Male",0,""))</f>
        <v>0</v>
      </c>
      <c r="B151" s="1">
        <f>IF(tips!B151="Yes",1,IF(tips!B151="No",0,""))</f>
        <v>0</v>
      </c>
      <c r="C151" s="1">
        <f>IF(tips!$C151="Sun",1,0)</f>
        <v>0</v>
      </c>
      <c r="D151" s="1">
        <f>IF(tips!$C151="Fri",1,0)</f>
        <v>0</v>
      </c>
      <c r="E151" s="1">
        <f>IF(tips!$C151="Sat",1,0)</f>
        <v>0</v>
      </c>
      <c r="F151" s="1">
        <f>IF(tips!$C151="Thur",1,0)</f>
        <v>1</v>
      </c>
      <c r="G151" s="1">
        <f>IF(tips!D151="Dinner",1,IF(tips!D151="Lunch",0,""))</f>
        <v>0</v>
      </c>
      <c r="H151" s="1">
        <v>2</v>
      </c>
      <c r="I151" s="7">
        <v>7.51</v>
      </c>
      <c r="J151" s="8">
        <v>2</v>
      </c>
    </row>
    <row r="152" spans="1:10" x14ac:dyDescent="0.3">
      <c r="A152" s="1">
        <f>IF(tips!A152="Female",1,IF(tips!A152="Male",0,""))</f>
        <v>0</v>
      </c>
      <c r="B152" s="1">
        <f>IF(tips!B152="Yes",1,IF(tips!B152="No",0,""))</f>
        <v>0</v>
      </c>
      <c r="C152" s="1">
        <f>IF(tips!$C152="Sun",1,0)</f>
        <v>1</v>
      </c>
      <c r="D152" s="1">
        <f>IF(tips!$C152="Fri",1,0)</f>
        <v>0</v>
      </c>
      <c r="E152" s="1">
        <f>IF(tips!$C152="Sat",1,0)</f>
        <v>0</v>
      </c>
      <c r="F152" s="1">
        <f>IF(tips!$C152="Thur",1,0)</f>
        <v>0</v>
      </c>
      <c r="G152" s="1">
        <f>IF(tips!D152="Dinner",1,IF(tips!D152="Lunch",0,""))</f>
        <v>1</v>
      </c>
      <c r="H152" s="1">
        <v>2</v>
      </c>
      <c r="I152" s="7">
        <v>14.07</v>
      </c>
      <c r="J152" s="8">
        <v>2.5</v>
      </c>
    </row>
    <row r="153" spans="1:10" x14ac:dyDescent="0.3">
      <c r="A153" s="1">
        <f>IF(tips!A153="Female",1,IF(tips!A153="Male",0,""))</f>
        <v>0</v>
      </c>
      <c r="B153" s="1">
        <f>IF(tips!B153="Yes",1,IF(tips!B153="No",0,""))</f>
        <v>0</v>
      </c>
      <c r="C153" s="1">
        <f>IF(tips!$C153="Sun",1,0)</f>
        <v>1</v>
      </c>
      <c r="D153" s="1">
        <f>IF(tips!$C153="Fri",1,0)</f>
        <v>0</v>
      </c>
      <c r="E153" s="1">
        <f>IF(tips!$C153="Sat",1,0)</f>
        <v>0</v>
      </c>
      <c r="F153" s="1">
        <f>IF(tips!$C153="Thur",1,0)</f>
        <v>0</v>
      </c>
      <c r="G153" s="1">
        <f>IF(tips!D153="Dinner",1,IF(tips!D153="Lunch",0,""))</f>
        <v>1</v>
      </c>
      <c r="H153" s="1">
        <v>2</v>
      </c>
      <c r="I153" s="7">
        <v>13.13</v>
      </c>
      <c r="J153" s="8">
        <v>2</v>
      </c>
    </row>
    <row r="154" spans="1:10" x14ac:dyDescent="0.3">
      <c r="A154" s="1">
        <f>IF(tips!A154="Female",1,IF(tips!A154="Male",0,""))</f>
        <v>0</v>
      </c>
      <c r="B154" s="1">
        <f>IF(tips!B154="Yes",1,IF(tips!B154="No",0,""))</f>
        <v>0</v>
      </c>
      <c r="C154" s="1">
        <f>IF(tips!$C154="Sun",1,0)</f>
        <v>1</v>
      </c>
      <c r="D154" s="1">
        <f>IF(tips!$C154="Fri",1,0)</f>
        <v>0</v>
      </c>
      <c r="E154" s="1">
        <f>IF(tips!$C154="Sat",1,0)</f>
        <v>0</v>
      </c>
      <c r="F154" s="1">
        <f>IF(tips!$C154="Thur",1,0)</f>
        <v>0</v>
      </c>
      <c r="G154" s="1">
        <f>IF(tips!D154="Dinner",1,IF(tips!D154="Lunch",0,""))</f>
        <v>1</v>
      </c>
      <c r="H154" s="1">
        <v>3</v>
      </c>
      <c r="I154" s="7">
        <v>17.260000000000002</v>
      </c>
      <c r="J154" s="8">
        <v>2.74</v>
      </c>
    </row>
    <row r="155" spans="1:10" x14ac:dyDescent="0.3">
      <c r="A155" s="1">
        <f>IF(tips!A155="Female",1,IF(tips!A155="Male",0,""))</f>
        <v>0</v>
      </c>
      <c r="B155" s="1">
        <f>IF(tips!B155="Yes",1,IF(tips!B155="No",0,""))</f>
        <v>0</v>
      </c>
      <c r="C155" s="1">
        <f>IF(tips!$C155="Sun",1,0)</f>
        <v>1</v>
      </c>
      <c r="D155" s="1">
        <f>IF(tips!$C155="Fri",1,0)</f>
        <v>0</v>
      </c>
      <c r="E155" s="1">
        <f>IF(tips!$C155="Sat",1,0)</f>
        <v>0</v>
      </c>
      <c r="F155" s="1">
        <f>IF(tips!$C155="Thur",1,0)</f>
        <v>0</v>
      </c>
      <c r="G155" s="1">
        <f>IF(tips!D155="Dinner",1,IF(tips!D155="Lunch",0,""))</f>
        <v>1</v>
      </c>
      <c r="H155" s="1">
        <v>4</v>
      </c>
      <c r="I155" s="7">
        <v>24.55</v>
      </c>
      <c r="J155" s="8">
        <v>2</v>
      </c>
    </row>
    <row r="156" spans="1:10" x14ac:dyDescent="0.3">
      <c r="A156" s="1">
        <f>IF(tips!A156="Female",1,IF(tips!A156="Male",0,""))</f>
        <v>0</v>
      </c>
      <c r="B156" s="1">
        <f>IF(tips!B156="Yes",1,IF(tips!B156="No",0,""))</f>
        <v>0</v>
      </c>
      <c r="C156" s="1">
        <f>IF(tips!$C156="Sun",1,0)</f>
        <v>1</v>
      </c>
      <c r="D156" s="1">
        <f>IF(tips!$C156="Fri",1,0)</f>
        <v>0</v>
      </c>
      <c r="E156" s="1">
        <f>IF(tips!$C156="Sat",1,0)</f>
        <v>0</v>
      </c>
      <c r="F156" s="1">
        <f>IF(tips!$C156="Thur",1,0)</f>
        <v>0</v>
      </c>
      <c r="G156" s="1">
        <f>IF(tips!D156="Dinner",1,IF(tips!D156="Lunch",0,""))</f>
        <v>1</v>
      </c>
      <c r="H156" s="1">
        <v>4</v>
      </c>
      <c r="I156" s="7">
        <v>19.77</v>
      </c>
      <c r="J156" s="8">
        <v>2</v>
      </c>
    </row>
    <row r="157" spans="1:10" x14ac:dyDescent="0.3">
      <c r="A157" s="1">
        <f>IF(tips!A157="Female",1,IF(tips!A157="Male",0,""))</f>
        <v>1</v>
      </c>
      <c r="B157" s="1">
        <f>IF(tips!B157="Yes",1,IF(tips!B157="No",0,""))</f>
        <v>0</v>
      </c>
      <c r="C157" s="1">
        <f>IF(tips!$C157="Sun",1,0)</f>
        <v>1</v>
      </c>
      <c r="D157" s="1">
        <f>IF(tips!$C157="Fri",1,0)</f>
        <v>0</v>
      </c>
      <c r="E157" s="1">
        <f>IF(tips!$C157="Sat",1,0)</f>
        <v>0</v>
      </c>
      <c r="F157" s="1">
        <f>IF(tips!$C157="Thur",1,0)</f>
        <v>0</v>
      </c>
      <c r="G157" s="1">
        <f>IF(tips!D157="Dinner",1,IF(tips!D157="Lunch",0,""))</f>
        <v>1</v>
      </c>
      <c r="H157" s="1">
        <v>5</v>
      </c>
      <c r="I157" s="7">
        <v>29.85</v>
      </c>
      <c r="J157" s="8">
        <v>5.14</v>
      </c>
    </row>
    <row r="158" spans="1:10" x14ac:dyDescent="0.3">
      <c r="A158" s="1">
        <f>IF(tips!A158="Female",1,IF(tips!A158="Male",0,""))</f>
        <v>0</v>
      </c>
      <c r="B158" s="1">
        <f>IF(tips!B158="Yes",1,IF(tips!B158="No",0,""))</f>
        <v>0</v>
      </c>
      <c r="C158" s="1">
        <f>IF(tips!$C158="Sun",1,0)</f>
        <v>1</v>
      </c>
      <c r="D158" s="1">
        <f>IF(tips!$C158="Fri",1,0)</f>
        <v>0</v>
      </c>
      <c r="E158" s="1">
        <f>IF(tips!$C158="Sat",1,0)</f>
        <v>0</v>
      </c>
      <c r="F158" s="1">
        <f>IF(tips!$C158="Thur",1,0)</f>
        <v>0</v>
      </c>
      <c r="G158" s="1">
        <f>IF(tips!D158="Dinner",1,IF(tips!D158="Lunch",0,""))</f>
        <v>1</v>
      </c>
      <c r="H158" s="1">
        <v>6</v>
      </c>
      <c r="I158" s="7">
        <v>48.17</v>
      </c>
      <c r="J158" s="8">
        <v>5</v>
      </c>
    </row>
    <row r="159" spans="1:10" x14ac:dyDescent="0.3">
      <c r="A159" s="1">
        <f>IF(tips!A159="Female",1,IF(tips!A159="Male",0,""))</f>
        <v>1</v>
      </c>
      <c r="B159" s="1">
        <f>IF(tips!B159="Yes",1,IF(tips!B159="No",0,""))</f>
        <v>0</v>
      </c>
      <c r="C159" s="1">
        <f>IF(tips!$C159="Sun",1,0)</f>
        <v>1</v>
      </c>
      <c r="D159" s="1">
        <f>IF(tips!$C159="Fri",1,0)</f>
        <v>0</v>
      </c>
      <c r="E159" s="1">
        <f>IF(tips!$C159="Sat",1,0)</f>
        <v>0</v>
      </c>
      <c r="F159" s="1">
        <f>IF(tips!$C159="Thur",1,0)</f>
        <v>0</v>
      </c>
      <c r="G159" s="1">
        <f>IF(tips!D159="Dinner",1,IF(tips!D159="Lunch",0,""))</f>
        <v>1</v>
      </c>
      <c r="H159" s="1">
        <v>4</v>
      </c>
      <c r="I159" s="7">
        <v>25</v>
      </c>
      <c r="J159" s="8">
        <v>3.75</v>
      </c>
    </row>
    <row r="160" spans="1:10" x14ac:dyDescent="0.3">
      <c r="A160" s="1">
        <f>IF(tips!A160="Female",1,IF(tips!A160="Male",0,""))</f>
        <v>1</v>
      </c>
      <c r="B160" s="1">
        <f>IF(tips!B160="Yes",1,IF(tips!B160="No",0,""))</f>
        <v>0</v>
      </c>
      <c r="C160" s="1">
        <f>IF(tips!$C160="Sun",1,0)</f>
        <v>1</v>
      </c>
      <c r="D160" s="1">
        <f>IF(tips!$C160="Fri",1,0)</f>
        <v>0</v>
      </c>
      <c r="E160" s="1">
        <f>IF(tips!$C160="Sat",1,0)</f>
        <v>0</v>
      </c>
      <c r="F160" s="1">
        <f>IF(tips!$C160="Thur",1,0)</f>
        <v>0</v>
      </c>
      <c r="G160" s="1">
        <f>IF(tips!D160="Dinner",1,IF(tips!D160="Lunch",0,""))</f>
        <v>1</v>
      </c>
      <c r="H160" s="1">
        <v>2</v>
      </c>
      <c r="I160" s="7">
        <v>13.39</v>
      </c>
      <c r="J160" s="8">
        <v>2.61</v>
      </c>
    </row>
    <row r="161" spans="1:10" x14ac:dyDescent="0.3">
      <c r="A161" s="1">
        <f>IF(tips!A161="Female",1,IF(tips!A161="Male",0,""))</f>
        <v>0</v>
      </c>
      <c r="B161" s="1">
        <f>IF(tips!B161="Yes",1,IF(tips!B161="No",0,""))</f>
        <v>0</v>
      </c>
      <c r="C161" s="1">
        <f>IF(tips!$C161="Sun",1,0)</f>
        <v>1</v>
      </c>
      <c r="D161" s="1">
        <f>IF(tips!$C161="Fri",1,0)</f>
        <v>0</v>
      </c>
      <c r="E161" s="1">
        <f>IF(tips!$C161="Sat",1,0)</f>
        <v>0</v>
      </c>
      <c r="F161" s="1">
        <f>IF(tips!$C161="Thur",1,0)</f>
        <v>0</v>
      </c>
      <c r="G161" s="1">
        <f>IF(tips!D161="Dinner",1,IF(tips!D161="Lunch",0,""))</f>
        <v>1</v>
      </c>
      <c r="H161" s="1">
        <v>4</v>
      </c>
      <c r="I161" s="7">
        <v>16.489999999999998</v>
      </c>
      <c r="J161" s="8">
        <v>2</v>
      </c>
    </row>
    <row r="162" spans="1:10" x14ac:dyDescent="0.3">
      <c r="A162" s="1">
        <f>IF(tips!A162="Female",1,IF(tips!A162="Male",0,""))</f>
        <v>0</v>
      </c>
      <c r="B162" s="1">
        <f>IF(tips!B162="Yes",1,IF(tips!B162="No",0,""))</f>
        <v>0</v>
      </c>
      <c r="C162" s="1">
        <f>IF(tips!$C162="Sun",1,0)</f>
        <v>1</v>
      </c>
      <c r="D162" s="1">
        <f>IF(tips!$C162="Fri",1,0)</f>
        <v>0</v>
      </c>
      <c r="E162" s="1">
        <f>IF(tips!$C162="Sat",1,0)</f>
        <v>0</v>
      </c>
      <c r="F162" s="1">
        <f>IF(tips!$C162="Thur",1,0)</f>
        <v>0</v>
      </c>
      <c r="G162" s="1">
        <f>IF(tips!D162="Dinner",1,IF(tips!D162="Lunch",0,""))</f>
        <v>1</v>
      </c>
      <c r="H162" s="1">
        <v>4</v>
      </c>
      <c r="I162" s="7">
        <v>21.5</v>
      </c>
      <c r="J162" s="8">
        <v>3.5</v>
      </c>
    </row>
    <row r="163" spans="1:10" x14ac:dyDescent="0.3">
      <c r="A163" s="1">
        <f>IF(tips!A163="Female",1,IF(tips!A163="Male",0,""))</f>
        <v>0</v>
      </c>
      <c r="B163" s="1">
        <f>IF(tips!B163="Yes",1,IF(tips!B163="No",0,""))</f>
        <v>0</v>
      </c>
      <c r="C163" s="1">
        <f>IF(tips!$C163="Sun",1,0)</f>
        <v>1</v>
      </c>
      <c r="D163" s="1">
        <f>IF(tips!$C163="Fri",1,0)</f>
        <v>0</v>
      </c>
      <c r="E163" s="1">
        <f>IF(tips!$C163="Sat",1,0)</f>
        <v>0</v>
      </c>
      <c r="F163" s="1">
        <f>IF(tips!$C163="Thur",1,0)</f>
        <v>0</v>
      </c>
      <c r="G163" s="1">
        <f>IF(tips!D163="Dinner",1,IF(tips!D163="Lunch",0,""))</f>
        <v>1</v>
      </c>
      <c r="H163" s="1">
        <v>2</v>
      </c>
      <c r="I163" s="7">
        <v>12.66</v>
      </c>
      <c r="J163" s="8">
        <v>2.5</v>
      </c>
    </row>
    <row r="164" spans="1:10" x14ac:dyDescent="0.3">
      <c r="A164" s="1">
        <f>IF(tips!A164="Female",1,IF(tips!A164="Male",0,""))</f>
        <v>1</v>
      </c>
      <c r="B164" s="1">
        <f>IF(tips!B164="Yes",1,IF(tips!B164="No",0,""))</f>
        <v>0</v>
      </c>
      <c r="C164" s="1">
        <f>IF(tips!$C164="Sun",1,0)</f>
        <v>1</v>
      </c>
      <c r="D164" s="1">
        <f>IF(tips!$C164="Fri",1,0)</f>
        <v>0</v>
      </c>
      <c r="E164" s="1">
        <f>IF(tips!$C164="Sat",1,0)</f>
        <v>0</v>
      </c>
      <c r="F164" s="1">
        <f>IF(tips!$C164="Thur",1,0)</f>
        <v>0</v>
      </c>
      <c r="G164" s="1">
        <f>IF(tips!D164="Dinner",1,IF(tips!D164="Lunch",0,""))</f>
        <v>1</v>
      </c>
      <c r="H164" s="1">
        <v>3</v>
      </c>
      <c r="I164" s="7">
        <v>16.21</v>
      </c>
      <c r="J164" s="8">
        <v>2</v>
      </c>
    </row>
    <row r="165" spans="1:10" x14ac:dyDescent="0.3">
      <c r="A165" s="1">
        <f>IF(tips!A165="Female",1,IF(tips!A165="Male",0,""))</f>
        <v>0</v>
      </c>
      <c r="B165" s="1">
        <f>IF(tips!B165="Yes",1,IF(tips!B165="No",0,""))</f>
        <v>0</v>
      </c>
      <c r="C165" s="1">
        <f>IF(tips!$C165="Sun",1,0)</f>
        <v>1</v>
      </c>
      <c r="D165" s="1">
        <f>IF(tips!$C165="Fri",1,0)</f>
        <v>0</v>
      </c>
      <c r="E165" s="1">
        <f>IF(tips!$C165="Sat",1,0)</f>
        <v>0</v>
      </c>
      <c r="F165" s="1">
        <f>IF(tips!$C165="Thur",1,0)</f>
        <v>0</v>
      </c>
      <c r="G165" s="1">
        <f>IF(tips!D165="Dinner",1,IF(tips!D165="Lunch",0,""))</f>
        <v>1</v>
      </c>
      <c r="H165" s="1">
        <v>2</v>
      </c>
      <c r="I165" s="7">
        <v>13.81</v>
      </c>
      <c r="J165" s="8">
        <v>2</v>
      </c>
    </row>
    <row r="166" spans="1:10" x14ac:dyDescent="0.3">
      <c r="A166" s="1">
        <f>IF(tips!A166="Female",1,IF(tips!A166="Male",0,""))</f>
        <v>1</v>
      </c>
      <c r="B166" s="1">
        <f>IF(tips!B166="Yes",1,IF(tips!B166="No",0,""))</f>
        <v>1</v>
      </c>
      <c r="C166" s="1">
        <f>IF(tips!$C166="Sun",1,0)</f>
        <v>1</v>
      </c>
      <c r="D166" s="1">
        <f>IF(tips!$C166="Fri",1,0)</f>
        <v>0</v>
      </c>
      <c r="E166" s="1">
        <f>IF(tips!$C166="Sat",1,0)</f>
        <v>0</v>
      </c>
      <c r="F166" s="1">
        <f>IF(tips!$C166="Thur",1,0)</f>
        <v>0</v>
      </c>
      <c r="G166" s="1">
        <f>IF(tips!D166="Dinner",1,IF(tips!D166="Lunch",0,""))</f>
        <v>1</v>
      </c>
      <c r="H166" s="1">
        <v>2</v>
      </c>
      <c r="I166" s="7">
        <v>17.510000000000002</v>
      </c>
      <c r="J166" s="8">
        <v>3</v>
      </c>
    </row>
    <row r="167" spans="1:10" x14ac:dyDescent="0.3">
      <c r="A167" s="1">
        <f>IF(tips!A167="Female",1,IF(tips!A167="Male",0,""))</f>
        <v>0</v>
      </c>
      <c r="B167" s="1">
        <f>IF(tips!B167="Yes",1,IF(tips!B167="No",0,""))</f>
        <v>0</v>
      </c>
      <c r="C167" s="1">
        <f>IF(tips!$C167="Sun",1,0)</f>
        <v>1</v>
      </c>
      <c r="D167" s="1">
        <f>IF(tips!$C167="Fri",1,0)</f>
        <v>0</v>
      </c>
      <c r="E167" s="1">
        <f>IF(tips!$C167="Sat",1,0)</f>
        <v>0</v>
      </c>
      <c r="F167" s="1">
        <f>IF(tips!$C167="Thur",1,0)</f>
        <v>0</v>
      </c>
      <c r="G167" s="1">
        <f>IF(tips!D167="Dinner",1,IF(tips!D167="Lunch",0,""))</f>
        <v>1</v>
      </c>
      <c r="H167" s="1">
        <v>3</v>
      </c>
      <c r="I167" s="7">
        <v>24.52</v>
      </c>
      <c r="J167" s="8">
        <v>3.48</v>
      </c>
    </row>
    <row r="168" spans="1:10" x14ac:dyDescent="0.3">
      <c r="A168" s="1">
        <f>IF(tips!A168="Female",1,IF(tips!A168="Male",0,""))</f>
        <v>0</v>
      </c>
      <c r="B168" s="1">
        <f>IF(tips!B168="Yes",1,IF(tips!B168="No",0,""))</f>
        <v>0</v>
      </c>
      <c r="C168" s="1">
        <f>IF(tips!$C168="Sun",1,0)</f>
        <v>1</v>
      </c>
      <c r="D168" s="1">
        <f>IF(tips!$C168="Fri",1,0)</f>
        <v>0</v>
      </c>
      <c r="E168" s="1">
        <f>IF(tips!$C168="Sat",1,0)</f>
        <v>0</v>
      </c>
      <c r="F168" s="1">
        <f>IF(tips!$C168="Thur",1,0)</f>
        <v>0</v>
      </c>
      <c r="G168" s="1">
        <f>IF(tips!D168="Dinner",1,IF(tips!D168="Lunch",0,""))</f>
        <v>1</v>
      </c>
      <c r="H168" s="1">
        <v>2</v>
      </c>
      <c r="I168" s="7">
        <v>20.76</v>
      </c>
      <c r="J168" s="8">
        <v>2.2400000000000002</v>
      </c>
    </row>
    <row r="169" spans="1:10" x14ac:dyDescent="0.3">
      <c r="A169" s="1">
        <f>IF(tips!A169="Female",1,IF(tips!A169="Male",0,""))</f>
        <v>0</v>
      </c>
      <c r="B169" s="1">
        <f>IF(tips!B169="Yes",1,IF(tips!B169="No",0,""))</f>
        <v>0</v>
      </c>
      <c r="C169" s="1">
        <f>IF(tips!$C169="Sun",1,0)</f>
        <v>1</v>
      </c>
      <c r="D169" s="1">
        <f>IF(tips!$C169="Fri",1,0)</f>
        <v>0</v>
      </c>
      <c r="E169" s="1">
        <f>IF(tips!$C169="Sat",1,0)</f>
        <v>0</v>
      </c>
      <c r="F169" s="1">
        <f>IF(tips!$C169="Thur",1,0)</f>
        <v>0</v>
      </c>
      <c r="G169" s="1">
        <f>IF(tips!D169="Dinner",1,IF(tips!D169="Lunch",0,""))</f>
        <v>1</v>
      </c>
      <c r="H169" s="1">
        <v>4</v>
      </c>
      <c r="I169" s="7">
        <v>31.71</v>
      </c>
      <c r="J169" s="8">
        <v>4.5</v>
      </c>
    </row>
    <row r="170" spans="1:10" x14ac:dyDescent="0.3">
      <c r="A170" s="1">
        <f>IF(tips!A170="Female",1,IF(tips!A170="Male",0,""))</f>
        <v>1</v>
      </c>
      <c r="B170" s="1">
        <f>IF(tips!B170="Yes",1,IF(tips!B170="No",0,""))</f>
        <v>1</v>
      </c>
      <c r="C170" s="1">
        <f>IF(tips!$C170="Sun",1,0)</f>
        <v>0</v>
      </c>
      <c r="D170" s="1">
        <f>IF(tips!$C170="Fri",1,0)</f>
        <v>0</v>
      </c>
      <c r="E170" s="1">
        <f>IF(tips!$C170="Sat",1,0)</f>
        <v>1</v>
      </c>
      <c r="F170" s="1">
        <f>IF(tips!$C170="Thur",1,0)</f>
        <v>0</v>
      </c>
      <c r="G170" s="1">
        <f>IF(tips!D170="Dinner",1,IF(tips!D170="Lunch",0,""))</f>
        <v>1</v>
      </c>
      <c r="H170" s="1">
        <v>2</v>
      </c>
      <c r="I170" s="7">
        <v>10.59</v>
      </c>
      <c r="J170" s="8">
        <v>1.61</v>
      </c>
    </row>
    <row r="171" spans="1:10" x14ac:dyDescent="0.3">
      <c r="A171" s="1">
        <f>IF(tips!A171="Female",1,IF(tips!A171="Male",0,""))</f>
        <v>1</v>
      </c>
      <c r="B171" s="1">
        <f>IF(tips!B171="Yes",1,IF(tips!B171="No",0,""))</f>
        <v>1</v>
      </c>
      <c r="C171" s="1">
        <f>IF(tips!$C171="Sun",1,0)</f>
        <v>0</v>
      </c>
      <c r="D171" s="1">
        <f>IF(tips!$C171="Fri",1,0)</f>
        <v>0</v>
      </c>
      <c r="E171" s="1">
        <f>IF(tips!$C171="Sat",1,0)</f>
        <v>1</v>
      </c>
      <c r="F171" s="1">
        <f>IF(tips!$C171="Thur",1,0)</f>
        <v>0</v>
      </c>
      <c r="G171" s="1">
        <f>IF(tips!D171="Dinner",1,IF(tips!D171="Lunch",0,""))</f>
        <v>1</v>
      </c>
      <c r="H171" s="1">
        <v>2</v>
      </c>
      <c r="I171" s="7">
        <v>10.63</v>
      </c>
      <c r="J171" s="8">
        <v>2</v>
      </c>
    </row>
    <row r="172" spans="1:10" x14ac:dyDescent="0.3">
      <c r="A172" s="1">
        <f>IF(tips!A172="Female",1,IF(tips!A172="Male",0,""))</f>
        <v>0</v>
      </c>
      <c r="B172" s="1">
        <f>IF(tips!B172="Yes",1,IF(tips!B172="No",0,""))</f>
        <v>1</v>
      </c>
      <c r="C172" s="1">
        <f>IF(tips!$C172="Sun",1,0)</f>
        <v>0</v>
      </c>
      <c r="D172" s="1">
        <f>IF(tips!$C172="Fri",1,0)</f>
        <v>0</v>
      </c>
      <c r="E172" s="1">
        <f>IF(tips!$C172="Sat",1,0)</f>
        <v>1</v>
      </c>
      <c r="F172" s="1">
        <f>IF(tips!$C172="Thur",1,0)</f>
        <v>0</v>
      </c>
      <c r="G172" s="1">
        <f>IF(tips!D172="Dinner",1,IF(tips!D172="Lunch",0,""))</f>
        <v>1</v>
      </c>
      <c r="H172" s="1">
        <v>3</v>
      </c>
      <c r="I172" s="7">
        <v>50.81</v>
      </c>
      <c r="J172" s="8">
        <v>10</v>
      </c>
    </row>
    <row r="173" spans="1:10" x14ac:dyDescent="0.3">
      <c r="A173" s="1">
        <f>IF(tips!A173="Female",1,IF(tips!A173="Male",0,""))</f>
        <v>0</v>
      </c>
      <c r="B173" s="1">
        <f>IF(tips!B173="Yes",1,IF(tips!B173="No",0,""))</f>
        <v>1</v>
      </c>
      <c r="C173" s="1">
        <f>IF(tips!$C173="Sun",1,0)</f>
        <v>0</v>
      </c>
      <c r="D173" s="1">
        <f>IF(tips!$C173="Fri",1,0)</f>
        <v>0</v>
      </c>
      <c r="E173" s="1">
        <f>IF(tips!$C173="Sat",1,0)</f>
        <v>1</v>
      </c>
      <c r="F173" s="1">
        <f>IF(tips!$C173="Thur",1,0)</f>
        <v>0</v>
      </c>
      <c r="G173" s="1">
        <f>IF(tips!D173="Dinner",1,IF(tips!D173="Lunch",0,""))</f>
        <v>1</v>
      </c>
      <c r="H173" s="1">
        <v>2</v>
      </c>
      <c r="I173" s="7">
        <v>15.81</v>
      </c>
      <c r="J173" s="8">
        <v>3.16</v>
      </c>
    </row>
    <row r="174" spans="1:10" x14ac:dyDescent="0.3">
      <c r="A174" s="1">
        <f>IF(tips!A174="Female",1,IF(tips!A174="Male",0,""))</f>
        <v>0</v>
      </c>
      <c r="B174" s="1">
        <f>IF(tips!B174="Yes",1,IF(tips!B174="No",0,""))</f>
        <v>1</v>
      </c>
      <c r="C174" s="1">
        <f>IF(tips!$C174="Sun",1,0)</f>
        <v>1</v>
      </c>
      <c r="D174" s="1">
        <f>IF(tips!$C174="Fri",1,0)</f>
        <v>0</v>
      </c>
      <c r="E174" s="1">
        <f>IF(tips!$C174="Sat",1,0)</f>
        <v>0</v>
      </c>
      <c r="F174" s="1">
        <f>IF(tips!$C174="Thur",1,0)</f>
        <v>0</v>
      </c>
      <c r="G174" s="1">
        <f>IF(tips!D174="Dinner",1,IF(tips!D174="Lunch",0,""))</f>
        <v>1</v>
      </c>
      <c r="H174" s="1">
        <v>2</v>
      </c>
      <c r="I174" s="7">
        <v>7.25</v>
      </c>
      <c r="J174" s="8">
        <v>5.15</v>
      </c>
    </row>
    <row r="175" spans="1:10" x14ac:dyDescent="0.3">
      <c r="A175" s="1">
        <f>IF(tips!A175="Female",1,IF(tips!A175="Male",0,""))</f>
        <v>0</v>
      </c>
      <c r="B175" s="1">
        <f>IF(tips!B175="Yes",1,IF(tips!B175="No",0,""))</f>
        <v>1</v>
      </c>
      <c r="C175" s="1">
        <f>IF(tips!$C175="Sun",1,0)</f>
        <v>1</v>
      </c>
      <c r="D175" s="1">
        <f>IF(tips!$C175="Fri",1,0)</f>
        <v>0</v>
      </c>
      <c r="E175" s="1">
        <f>IF(tips!$C175="Sat",1,0)</f>
        <v>0</v>
      </c>
      <c r="F175" s="1">
        <f>IF(tips!$C175="Thur",1,0)</f>
        <v>0</v>
      </c>
      <c r="G175" s="1">
        <f>IF(tips!D175="Dinner",1,IF(tips!D175="Lunch",0,""))</f>
        <v>1</v>
      </c>
      <c r="H175" s="1">
        <v>2</v>
      </c>
      <c r="I175" s="7">
        <v>31.85</v>
      </c>
      <c r="J175" s="8">
        <v>3.18</v>
      </c>
    </row>
    <row r="176" spans="1:10" x14ac:dyDescent="0.3">
      <c r="A176" s="1">
        <f>IF(tips!A176="Female",1,IF(tips!A176="Male",0,""))</f>
        <v>0</v>
      </c>
      <c r="B176" s="1">
        <f>IF(tips!B176="Yes",1,IF(tips!B176="No",0,""))</f>
        <v>1</v>
      </c>
      <c r="C176" s="1">
        <f>IF(tips!$C176="Sun",1,0)</f>
        <v>1</v>
      </c>
      <c r="D176" s="1">
        <f>IF(tips!$C176="Fri",1,0)</f>
        <v>0</v>
      </c>
      <c r="E176" s="1">
        <f>IF(tips!$C176="Sat",1,0)</f>
        <v>0</v>
      </c>
      <c r="F176" s="1">
        <f>IF(tips!$C176="Thur",1,0)</f>
        <v>0</v>
      </c>
      <c r="G176" s="1">
        <f>IF(tips!D176="Dinner",1,IF(tips!D176="Lunch",0,""))</f>
        <v>1</v>
      </c>
      <c r="H176" s="1">
        <v>2</v>
      </c>
      <c r="I176" s="7">
        <v>16.82</v>
      </c>
      <c r="J176" s="8">
        <v>4</v>
      </c>
    </row>
    <row r="177" spans="1:10" x14ac:dyDescent="0.3">
      <c r="A177" s="1">
        <f>IF(tips!A177="Female",1,IF(tips!A177="Male",0,""))</f>
        <v>0</v>
      </c>
      <c r="B177" s="1">
        <f>IF(tips!B177="Yes",1,IF(tips!B177="No",0,""))</f>
        <v>1</v>
      </c>
      <c r="C177" s="1">
        <f>IF(tips!$C177="Sun",1,0)</f>
        <v>1</v>
      </c>
      <c r="D177" s="1">
        <f>IF(tips!$C177="Fri",1,0)</f>
        <v>0</v>
      </c>
      <c r="E177" s="1">
        <f>IF(tips!$C177="Sat",1,0)</f>
        <v>0</v>
      </c>
      <c r="F177" s="1">
        <f>IF(tips!$C177="Thur",1,0)</f>
        <v>0</v>
      </c>
      <c r="G177" s="1">
        <f>IF(tips!D177="Dinner",1,IF(tips!D177="Lunch",0,""))</f>
        <v>1</v>
      </c>
      <c r="H177" s="1">
        <v>2</v>
      </c>
      <c r="I177" s="7">
        <v>32.9</v>
      </c>
      <c r="J177" s="8">
        <v>3.11</v>
      </c>
    </row>
    <row r="178" spans="1:10" x14ac:dyDescent="0.3">
      <c r="A178" s="1">
        <f>IF(tips!A178="Female",1,IF(tips!A178="Male",0,""))</f>
        <v>0</v>
      </c>
      <c r="B178" s="1">
        <f>IF(tips!B178="Yes",1,IF(tips!B178="No",0,""))</f>
        <v>1</v>
      </c>
      <c r="C178" s="1">
        <f>IF(tips!$C178="Sun",1,0)</f>
        <v>1</v>
      </c>
      <c r="D178" s="1">
        <f>IF(tips!$C178="Fri",1,0)</f>
        <v>0</v>
      </c>
      <c r="E178" s="1">
        <f>IF(tips!$C178="Sat",1,0)</f>
        <v>0</v>
      </c>
      <c r="F178" s="1">
        <f>IF(tips!$C178="Thur",1,0)</f>
        <v>0</v>
      </c>
      <c r="G178" s="1">
        <f>IF(tips!D178="Dinner",1,IF(tips!D178="Lunch",0,""))</f>
        <v>1</v>
      </c>
      <c r="H178" s="1">
        <v>2</v>
      </c>
      <c r="I178" s="7">
        <v>17.89</v>
      </c>
      <c r="J178" s="8">
        <v>2</v>
      </c>
    </row>
    <row r="179" spans="1:10" x14ac:dyDescent="0.3">
      <c r="A179" s="1">
        <f>IF(tips!A179="Female",1,IF(tips!A179="Male",0,""))</f>
        <v>0</v>
      </c>
      <c r="B179" s="1">
        <f>IF(tips!B179="Yes",1,IF(tips!B179="No",0,""))</f>
        <v>1</v>
      </c>
      <c r="C179" s="1">
        <f>IF(tips!$C179="Sun",1,0)</f>
        <v>1</v>
      </c>
      <c r="D179" s="1">
        <f>IF(tips!$C179="Fri",1,0)</f>
        <v>0</v>
      </c>
      <c r="E179" s="1">
        <f>IF(tips!$C179="Sat",1,0)</f>
        <v>0</v>
      </c>
      <c r="F179" s="1">
        <f>IF(tips!$C179="Thur",1,0)</f>
        <v>0</v>
      </c>
      <c r="G179" s="1">
        <f>IF(tips!D179="Dinner",1,IF(tips!D179="Lunch",0,""))</f>
        <v>1</v>
      </c>
      <c r="H179" s="1">
        <v>2</v>
      </c>
      <c r="I179" s="7">
        <v>14.48</v>
      </c>
      <c r="J179" s="8">
        <v>2</v>
      </c>
    </row>
    <row r="180" spans="1:10" x14ac:dyDescent="0.3">
      <c r="A180" s="1">
        <f>IF(tips!A180="Female",1,IF(tips!A180="Male",0,""))</f>
        <v>1</v>
      </c>
      <c r="B180" s="1">
        <f>IF(tips!B180="Yes",1,IF(tips!B180="No",0,""))</f>
        <v>1</v>
      </c>
      <c r="C180" s="1">
        <f>IF(tips!$C180="Sun",1,0)</f>
        <v>1</v>
      </c>
      <c r="D180" s="1">
        <f>IF(tips!$C180="Fri",1,0)</f>
        <v>0</v>
      </c>
      <c r="E180" s="1">
        <f>IF(tips!$C180="Sat",1,0)</f>
        <v>0</v>
      </c>
      <c r="F180" s="1">
        <f>IF(tips!$C180="Thur",1,0)</f>
        <v>0</v>
      </c>
      <c r="G180" s="1">
        <f>IF(tips!D180="Dinner",1,IF(tips!D180="Lunch",0,""))</f>
        <v>1</v>
      </c>
      <c r="H180" s="1">
        <v>2</v>
      </c>
      <c r="I180" s="7">
        <v>9.6</v>
      </c>
      <c r="J180" s="8">
        <v>4</v>
      </c>
    </row>
    <row r="181" spans="1:10" x14ac:dyDescent="0.3">
      <c r="A181" s="1">
        <f>IF(tips!A181="Female",1,IF(tips!A181="Male",0,""))</f>
        <v>0</v>
      </c>
      <c r="B181" s="1">
        <f>IF(tips!B181="Yes",1,IF(tips!B181="No",0,""))</f>
        <v>1</v>
      </c>
      <c r="C181" s="1">
        <f>IF(tips!$C181="Sun",1,0)</f>
        <v>1</v>
      </c>
      <c r="D181" s="1">
        <f>IF(tips!$C181="Fri",1,0)</f>
        <v>0</v>
      </c>
      <c r="E181" s="1">
        <f>IF(tips!$C181="Sat",1,0)</f>
        <v>0</v>
      </c>
      <c r="F181" s="1">
        <f>IF(tips!$C181="Thur",1,0)</f>
        <v>0</v>
      </c>
      <c r="G181" s="1">
        <f>IF(tips!D181="Dinner",1,IF(tips!D181="Lunch",0,""))</f>
        <v>1</v>
      </c>
      <c r="H181" s="1">
        <v>2</v>
      </c>
      <c r="I181" s="7">
        <v>34.630000000000003</v>
      </c>
      <c r="J181" s="8">
        <v>3.55</v>
      </c>
    </row>
    <row r="182" spans="1:10" x14ac:dyDescent="0.3">
      <c r="A182" s="1">
        <f>IF(tips!A182="Female",1,IF(tips!A182="Male",0,""))</f>
        <v>0</v>
      </c>
      <c r="B182" s="1">
        <f>IF(tips!B182="Yes",1,IF(tips!B182="No",0,""))</f>
        <v>1</v>
      </c>
      <c r="C182" s="1">
        <f>IF(tips!$C182="Sun",1,0)</f>
        <v>1</v>
      </c>
      <c r="D182" s="1">
        <f>IF(tips!$C182="Fri",1,0)</f>
        <v>0</v>
      </c>
      <c r="E182" s="1">
        <f>IF(tips!$C182="Sat",1,0)</f>
        <v>0</v>
      </c>
      <c r="F182" s="1">
        <f>IF(tips!$C182="Thur",1,0)</f>
        <v>0</v>
      </c>
      <c r="G182" s="1">
        <f>IF(tips!D182="Dinner",1,IF(tips!D182="Lunch",0,""))</f>
        <v>1</v>
      </c>
      <c r="H182" s="1">
        <v>4</v>
      </c>
      <c r="I182" s="7">
        <v>34.65</v>
      </c>
      <c r="J182" s="8">
        <v>3.68</v>
      </c>
    </row>
    <row r="183" spans="1:10" x14ac:dyDescent="0.3">
      <c r="A183" s="1">
        <f>IF(tips!A183="Female",1,IF(tips!A183="Male",0,""))</f>
        <v>0</v>
      </c>
      <c r="B183" s="1">
        <f>IF(tips!B183="Yes",1,IF(tips!B183="No",0,""))</f>
        <v>1</v>
      </c>
      <c r="C183" s="1">
        <f>IF(tips!$C183="Sun",1,0)</f>
        <v>1</v>
      </c>
      <c r="D183" s="1">
        <f>IF(tips!$C183="Fri",1,0)</f>
        <v>0</v>
      </c>
      <c r="E183" s="1">
        <f>IF(tips!$C183="Sat",1,0)</f>
        <v>0</v>
      </c>
      <c r="F183" s="1">
        <f>IF(tips!$C183="Thur",1,0)</f>
        <v>0</v>
      </c>
      <c r="G183" s="1">
        <f>IF(tips!D183="Dinner",1,IF(tips!D183="Lunch",0,""))</f>
        <v>1</v>
      </c>
      <c r="H183" s="1">
        <v>2</v>
      </c>
      <c r="I183" s="7">
        <v>23.33</v>
      </c>
      <c r="J183" s="8">
        <v>5.65</v>
      </c>
    </row>
    <row r="184" spans="1:10" x14ac:dyDescent="0.3">
      <c r="A184" s="1">
        <f>IF(tips!A184="Female",1,IF(tips!A184="Male",0,""))</f>
        <v>0</v>
      </c>
      <c r="B184" s="1">
        <f>IF(tips!B184="Yes",1,IF(tips!B184="No",0,""))</f>
        <v>1</v>
      </c>
      <c r="C184" s="1">
        <f>IF(tips!$C184="Sun",1,0)</f>
        <v>1</v>
      </c>
      <c r="D184" s="1">
        <f>IF(tips!$C184="Fri",1,0)</f>
        <v>0</v>
      </c>
      <c r="E184" s="1">
        <f>IF(tips!$C184="Sat",1,0)</f>
        <v>0</v>
      </c>
      <c r="F184" s="1">
        <f>IF(tips!$C184="Thur",1,0)</f>
        <v>0</v>
      </c>
      <c r="G184" s="1">
        <f>IF(tips!D184="Dinner",1,IF(tips!D184="Lunch",0,""))</f>
        <v>1</v>
      </c>
      <c r="H184" s="1">
        <v>3</v>
      </c>
      <c r="I184" s="7">
        <v>45.35</v>
      </c>
      <c r="J184" s="8">
        <v>3.5</v>
      </c>
    </row>
    <row r="185" spans="1:10" x14ac:dyDescent="0.3">
      <c r="A185" s="1">
        <f>IF(tips!A185="Female",1,IF(tips!A185="Male",0,""))</f>
        <v>0</v>
      </c>
      <c r="B185" s="1">
        <f>IF(tips!B185="Yes",1,IF(tips!B185="No",0,""))</f>
        <v>1</v>
      </c>
      <c r="C185" s="1">
        <f>IF(tips!$C185="Sun",1,0)</f>
        <v>1</v>
      </c>
      <c r="D185" s="1">
        <f>IF(tips!$C185="Fri",1,0)</f>
        <v>0</v>
      </c>
      <c r="E185" s="1">
        <f>IF(tips!$C185="Sat",1,0)</f>
        <v>0</v>
      </c>
      <c r="F185" s="1">
        <f>IF(tips!$C185="Thur",1,0)</f>
        <v>0</v>
      </c>
      <c r="G185" s="1">
        <f>IF(tips!D185="Dinner",1,IF(tips!D185="Lunch",0,""))</f>
        <v>1</v>
      </c>
      <c r="H185" s="1">
        <v>4</v>
      </c>
      <c r="I185" s="7">
        <v>23.17</v>
      </c>
      <c r="J185" s="8">
        <v>6.5</v>
      </c>
    </row>
    <row r="186" spans="1:10" x14ac:dyDescent="0.3">
      <c r="A186" s="1">
        <f>IF(tips!A186="Female",1,IF(tips!A186="Male",0,""))</f>
        <v>0</v>
      </c>
      <c r="B186" s="1">
        <f>IF(tips!B186="Yes",1,IF(tips!B186="No",0,""))</f>
        <v>1</v>
      </c>
      <c r="C186" s="1">
        <f>IF(tips!$C186="Sun",1,0)</f>
        <v>1</v>
      </c>
      <c r="D186" s="1">
        <f>IF(tips!$C186="Fri",1,0)</f>
        <v>0</v>
      </c>
      <c r="E186" s="1">
        <f>IF(tips!$C186="Sat",1,0)</f>
        <v>0</v>
      </c>
      <c r="F186" s="1">
        <f>IF(tips!$C186="Thur",1,0)</f>
        <v>0</v>
      </c>
      <c r="G186" s="1">
        <f>IF(tips!D186="Dinner",1,IF(tips!D186="Lunch",0,""))</f>
        <v>1</v>
      </c>
      <c r="H186" s="1">
        <v>2</v>
      </c>
      <c r="I186" s="7">
        <v>40.549999999999997</v>
      </c>
      <c r="J186" s="8">
        <v>3</v>
      </c>
    </row>
    <row r="187" spans="1:10" x14ac:dyDescent="0.3">
      <c r="A187" s="1">
        <f>IF(tips!A187="Female",1,IF(tips!A187="Male",0,""))</f>
        <v>0</v>
      </c>
      <c r="B187" s="1">
        <f>IF(tips!B187="Yes",1,IF(tips!B187="No",0,""))</f>
        <v>0</v>
      </c>
      <c r="C187" s="1">
        <f>IF(tips!$C187="Sun",1,0)</f>
        <v>1</v>
      </c>
      <c r="D187" s="1">
        <f>IF(tips!$C187="Fri",1,0)</f>
        <v>0</v>
      </c>
      <c r="E187" s="1">
        <f>IF(tips!$C187="Sat",1,0)</f>
        <v>0</v>
      </c>
      <c r="F187" s="1">
        <f>IF(tips!$C187="Thur",1,0)</f>
        <v>0</v>
      </c>
      <c r="G187" s="1">
        <f>IF(tips!D187="Dinner",1,IF(tips!D187="Lunch",0,""))</f>
        <v>1</v>
      </c>
      <c r="H187" s="1">
        <v>5</v>
      </c>
      <c r="I187" s="7">
        <v>20.69</v>
      </c>
      <c r="J187" s="8">
        <v>5</v>
      </c>
    </row>
    <row r="188" spans="1:10" x14ac:dyDescent="0.3">
      <c r="A188" s="1">
        <f>IF(tips!A188="Female",1,IF(tips!A188="Male",0,""))</f>
        <v>1</v>
      </c>
      <c r="B188" s="1">
        <f>IF(tips!B188="Yes",1,IF(tips!B188="No",0,""))</f>
        <v>1</v>
      </c>
      <c r="C188" s="1">
        <f>IF(tips!$C188="Sun",1,0)</f>
        <v>1</v>
      </c>
      <c r="D188" s="1">
        <f>IF(tips!$C188="Fri",1,0)</f>
        <v>0</v>
      </c>
      <c r="E188" s="1">
        <f>IF(tips!$C188="Sat",1,0)</f>
        <v>0</v>
      </c>
      <c r="F188" s="1">
        <f>IF(tips!$C188="Thur",1,0)</f>
        <v>0</v>
      </c>
      <c r="G188" s="1">
        <f>IF(tips!D188="Dinner",1,IF(tips!D188="Lunch",0,""))</f>
        <v>1</v>
      </c>
      <c r="H188" s="1">
        <v>3</v>
      </c>
      <c r="I188" s="7">
        <v>20.9</v>
      </c>
      <c r="J188" s="8">
        <v>3.5</v>
      </c>
    </row>
    <row r="189" spans="1:10" x14ac:dyDescent="0.3">
      <c r="A189" s="1">
        <f>IF(tips!A189="Female",1,IF(tips!A189="Male",0,""))</f>
        <v>0</v>
      </c>
      <c r="B189" s="1">
        <f>IF(tips!B189="Yes",1,IF(tips!B189="No",0,""))</f>
        <v>1</v>
      </c>
      <c r="C189" s="1">
        <f>IF(tips!$C189="Sun",1,0)</f>
        <v>1</v>
      </c>
      <c r="D189" s="1">
        <f>IF(tips!$C189="Fri",1,0)</f>
        <v>0</v>
      </c>
      <c r="E189" s="1">
        <f>IF(tips!$C189="Sat",1,0)</f>
        <v>0</v>
      </c>
      <c r="F189" s="1">
        <f>IF(tips!$C189="Thur",1,0)</f>
        <v>0</v>
      </c>
      <c r="G189" s="1">
        <f>IF(tips!D189="Dinner",1,IF(tips!D189="Lunch",0,""))</f>
        <v>1</v>
      </c>
      <c r="H189" s="1">
        <v>5</v>
      </c>
      <c r="I189" s="7">
        <v>30.46</v>
      </c>
      <c r="J189" s="8">
        <v>2</v>
      </c>
    </row>
    <row r="190" spans="1:10" x14ac:dyDescent="0.3">
      <c r="A190" s="1">
        <f>IF(tips!A190="Female",1,IF(tips!A190="Male",0,""))</f>
        <v>1</v>
      </c>
      <c r="B190" s="1">
        <f>IF(tips!B190="Yes",1,IF(tips!B190="No",0,""))</f>
        <v>1</v>
      </c>
      <c r="C190" s="1">
        <f>IF(tips!$C190="Sun",1,0)</f>
        <v>1</v>
      </c>
      <c r="D190" s="1">
        <f>IF(tips!$C190="Fri",1,0)</f>
        <v>0</v>
      </c>
      <c r="E190" s="1">
        <f>IF(tips!$C190="Sat",1,0)</f>
        <v>0</v>
      </c>
      <c r="F190" s="1">
        <f>IF(tips!$C190="Thur",1,0)</f>
        <v>0</v>
      </c>
      <c r="G190" s="1">
        <f>IF(tips!D190="Dinner",1,IF(tips!D190="Lunch",0,""))</f>
        <v>1</v>
      </c>
      <c r="H190" s="1">
        <v>3</v>
      </c>
      <c r="I190" s="7">
        <v>18.149999999999999</v>
      </c>
      <c r="J190" s="8">
        <v>3.5</v>
      </c>
    </row>
    <row r="191" spans="1:10" x14ac:dyDescent="0.3">
      <c r="A191" s="1">
        <f>IF(tips!A191="Female",1,IF(tips!A191="Male",0,""))</f>
        <v>0</v>
      </c>
      <c r="B191" s="1">
        <f>IF(tips!B191="Yes",1,IF(tips!B191="No",0,""))</f>
        <v>1</v>
      </c>
      <c r="C191" s="1">
        <f>IF(tips!$C191="Sun",1,0)</f>
        <v>1</v>
      </c>
      <c r="D191" s="1">
        <f>IF(tips!$C191="Fri",1,0)</f>
        <v>0</v>
      </c>
      <c r="E191" s="1">
        <f>IF(tips!$C191="Sat",1,0)</f>
        <v>0</v>
      </c>
      <c r="F191" s="1">
        <f>IF(tips!$C191="Thur",1,0)</f>
        <v>0</v>
      </c>
      <c r="G191" s="1">
        <f>IF(tips!D191="Dinner",1,IF(tips!D191="Lunch",0,""))</f>
        <v>1</v>
      </c>
      <c r="H191" s="1">
        <v>3</v>
      </c>
      <c r="I191" s="7">
        <v>23.1</v>
      </c>
      <c r="J191" s="8">
        <v>4</v>
      </c>
    </row>
    <row r="192" spans="1:10" x14ac:dyDescent="0.3">
      <c r="A192" s="1">
        <f>IF(tips!A192="Female",1,IF(tips!A192="Male",0,""))</f>
        <v>0</v>
      </c>
      <c r="B192" s="1">
        <f>IF(tips!B192="Yes",1,IF(tips!B192="No",0,""))</f>
        <v>1</v>
      </c>
      <c r="C192" s="1">
        <f>IF(tips!$C192="Sun",1,0)</f>
        <v>1</v>
      </c>
      <c r="D192" s="1">
        <f>IF(tips!$C192="Fri",1,0)</f>
        <v>0</v>
      </c>
      <c r="E192" s="1">
        <f>IF(tips!$C192="Sat",1,0)</f>
        <v>0</v>
      </c>
      <c r="F192" s="1">
        <f>IF(tips!$C192="Thur",1,0)</f>
        <v>0</v>
      </c>
      <c r="G192" s="1">
        <f>IF(tips!D192="Dinner",1,IF(tips!D192="Lunch",0,""))</f>
        <v>1</v>
      </c>
      <c r="H192" s="1">
        <v>2</v>
      </c>
      <c r="I192" s="7">
        <v>15.69</v>
      </c>
      <c r="J192" s="8">
        <v>1.5</v>
      </c>
    </row>
    <row r="193" spans="1:10" x14ac:dyDescent="0.3">
      <c r="A193" s="1">
        <f>IF(tips!A193="Female",1,IF(tips!A193="Male",0,""))</f>
        <v>1</v>
      </c>
      <c r="B193" s="1">
        <f>IF(tips!B193="Yes",1,IF(tips!B193="No",0,""))</f>
        <v>1</v>
      </c>
      <c r="C193" s="1">
        <f>IF(tips!$C193="Sun",1,0)</f>
        <v>0</v>
      </c>
      <c r="D193" s="1">
        <f>IF(tips!$C193="Fri",1,0)</f>
        <v>0</v>
      </c>
      <c r="E193" s="1">
        <f>IF(tips!$C193="Sat",1,0)</f>
        <v>0</v>
      </c>
      <c r="F193" s="1">
        <f>IF(tips!$C193="Thur",1,0)</f>
        <v>1</v>
      </c>
      <c r="G193" s="1">
        <f>IF(tips!D193="Dinner",1,IF(tips!D193="Lunch",0,""))</f>
        <v>0</v>
      </c>
      <c r="H193" s="1">
        <v>2</v>
      </c>
      <c r="I193" s="7">
        <v>19.809999999999999</v>
      </c>
      <c r="J193" s="8">
        <v>4.1900000000000004</v>
      </c>
    </row>
    <row r="194" spans="1:10" x14ac:dyDescent="0.3">
      <c r="A194" s="1">
        <f>IF(tips!A194="Female",1,IF(tips!A194="Male",0,""))</f>
        <v>0</v>
      </c>
      <c r="B194" s="1">
        <f>IF(tips!B194="Yes",1,IF(tips!B194="No",0,""))</f>
        <v>1</v>
      </c>
      <c r="C194" s="1">
        <f>IF(tips!$C194="Sun",1,0)</f>
        <v>0</v>
      </c>
      <c r="D194" s="1">
        <f>IF(tips!$C194="Fri",1,0)</f>
        <v>0</v>
      </c>
      <c r="E194" s="1">
        <f>IF(tips!$C194="Sat",1,0)</f>
        <v>0</v>
      </c>
      <c r="F194" s="1">
        <f>IF(tips!$C194="Thur",1,0)</f>
        <v>1</v>
      </c>
      <c r="G194" s="1">
        <f>IF(tips!D194="Dinner",1,IF(tips!D194="Lunch",0,""))</f>
        <v>0</v>
      </c>
      <c r="H194" s="1">
        <v>2</v>
      </c>
      <c r="I194" s="7">
        <v>28.44</v>
      </c>
      <c r="J194" s="8">
        <v>2.56</v>
      </c>
    </row>
    <row r="195" spans="1:10" x14ac:dyDescent="0.3">
      <c r="A195" s="1">
        <f>IF(tips!A195="Female",1,IF(tips!A195="Male",0,""))</f>
        <v>0</v>
      </c>
      <c r="B195" s="1">
        <f>IF(tips!B195="Yes",1,IF(tips!B195="No",0,""))</f>
        <v>1</v>
      </c>
      <c r="C195" s="1">
        <f>IF(tips!$C195="Sun",1,0)</f>
        <v>0</v>
      </c>
      <c r="D195" s="1">
        <f>IF(tips!$C195="Fri",1,0)</f>
        <v>0</v>
      </c>
      <c r="E195" s="1">
        <f>IF(tips!$C195="Sat",1,0)</f>
        <v>0</v>
      </c>
      <c r="F195" s="1">
        <f>IF(tips!$C195="Thur",1,0)</f>
        <v>1</v>
      </c>
      <c r="G195" s="1">
        <f>IF(tips!D195="Dinner",1,IF(tips!D195="Lunch",0,""))</f>
        <v>0</v>
      </c>
      <c r="H195" s="1">
        <v>2</v>
      </c>
      <c r="I195" s="7">
        <v>15.48</v>
      </c>
      <c r="J195" s="8">
        <v>2.02</v>
      </c>
    </row>
    <row r="196" spans="1:10" x14ac:dyDescent="0.3">
      <c r="A196" s="1">
        <f>IF(tips!A196="Female",1,IF(tips!A196="Male",0,""))</f>
        <v>0</v>
      </c>
      <c r="B196" s="1">
        <f>IF(tips!B196="Yes",1,IF(tips!B196="No",0,""))</f>
        <v>1</v>
      </c>
      <c r="C196" s="1">
        <f>IF(tips!$C196="Sun",1,0)</f>
        <v>0</v>
      </c>
      <c r="D196" s="1">
        <f>IF(tips!$C196="Fri",1,0)</f>
        <v>0</v>
      </c>
      <c r="E196" s="1">
        <f>IF(tips!$C196="Sat",1,0)</f>
        <v>0</v>
      </c>
      <c r="F196" s="1">
        <f>IF(tips!$C196="Thur",1,0)</f>
        <v>1</v>
      </c>
      <c r="G196" s="1">
        <f>IF(tips!D196="Dinner",1,IF(tips!D196="Lunch",0,""))</f>
        <v>0</v>
      </c>
      <c r="H196" s="1">
        <v>2</v>
      </c>
      <c r="I196" s="7">
        <v>16.579999999999998</v>
      </c>
      <c r="J196" s="8">
        <v>4</v>
      </c>
    </row>
    <row r="197" spans="1:10" x14ac:dyDescent="0.3">
      <c r="A197" s="1">
        <f>IF(tips!A197="Female",1,IF(tips!A197="Male",0,""))</f>
        <v>0</v>
      </c>
      <c r="B197" s="1">
        <f>IF(tips!B197="Yes",1,IF(tips!B197="No",0,""))</f>
        <v>0</v>
      </c>
      <c r="C197" s="1">
        <f>IF(tips!$C197="Sun",1,0)</f>
        <v>0</v>
      </c>
      <c r="D197" s="1">
        <f>IF(tips!$C197="Fri",1,0)</f>
        <v>0</v>
      </c>
      <c r="E197" s="1">
        <f>IF(tips!$C197="Sat",1,0)</f>
        <v>0</v>
      </c>
      <c r="F197" s="1">
        <f>IF(tips!$C197="Thur",1,0)</f>
        <v>1</v>
      </c>
      <c r="G197" s="1">
        <f>IF(tips!D197="Dinner",1,IF(tips!D197="Lunch",0,""))</f>
        <v>0</v>
      </c>
      <c r="H197" s="1">
        <v>2</v>
      </c>
      <c r="I197" s="7">
        <v>7.56</v>
      </c>
      <c r="J197" s="8">
        <v>1.44</v>
      </c>
    </row>
    <row r="198" spans="1:10" x14ac:dyDescent="0.3">
      <c r="A198" s="1">
        <f>IF(tips!A198="Female",1,IF(tips!A198="Male",0,""))</f>
        <v>0</v>
      </c>
      <c r="B198" s="1">
        <f>IF(tips!B198="Yes",1,IF(tips!B198="No",0,""))</f>
        <v>1</v>
      </c>
      <c r="C198" s="1">
        <f>IF(tips!$C198="Sun",1,0)</f>
        <v>0</v>
      </c>
      <c r="D198" s="1">
        <f>IF(tips!$C198="Fri",1,0)</f>
        <v>0</v>
      </c>
      <c r="E198" s="1">
        <f>IF(tips!$C198="Sat",1,0)</f>
        <v>0</v>
      </c>
      <c r="F198" s="1">
        <f>IF(tips!$C198="Thur",1,0)</f>
        <v>1</v>
      </c>
      <c r="G198" s="1">
        <f>IF(tips!D198="Dinner",1,IF(tips!D198="Lunch",0,""))</f>
        <v>0</v>
      </c>
      <c r="H198" s="1">
        <v>2</v>
      </c>
      <c r="I198" s="7">
        <v>10.34</v>
      </c>
      <c r="J198" s="8">
        <v>2</v>
      </c>
    </row>
    <row r="199" spans="1:10" x14ac:dyDescent="0.3">
      <c r="A199" s="1">
        <f>IF(tips!A199="Female",1,IF(tips!A199="Male",0,""))</f>
        <v>1</v>
      </c>
      <c r="B199" s="1">
        <f>IF(tips!B199="Yes",1,IF(tips!B199="No",0,""))</f>
        <v>1</v>
      </c>
      <c r="C199" s="1">
        <f>IF(tips!$C199="Sun",1,0)</f>
        <v>0</v>
      </c>
      <c r="D199" s="1">
        <f>IF(tips!$C199="Fri",1,0)</f>
        <v>0</v>
      </c>
      <c r="E199" s="1">
        <f>IF(tips!$C199="Sat",1,0)</f>
        <v>0</v>
      </c>
      <c r="F199" s="1">
        <f>IF(tips!$C199="Thur",1,0)</f>
        <v>1</v>
      </c>
      <c r="G199" s="1">
        <f>IF(tips!D199="Dinner",1,IF(tips!D199="Lunch",0,""))</f>
        <v>0</v>
      </c>
      <c r="H199" s="1">
        <v>4</v>
      </c>
      <c r="I199" s="7">
        <v>43.11</v>
      </c>
      <c r="J199" s="8">
        <v>5</v>
      </c>
    </row>
    <row r="200" spans="1:10" x14ac:dyDescent="0.3">
      <c r="A200" s="1">
        <f>IF(tips!A200="Female",1,IF(tips!A200="Male",0,""))</f>
        <v>1</v>
      </c>
      <c r="B200" s="1">
        <f>IF(tips!B200="Yes",1,IF(tips!B200="No",0,""))</f>
        <v>1</v>
      </c>
      <c r="C200" s="1">
        <f>IF(tips!$C200="Sun",1,0)</f>
        <v>0</v>
      </c>
      <c r="D200" s="1">
        <f>IF(tips!$C200="Fri",1,0)</f>
        <v>0</v>
      </c>
      <c r="E200" s="1">
        <f>IF(tips!$C200="Sat",1,0)</f>
        <v>0</v>
      </c>
      <c r="F200" s="1">
        <f>IF(tips!$C200="Thur",1,0)</f>
        <v>1</v>
      </c>
      <c r="G200" s="1">
        <f>IF(tips!D200="Dinner",1,IF(tips!D200="Lunch",0,""))</f>
        <v>0</v>
      </c>
      <c r="H200" s="1">
        <v>2</v>
      </c>
      <c r="I200" s="7">
        <v>13</v>
      </c>
      <c r="J200" s="8">
        <v>2</v>
      </c>
    </row>
    <row r="201" spans="1:10" x14ac:dyDescent="0.3">
      <c r="A201" s="1">
        <f>IF(tips!A201="Female",1,IF(tips!A201="Male",0,""))</f>
        <v>0</v>
      </c>
      <c r="B201" s="1">
        <f>IF(tips!B201="Yes",1,IF(tips!B201="No",0,""))</f>
        <v>1</v>
      </c>
      <c r="C201" s="1">
        <f>IF(tips!$C201="Sun",1,0)</f>
        <v>0</v>
      </c>
      <c r="D201" s="1">
        <f>IF(tips!$C201="Fri",1,0)</f>
        <v>0</v>
      </c>
      <c r="E201" s="1">
        <f>IF(tips!$C201="Sat",1,0)</f>
        <v>0</v>
      </c>
      <c r="F201" s="1">
        <f>IF(tips!$C201="Thur",1,0)</f>
        <v>1</v>
      </c>
      <c r="G201" s="1">
        <f>IF(tips!D201="Dinner",1,IF(tips!D201="Lunch",0,""))</f>
        <v>0</v>
      </c>
      <c r="H201" s="1">
        <v>2</v>
      </c>
      <c r="I201" s="7">
        <v>13.51</v>
      </c>
      <c r="J201" s="8">
        <v>2</v>
      </c>
    </row>
    <row r="202" spans="1:10" x14ac:dyDescent="0.3">
      <c r="A202" s="1">
        <f>IF(tips!A202="Female",1,IF(tips!A202="Male",0,""))</f>
        <v>0</v>
      </c>
      <c r="B202" s="1">
        <f>IF(tips!B202="Yes",1,IF(tips!B202="No",0,""))</f>
        <v>1</v>
      </c>
      <c r="C202" s="1">
        <f>IF(tips!$C202="Sun",1,0)</f>
        <v>0</v>
      </c>
      <c r="D202" s="1">
        <f>IF(tips!$C202="Fri",1,0)</f>
        <v>0</v>
      </c>
      <c r="E202" s="1">
        <f>IF(tips!$C202="Sat",1,0)</f>
        <v>0</v>
      </c>
      <c r="F202" s="1">
        <f>IF(tips!$C202="Thur",1,0)</f>
        <v>1</v>
      </c>
      <c r="G202" s="1">
        <f>IF(tips!D202="Dinner",1,IF(tips!D202="Lunch",0,""))</f>
        <v>0</v>
      </c>
      <c r="H202" s="1">
        <v>3</v>
      </c>
      <c r="I202" s="7">
        <v>18.71</v>
      </c>
      <c r="J202" s="8">
        <v>4</v>
      </c>
    </row>
    <row r="203" spans="1:10" x14ac:dyDescent="0.3">
      <c r="A203" s="1">
        <f>IF(tips!A203="Female",1,IF(tips!A203="Male",0,""))</f>
        <v>1</v>
      </c>
      <c r="B203" s="1">
        <f>IF(tips!B203="Yes",1,IF(tips!B203="No",0,""))</f>
        <v>1</v>
      </c>
      <c r="C203" s="1">
        <f>IF(tips!$C203="Sun",1,0)</f>
        <v>0</v>
      </c>
      <c r="D203" s="1">
        <f>IF(tips!$C203="Fri",1,0)</f>
        <v>0</v>
      </c>
      <c r="E203" s="1">
        <f>IF(tips!$C203="Sat",1,0)</f>
        <v>0</v>
      </c>
      <c r="F203" s="1">
        <f>IF(tips!$C203="Thur",1,0)</f>
        <v>1</v>
      </c>
      <c r="G203" s="1">
        <f>IF(tips!D203="Dinner",1,IF(tips!D203="Lunch",0,""))</f>
        <v>0</v>
      </c>
      <c r="H203" s="1">
        <v>2</v>
      </c>
      <c r="I203" s="7">
        <v>12.74</v>
      </c>
      <c r="J203" s="8">
        <v>2.0099999999999998</v>
      </c>
    </row>
    <row r="204" spans="1:10" x14ac:dyDescent="0.3">
      <c r="A204" s="1">
        <f>IF(tips!A204="Female",1,IF(tips!A204="Male",0,""))</f>
        <v>1</v>
      </c>
      <c r="B204" s="1">
        <f>IF(tips!B204="Yes",1,IF(tips!B204="No",0,""))</f>
        <v>1</v>
      </c>
      <c r="C204" s="1">
        <f>IF(tips!$C204="Sun",1,0)</f>
        <v>0</v>
      </c>
      <c r="D204" s="1">
        <f>IF(tips!$C204="Fri",1,0)</f>
        <v>0</v>
      </c>
      <c r="E204" s="1">
        <f>IF(tips!$C204="Sat",1,0)</f>
        <v>0</v>
      </c>
      <c r="F204" s="1">
        <f>IF(tips!$C204="Thur",1,0)</f>
        <v>1</v>
      </c>
      <c r="G204" s="1">
        <f>IF(tips!D204="Dinner",1,IF(tips!D204="Lunch",0,""))</f>
        <v>0</v>
      </c>
      <c r="H204" s="1">
        <v>2</v>
      </c>
      <c r="I204" s="7">
        <v>13</v>
      </c>
      <c r="J204" s="8">
        <v>2</v>
      </c>
    </row>
    <row r="205" spans="1:10" x14ac:dyDescent="0.3">
      <c r="A205" s="1">
        <f>IF(tips!A205="Female",1,IF(tips!A205="Male",0,""))</f>
        <v>1</v>
      </c>
      <c r="B205" s="1">
        <f>IF(tips!B205="Yes",1,IF(tips!B205="No",0,""))</f>
        <v>1</v>
      </c>
      <c r="C205" s="1">
        <f>IF(tips!$C205="Sun",1,0)</f>
        <v>0</v>
      </c>
      <c r="D205" s="1">
        <f>IF(tips!$C205="Fri",1,0)</f>
        <v>0</v>
      </c>
      <c r="E205" s="1">
        <f>IF(tips!$C205="Sat",1,0)</f>
        <v>0</v>
      </c>
      <c r="F205" s="1">
        <f>IF(tips!$C205="Thur",1,0)</f>
        <v>1</v>
      </c>
      <c r="G205" s="1">
        <f>IF(tips!D205="Dinner",1,IF(tips!D205="Lunch",0,""))</f>
        <v>0</v>
      </c>
      <c r="H205" s="1">
        <v>2</v>
      </c>
      <c r="I205" s="7">
        <v>16.399999999999999</v>
      </c>
      <c r="J205" s="8">
        <v>2.5</v>
      </c>
    </row>
    <row r="206" spans="1:10" x14ac:dyDescent="0.3">
      <c r="A206" s="1">
        <f>IF(tips!A206="Female",1,IF(tips!A206="Male",0,""))</f>
        <v>0</v>
      </c>
      <c r="B206" s="1">
        <f>IF(tips!B206="Yes",1,IF(tips!B206="No",0,""))</f>
        <v>1</v>
      </c>
      <c r="C206" s="1">
        <f>IF(tips!$C206="Sun",1,0)</f>
        <v>0</v>
      </c>
      <c r="D206" s="1">
        <f>IF(tips!$C206="Fri",1,0)</f>
        <v>0</v>
      </c>
      <c r="E206" s="1">
        <f>IF(tips!$C206="Sat",1,0)</f>
        <v>0</v>
      </c>
      <c r="F206" s="1">
        <f>IF(tips!$C206="Thur",1,0)</f>
        <v>1</v>
      </c>
      <c r="G206" s="1">
        <f>IF(tips!D206="Dinner",1,IF(tips!D206="Lunch",0,""))</f>
        <v>0</v>
      </c>
      <c r="H206" s="1">
        <v>4</v>
      </c>
      <c r="I206" s="7">
        <v>20.53</v>
      </c>
      <c r="J206" s="8">
        <v>4</v>
      </c>
    </row>
    <row r="207" spans="1:10" x14ac:dyDescent="0.3">
      <c r="A207" s="1">
        <f>IF(tips!A207="Female",1,IF(tips!A207="Male",0,""))</f>
        <v>1</v>
      </c>
      <c r="B207" s="1">
        <f>IF(tips!B207="Yes",1,IF(tips!B207="No",0,""))</f>
        <v>1</v>
      </c>
      <c r="C207" s="1">
        <f>IF(tips!$C207="Sun",1,0)</f>
        <v>0</v>
      </c>
      <c r="D207" s="1">
        <f>IF(tips!$C207="Fri",1,0)</f>
        <v>0</v>
      </c>
      <c r="E207" s="1">
        <f>IF(tips!$C207="Sat",1,0)</f>
        <v>0</v>
      </c>
      <c r="F207" s="1">
        <f>IF(tips!$C207="Thur",1,0)</f>
        <v>1</v>
      </c>
      <c r="G207" s="1">
        <f>IF(tips!D207="Dinner",1,IF(tips!D207="Lunch",0,""))</f>
        <v>0</v>
      </c>
      <c r="H207" s="1">
        <v>3</v>
      </c>
      <c r="I207" s="7">
        <v>16.47</v>
      </c>
      <c r="J207" s="8">
        <v>3.23</v>
      </c>
    </row>
    <row r="208" spans="1:10" x14ac:dyDescent="0.3">
      <c r="A208" s="1">
        <f>IF(tips!A208="Female",1,IF(tips!A208="Male",0,""))</f>
        <v>0</v>
      </c>
      <c r="B208" s="1">
        <f>IF(tips!B208="Yes",1,IF(tips!B208="No",0,""))</f>
        <v>1</v>
      </c>
      <c r="C208" s="1">
        <f>IF(tips!$C208="Sun",1,0)</f>
        <v>0</v>
      </c>
      <c r="D208" s="1">
        <f>IF(tips!$C208="Fri",1,0)</f>
        <v>0</v>
      </c>
      <c r="E208" s="1">
        <f>IF(tips!$C208="Sat",1,0)</f>
        <v>1</v>
      </c>
      <c r="F208" s="1">
        <f>IF(tips!$C208="Thur",1,0)</f>
        <v>0</v>
      </c>
      <c r="G208" s="1">
        <f>IF(tips!D208="Dinner",1,IF(tips!D208="Lunch",0,""))</f>
        <v>1</v>
      </c>
      <c r="H208" s="1">
        <v>3</v>
      </c>
      <c r="I208" s="7">
        <v>26.59</v>
      </c>
      <c r="J208" s="8">
        <v>3.41</v>
      </c>
    </row>
    <row r="209" spans="1:10" x14ac:dyDescent="0.3">
      <c r="A209" s="1">
        <f>IF(tips!A209="Female",1,IF(tips!A209="Male",0,""))</f>
        <v>0</v>
      </c>
      <c r="B209" s="1">
        <f>IF(tips!B209="Yes",1,IF(tips!B209="No",0,""))</f>
        <v>1</v>
      </c>
      <c r="C209" s="1">
        <f>IF(tips!$C209="Sun",1,0)</f>
        <v>0</v>
      </c>
      <c r="D209" s="1">
        <f>IF(tips!$C209="Fri",1,0)</f>
        <v>0</v>
      </c>
      <c r="E209" s="1">
        <f>IF(tips!$C209="Sat",1,0)</f>
        <v>1</v>
      </c>
      <c r="F209" s="1">
        <f>IF(tips!$C209="Thur",1,0)</f>
        <v>0</v>
      </c>
      <c r="G209" s="1">
        <f>IF(tips!D209="Dinner",1,IF(tips!D209="Lunch",0,""))</f>
        <v>1</v>
      </c>
      <c r="H209" s="1">
        <v>4</v>
      </c>
      <c r="I209" s="7">
        <v>38.729999999999997</v>
      </c>
      <c r="J209" s="8">
        <v>3</v>
      </c>
    </row>
    <row r="210" spans="1:10" x14ac:dyDescent="0.3">
      <c r="A210" s="1">
        <f>IF(tips!A210="Female",1,IF(tips!A210="Male",0,""))</f>
        <v>0</v>
      </c>
      <c r="B210" s="1">
        <f>IF(tips!B210="Yes",1,IF(tips!B210="No",0,""))</f>
        <v>1</v>
      </c>
      <c r="C210" s="1">
        <f>IF(tips!$C210="Sun",1,0)</f>
        <v>0</v>
      </c>
      <c r="D210" s="1">
        <f>IF(tips!$C210="Fri",1,0)</f>
        <v>0</v>
      </c>
      <c r="E210" s="1">
        <f>IF(tips!$C210="Sat",1,0)</f>
        <v>1</v>
      </c>
      <c r="F210" s="1">
        <f>IF(tips!$C210="Thur",1,0)</f>
        <v>0</v>
      </c>
      <c r="G210" s="1">
        <f>IF(tips!D210="Dinner",1,IF(tips!D210="Lunch",0,""))</f>
        <v>1</v>
      </c>
      <c r="H210" s="1">
        <v>2</v>
      </c>
      <c r="I210" s="7">
        <v>24.27</v>
      </c>
      <c r="J210" s="8">
        <v>2.0299999999999998</v>
      </c>
    </row>
    <row r="211" spans="1:10" x14ac:dyDescent="0.3">
      <c r="A211" s="1">
        <f>IF(tips!A211="Female",1,IF(tips!A211="Male",0,""))</f>
        <v>1</v>
      </c>
      <c r="B211" s="1">
        <f>IF(tips!B211="Yes",1,IF(tips!B211="No",0,""))</f>
        <v>1</v>
      </c>
      <c r="C211" s="1">
        <f>IF(tips!$C211="Sun",1,0)</f>
        <v>0</v>
      </c>
      <c r="D211" s="1">
        <f>IF(tips!$C211="Fri",1,0)</f>
        <v>0</v>
      </c>
      <c r="E211" s="1">
        <f>IF(tips!$C211="Sat",1,0)</f>
        <v>1</v>
      </c>
      <c r="F211" s="1">
        <f>IF(tips!$C211="Thur",1,0)</f>
        <v>0</v>
      </c>
      <c r="G211" s="1">
        <f>IF(tips!D211="Dinner",1,IF(tips!D211="Lunch",0,""))</f>
        <v>1</v>
      </c>
      <c r="H211" s="1">
        <v>2</v>
      </c>
      <c r="I211" s="7">
        <v>12.76</v>
      </c>
      <c r="J211" s="8">
        <v>2.23</v>
      </c>
    </row>
    <row r="212" spans="1:10" x14ac:dyDescent="0.3">
      <c r="A212" s="1">
        <f>IF(tips!A212="Female",1,IF(tips!A212="Male",0,""))</f>
        <v>0</v>
      </c>
      <c r="B212" s="1">
        <f>IF(tips!B212="Yes",1,IF(tips!B212="No",0,""))</f>
        <v>1</v>
      </c>
      <c r="C212" s="1">
        <f>IF(tips!$C212="Sun",1,0)</f>
        <v>0</v>
      </c>
      <c r="D212" s="1">
        <f>IF(tips!$C212="Fri",1,0)</f>
        <v>0</v>
      </c>
      <c r="E212" s="1">
        <f>IF(tips!$C212="Sat",1,0)</f>
        <v>1</v>
      </c>
      <c r="F212" s="1">
        <f>IF(tips!$C212="Thur",1,0)</f>
        <v>0</v>
      </c>
      <c r="G212" s="1">
        <f>IF(tips!D212="Dinner",1,IF(tips!D212="Lunch",0,""))</f>
        <v>1</v>
      </c>
      <c r="H212" s="1">
        <v>3</v>
      </c>
      <c r="I212" s="7">
        <v>30.06</v>
      </c>
      <c r="J212" s="8">
        <v>2</v>
      </c>
    </row>
    <row r="213" spans="1:10" x14ac:dyDescent="0.3">
      <c r="A213" s="1">
        <f>IF(tips!A213="Female",1,IF(tips!A213="Male",0,""))</f>
        <v>0</v>
      </c>
      <c r="B213" s="1">
        <f>IF(tips!B213="Yes",1,IF(tips!B213="No",0,""))</f>
        <v>1</v>
      </c>
      <c r="C213" s="1">
        <f>IF(tips!$C213="Sun",1,0)</f>
        <v>0</v>
      </c>
      <c r="D213" s="1">
        <f>IF(tips!$C213="Fri",1,0)</f>
        <v>0</v>
      </c>
      <c r="E213" s="1">
        <f>IF(tips!$C213="Sat",1,0)</f>
        <v>1</v>
      </c>
      <c r="F213" s="1">
        <f>IF(tips!$C213="Thur",1,0)</f>
        <v>0</v>
      </c>
      <c r="G213" s="1">
        <f>IF(tips!D213="Dinner",1,IF(tips!D213="Lunch",0,""))</f>
        <v>1</v>
      </c>
      <c r="H213" s="1">
        <v>4</v>
      </c>
      <c r="I213" s="7">
        <v>25.89</v>
      </c>
      <c r="J213" s="8">
        <v>5.16</v>
      </c>
    </row>
    <row r="214" spans="1:10" x14ac:dyDescent="0.3">
      <c r="A214" s="1">
        <f>IF(tips!A214="Female",1,IF(tips!A214="Male",0,""))</f>
        <v>0</v>
      </c>
      <c r="B214" s="1">
        <f>IF(tips!B214="Yes",1,IF(tips!B214="No",0,""))</f>
        <v>0</v>
      </c>
      <c r="C214" s="1">
        <f>IF(tips!$C214="Sun",1,0)</f>
        <v>0</v>
      </c>
      <c r="D214" s="1">
        <f>IF(tips!$C214="Fri",1,0)</f>
        <v>0</v>
      </c>
      <c r="E214" s="1">
        <f>IF(tips!$C214="Sat",1,0)</f>
        <v>1</v>
      </c>
      <c r="F214" s="1">
        <f>IF(tips!$C214="Thur",1,0)</f>
        <v>0</v>
      </c>
      <c r="G214" s="1">
        <f>IF(tips!D214="Dinner",1,IF(tips!D214="Lunch",0,""))</f>
        <v>1</v>
      </c>
      <c r="H214" s="1">
        <v>4</v>
      </c>
      <c r="I214" s="7">
        <v>48.33</v>
      </c>
      <c r="J214" s="8">
        <v>9</v>
      </c>
    </row>
    <row r="215" spans="1:10" x14ac:dyDescent="0.3">
      <c r="A215" s="1">
        <f>IF(tips!A215="Female",1,IF(tips!A215="Male",0,""))</f>
        <v>1</v>
      </c>
      <c r="B215" s="1">
        <f>IF(tips!B215="Yes",1,IF(tips!B215="No",0,""))</f>
        <v>1</v>
      </c>
      <c r="C215" s="1">
        <f>IF(tips!$C215="Sun",1,0)</f>
        <v>0</v>
      </c>
      <c r="D215" s="1">
        <f>IF(tips!$C215="Fri",1,0)</f>
        <v>0</v>
      </c>
      <c r="E215" s="1">
        <f>IF(tips!$C215="Sat",1,0)</f>
        <v>1</v>
      </c>
      <c r="F215" s="1">
        <f>IF(tips!$C215="Thur",1,0)</f>
        <v>0</v>
      </c>
      <c r="G215" s="1">
        <f>IF(tips!D215="Dinner",1,IF(tips!D215="Lunch",0,""))</f>
        <v>1</v>
      </c>
      <c r="H215" s="1">
        <v>2</v>
      </c>
      <c r="I215" s="7">
        <v>13.27</v>
      </c>
      <c r="J215" s="8">
        <v>2.5</v>
      </c>
    </row>
    <row r="216" spans="1:10" x14ac:dyDescent="0.3">
      <c r="A216" s="1">
        <f>IF(tips!A216="Female",1,IF(tips!A216="Male",0,""))</f>
        <v>1</v>
      </c>
      <c r="B216" s="1">
        <f>IF(tips!B216="Yes",1,IF(tips!B216="No",0,""))</f>
        <v>1</v>
      </c>
      <c r="C216" s="1">
        <f>IF(tips!$C216="Sun",1,0)</f>
        <v>0</v>
      </c>
      <c r="D216" s="1">
        <f>IF(tips!$C216="Fri",1,0)</f>
        <v>0</v>
      </c>
      <c r="E216" s="1">
        <f>IF(tips!$C216="Sat",1,0)</f>
        <v>1</v>
      </c>
      <c r="F216" s="1">
        <f>IF(tips!$C216="Thur",1,0)</f>
        <v>0</v>
      </c>
      <c r="G216" s="1">
        <f>IF(tips!D216="Dinner",1,IF(tips!D216="Lunch",0,""))</f>
        <v>1</v>
      </c>
      <c r="H216" s="1">
        <v>3</v>
      </c>
      <c r="I216" s="7">
        <v>28.17</v>
      </c>
      <c r="J216" s="8">
        <v>6.5</v>
      </c>
    </row>
    <row r="217" spans="1:10" x14ac:dyDescent="0.3">
      <c r="A217" s="1">
        <f>IF(tips!A217="Female",1,IF(tips!A217="Male",0,""))</f>
        <v>1</v>
      </c>
      <c r="B217" s="1">
        <f>IF(tips!B217="Yes",1,IF(tips!B217="No",0,""))</f>
        <v>1</v>
      </c>
      <c r="C217" s="1">
        <f>IF(tips!$C217="Sun",1,0)</f>
        <v>0</v>
      </c>
      <c r="D217" s="1">
        <f>IF(tips!$C217="Fri",1,0)</f>
        <v>0</v>
      </c>
      <c r="E217" s="1">
        <f>IF(tips!$C217="Sat",1,0)</f>
        <v>1</v>
      </c>
      <c r="F217" s="1">
        <f>IF(tips!$C217="Thur",1,0)</f>
        <v>0</v>
      </c>
      <c r="G217" s="1">
        <f>IF(tips!D217="Dinner",1,IF(tips!D217="Lunch",0,""))</f>
        <v>1</v>
      </c>
      <c r="H217" s="1">
        <v>2</v>
      </c>
      <c r="I217" s="7">
        <v>12.9</v>
      </c>
      <c r="J217" s="8">
        <v>1.1000000000000001</v>
      </c>
    </row>
    <row r="218" spans="1:10" x14ac:dyDescent="0.3">
      <c r="A218" s="1">
        <f>IF(tips!A218="Female",1,IF(tips!A218="Male",0,""))</f>
        <v>0</v>
      </c>
      <c r="B218" s="1">
        <f>IF(tips!B218="Yes",1,IF(tips!B218="No",0,""))</f>
        <v>1</v>
      </c>
      <c r="C218" s="1">
        <f>IF(tips!$C218="Sun",1,0)</f>
        <v>0</v>
      </c>
      <c r="D218" s="1">
        <f>IF(tips!$C218="Fri",1,0)</f>
        <v>0</v>
      </c>
      <c r="E218" s="1">
        <f>IF(tips!$C218="Sat",1,0)</f>
        <v>1</v>
      </c>
      <c r="F218" s="1">
        <f>IF(tips!$C218="Thur",1,0)</f>
        <v>0</v>
      </c>
      <c r="G218" s="1">
        <f>IF(tips!D218="Dinner",1,IF(tips!D218="Lunch",0,""))</f>
        <v>1</v>
      </c>
      <c r="H218" s="1">
        <v>5</v>
      </c>
      <c r="I218" s="7">
        <v>28.15</v>
      </c>
      <c r="J218" s="8">
        <v>3</v>
      </c>
    </row>
    <row r="219" spans="1:10" x14ac:dyDescent="0.3">
      <c r="A219" s="1">
        <f>IF(tips!A219="Female",1,IF(tips!A219="Male",0,""))</f>
        <v>0</v>
      </c>
      <c r="B219" s="1">
        <f>IF(tips!B219="Yes",1,IF(tips!B219="No",0,""))</f>
        <v>1</v>
      </c>
      <c r="C219" s="1">
        <f>IF(tips!$C219="Sun",1,0)</f>
        <v>0</v>
      </c>
      <c r="D219" s="1">
        <f>IF(tips!$C219="Fri",1,0)</f>
        <v>0</v>
      </c>
      <c r="E219" s="1">
        <f>IF(tips!$C219="Sat",1,0)</f>
        <v>1</v>
      </c>
      <c r="F219" s="1">
        <f>IF(tips!$C219="Thur",1,0)</f>
        <v>0</v>
      </c>
      <c r="G219" s="1">
        <f>IF(tips!D219="Dinner",1,IF(tips!D219="Lunch",0,""))</f>
        <v>1</v>
      </c>
      <c r="H219" s="1">
        <v>2</v>
      </c>
      <c r="I219" s="7">
        <v>11.59</v>
      </c>
      <c r="J219" s="8">
        <v>1.5</v>
      </c>
    </row>
    <row r="220" spans="1:10" x14ac:dyDescent="0.3">
      <c r="A220" s="1">
        <f>IF(tips!A220="Female",1,IF(tips!A220="Male",0,""))</f>
        <v>0</v>
      </c>
      <c r="B220" s="1">
        <f>IF(tips!B220="Yes",1,IF(tips!B220="No",0,""))</f>
        <v>1</v>
      </c>
      <c r="C220" s="1">
        <f>IF(tips!$C220="Sun",1,0)</f>
        <v>0</v>
      </c>
      <c r="D220" s="1">
        <f>IF(tips!$C220="Fri",1,0)</f>
        <v>0</v>
      </c>
      <c r="E220" s="1">
        <f>IF(tips!$C220="Sat",1,0)</f>
        <v>1</v>
      </c>
      <c r="F220" s="1">
        <f>IF(tips!$C220="Thur",1,0)</f>
        <v>0</v>
      </c>
      <c r="G220" s="1">
        <f>IF(tips!D220="Dinner",1,IF(tips!D220="Lunch",0,""))</f>
        <v>1</v>
      </c>
      <c r="H220" s="1">
        <v>2</v>
      </c>
      <c r="I220" s="7">
        <v>7.74</v>
      </c>
      <c r="J220" s="8">
        <v>1.44</v>
      </c>
    </row>
    <row r="221" spans="1:10" x14ac:dyDescent="0.3">
      <c r="A221" s="1">
        <f>IF(tips!A221="Female",1,IF(tips!A221="Male",0,""))</f>
        <v>1</v>
      </c>
      <c r="B221" s="1">
        <f>IF(tips!B221="Yes",1,IF(tips!B221="No",0,""))</f>
        <v>1</v>
      </c>
      <c r="C221" s="1">
        <f>IF(tips!$C221="Sun",1,0)</f>
        <v>0</v>
      </c>
      <c r="D221" s="1">
        <f>IF(tips!$C221="Fri",1,0)</f>
        <v>0</v>
      </c>
      <c r="E221" s="1">
        <f>IF(tips!$C221="Sat",1,0)</f>
        <v>1</v>
      </c>
      <c r="F221" s="1">
        <f>IF(tips!$C221="Thur",1,0)</f>
        <v>0</v>
      </c>
      <c r="G221" s="1">
        <f>IF(tips!D221="Dinner",1,IF(tips!D221="Lunch",0,""))</f>
        <v>1</v>
      </c>
      <c r="H221" s="1">
        <v>4</v>
      </c>
      <c r="I221" s="7">
        <v>30.14</v>
      </c>
      <c r="J221" s="8">
        <v>3.09</v>
      </c>
    </row>
    <row r="222" spans="1:10" x14ac:dyDescent="0.3">
      <c r="A222" s="1">
        <f>IF(tips!A222="Female",1,IF(tips!A222="Male",0,""))</f>
        <v>0</v>
      </c>
      <c r="B222" s="1">
        <f>IF(tips!B222="Yes",1,IF(tips!B222="No",0,""))</f>
        <v>1</v>
      </c>
      <c r="C222" s="1">
        <f>IF(tips!$C222="Sun",1,0)</f>
        <v>0</v>
      </c>
      <c r="D222" s="1">
        <f>IF(tips!$C222="Fri",1,0)</f>
        <v>1</v>
      </c>
      <c r="E222" s="1">
        <f>IF(tips!$C222="Sat",1,0)</f>
        <v>0</v>
      </c>
      <c r="F222" s="1">
        <f>IF(tips!$C222="Thur",1,0)</f>
        <v>0</v>
      </c>
      <c r="G222" s="1">
        <f>IF(tips!D222="Dinner",1,IF(tips!D222="Lunch",0,""))</f>
        <v>0</v>
      </c>
      <c r="H222" s="1">
        <v>2</v>
      </c>
      <c r="I222" s="7">
        <v>12.16</v>
      </c>
      <c r="J222" s="8">
        <v>2.2000000000000002</v>
      </c>
    </row>
    <row r="223" spans="1:10" x14ac:dyDescent="0.3">
      <c r="A223" s="1">
        <f>IF(tips!A223="Female",1,IF(tips!A223="Male",0,""))</f>
        <v>1</v>
      </c>
      <c r="B223" s="1">
        <f>IF(tips!B223="Yes",1,IF(tips!B223="No",0,""))</f>
        <v>1</v>
      </c>
      <c r="C223" s="1">
        <f>IF(tips!$C223="Sun",1,0)</f>
        <v>0</v>
      </c>
      <c r="D223" s="1">
        <f>IF(tips!$C223="Fri",1,0)</f>
        <v>1</v>
      </c>
      <c r="E223" s="1">
        <f>IF(tips!$C223="Sat",1,0)</f>
        <v>0</v>
      </c>
      <c r="F223" s="1">
        <f>IF(tips!$C223="Thur",1,0)</f>
        <v>0</v>
      </c>
      <c r="G223" s="1">
        <f>IF(tips!D223="Dinner",1,IF(tips!D223="Lunch",0,""))</f>
        <v>0</v>
      </c>
      <c r="H223" s="1">
        <v>2</v>
      </c>
      <c r="I223" s="7">
        <v>13.42</v>
      </c>
      <c r="J223" s="8">
        <v>3.48</v>
      </c>
    </row>
    <row r="224" spans="1:10" x14ac:dyDescent="0.3">
      <c r="A224" s="1">
        <f>IF(tips!A224="Female",1,IF(tips!A224="Male",0,""))</f>
        <v>0</v>
      </c>
      <c r="B224" s="1">
        <f>IF(tips!B224="Yes",1,IF(tips!B224="No",0,""))</f>
        <v>1</v>
      </c>
      <c r="C224" s="1">
        <f>IF(tips!$C224="Sun",1,0)</f>
        <v>0</v>
      </c>
      <c r="D224" s="1">
        <f>IF(tips!$C224="Fri",1,0)</f>
        <v>1</v>
      </c>
      <c r="E224" s="1">
        <f>IF(tips!$C224="Sat",1,0)</f>
        <v>0</v>
      </c>
      <c r="F224" s="1">
        <f>IF(tips!$C224="Thur",1,0)</f>
        <v>0</v>
      </c>
      <c r="G224" s="1">
        <f>IF(tips!D224="Dinner",1,IF(tips!D224="Lunch",0,""))</f>
        <v>0</v>
      </c>
      <c r="H224" s="1">
        <v>1</v>
      </c>
      <c r="I224" s="7">
        <v>8.58</v>
      </c>
      <c r="J224" s="8">
        <v>1.92</v>
      </c>
    </row>
    <row r="225" spans="1:10" x14ac:dyDescent="0.3">
      <c r="A225" s="1">
        <f>IF(tips!A225="Female",1,IF(tips!A225="Male",0,""))</f>
        <v>1</v>
      </c>
      <c r="B225" s="1">
        <f>IF(tips!B225="Yes",1,IF(tips!B225="No",0,""))</f>
        <v>0</v>
      </c>
      <c r="C225" s="1">
        <f>IF(tips!$C225="Sun",1,0)</f>
        <v>0</v>
      </c>
      <c r="D225" s="1">
        <f>IF(tips!$C225="Fri",1,0)</f>
        <v>1</v>
      </c>
      <c r="E225" s="1">
        <f>IF(tips!$C225="Sat",1,0)</f>
        <v>0</v>
      </c>
      <c r="F225" s="1">
        <f>IF(tips!$C225="Thur",1,0)</f>
        <v>0</v>
      </c>
      <c r="G225" s="1">
        <f>IF(tips!D225="Dinner",1,IF(tips!D225="Lunch",0,""))</f>
        <v>0</v>
      </c>
      <c r="H225" s="1">
        <v>3</v>
      </c>
      <c r="I225" s="7">
        <v>15.98</v>
      </c>
      <c r="J225" s="8">
        <v>3</v>
      </c>
    </row>
    <row r="226" spans="1:10" x14ac:dyDescent="0.3">
      <c r="A226" s="1">
        <f>IF(tips!A226="Female",1,IF(tips!A226="Male",0,""))</f>
        <v>0</v>
      </c>
      <c r="B226" s="1">
        <f>IF(tips!B226="Yes",1,IF(tips!B226="No",0,""))</f>
        <v>1</v>
      </c>
      <c r="C226" s="1">
        <f>IF(tips!$C226="Sun",1,0)</f>
        <v>0</v>
      </c>
      <c r="D226" s="1">
        <f>IF(tips!$C226="Fri",1,0)</f>
        <v>1</v>
      </c>
      <c r="E226" s="1">
        <f>IF(tips!$C226="Sat",1,0)</f>
        <v>0</v>
      </c>
      <c r="F226" s="1">
        <f>IF(tips!$C226="Thur",1,0)</f>
        <v>0</v>
      </c>
      <c r="G226" s="1">
        <f>IF(tips!D226="Dinner",1,IF(tips!D226="Lunch",0,""))</f>
        <v>0</v>
      </c>
      <c r="H226" s="1">
        <v>2</v>
      </c>
      <c r="I226" s="7">
        <v>13.42</v>
      </c>
      <c r="J226" s="8">
        <v>1.58</v>
      </c>
    </row>
    <row r="227" spans="1:10" x14ac:dyDescent="0.3">
      <c r="A227" s="1">
        <f>IF(tips!A227="Female",1,IF(tips!A227="Male",0,""))</f>
        <v>1</v>
      </c>
      <c r="B227" s="1">
        <f>IF(tips!B227="Yes",1,IF(tips!B227="No",0,""))</f>
        <v>1</v>
      </c>
      <c r="C227" s="1">
        <f>IF(tips!$C227="Sun",1,0)</f>
        <v>0</v>
      </c>
      <c r="D227" s="1">
        <f>IF(tips!$C227="Fri",1,0)</f>
        <v>1</v>
      </c>
      <c r="E227" s="1">
        <f>IF(tips!$C227="Sat",1,0)</f>
        <v>0</v>
      </c>
      <c r="F227" s="1">
        <f>IF(tips!$C227="Thur",1,0)</f>
        <v>0</v>
      </c>
      <c r="G227" s="1">
        <f>IF(tips!D227="Dinner",1,IF(tips!D227="Lunch",0,""))</f>
        <v>0</v>
      </c>
      <c r="H227" s="1">
        <v>2</v>
      </c>
      <c r="I227" s="7">
        <v>16.27</v>
      </c>
      <c r="J227" s="8">
        <v>2.5</v>
      </c>
    </row>
    <row r="228" spans="1:10" x14ac:dyDescent="0.3">
      <c r="A228" s="1">
        <f>IF(tips!A228="Female",1,IF(tips!A228="Male",0,""))</f>
        <v>1</v>
      </c>
      <c r="B228" s="1">
        <f>IF(tips!B228="Yes",1,IF(tips!B228="No",0,""))</f>
        <v>1</v>
      </c>
      <c r="C228" s="1">
        <f>IF(tips!$C228="Sun",1,0)</f>
        <v>0</v>
      </c>
      <c r="D228" s="1">
        <f>IF(tips!$C228="Fri",1,0)</f>
        <v>1</v>
      </c>
      <c r="E228" s="1">
        <f>IF(tips!$C228="Sat",1,0)</f>
        <v>0</v>
      </c>
      <c r="F228" s="1">
        <f>IF(tips!$C228="Thur",1,0)</f>
        <v>0</v>
      </c>
      <c r="G228" s="1">
        <f>IF(tips!D228="Dinner",1,IF(tips!D228="Lunch",0,""))</f>
        <v>0</v>
      </c>
      <c r="H228" s="1">
        <v>2</v>
      </c>
      <c r="I228" s="7">
        <v>10.09</v>
      </c>
      <c r="J228" s="8">
        <v>2</v>
      </c>
    </row>
    <row r="229" spans="1:10" x14ac:dyDescent="0.3">
      <c r="A229" s="1">
        <f>IF(tips!A229="Female",1,IF(tips!A229="Male",0,""))</f>
        <v>0</v>
      </c>
      <c r="B229" s="1">
        <f>IF(tips!B229="Yes",1,IF(tips!B229="No",0,""))</f>
        <v>0</v>
      </c>
      <c r="C229" s="1">
        <f>IF(tips!$C229="Sun",1,0)</f>
        <v>0</v>
      </c>
      <c r="D229" s="1">
        <f>IF(tips!$C229="Fri",1,0)</f>
        <v>0</v>
      </c>
      <c r="E229" s="1">
        <f>IF(tips!$C229="Sat",1,0)</f>
        <v>1</v>
      </c>
      <c r="F229" s="1">
        <f>IF(tips!$C229="Thur",1,0)</f>
        <v>0</v>
      </c>
      <c r="G229" s="1">
        <f>IF(tips!D229="Dinner",1,IF(tips!D229="Lunch",0,""))</f>
        <v>1</v>
      </c>
      <c r="H229" s="1">
        <v>4</v>
      </c>
      <c r="I229" s="7">
        <v>20.45</v>
      </c>
      <c r="J229" s="8">
        <v>3</v>
      </c>
    </row>
    <row r="230" spans="1:10" x14ac:dyDescent="0.3">
      <c r="A230" s="1">
        <f>IF(tips!A230="Female",1,IF(tips!A230="Male",0,""))</f>
        <v>0</v>
      </c>
      <c r="B230" s="1">
        <f>IF(tips!B230="Yes",1,IF(tips!B230="No",0,""))</f>
        <v>0</v>
      </c>
      <c r="C230" s="1">
        <f>IF(tips!$C230="Sun",1,0)</f>
        <v>0</v>
      </c>
      <c r="D230" s="1">
        <f>IF(tips!$C230="Fri",1,0)</f>
        <v>0</v>
      </c>
      <c r="E230" s="1">
        <f>IF(tips!$C230="Sat",1,0)</f>
        <v>1</v>
      </c>
      <c r="F230" s="1">
        <f>IF(tips!$C230="Thur",1,0)</f>
        <v>0</v>
      </c>
      <c r="G230" s="1">
        <f>IF(tips!D230="Dinner",1,IF(tips!D230="Lunch",0,""))</f>
        <v>1</v>
      </c>
      <c r="H230" s="1">
        <v>2</v>
      </c>
      <c r="I230" s="7">
        <v>13.28</v>
      </c>
      <c r="J230" s="8">
        <v>2.72</v>
      </c>
    </row>
    <row r="231" spans="1:10" x14ac:dyDescent="0.3">
      <c r="A231" s="1">
        <f>IF(tips!A231="Female",1,IF(tips!A231="Male",0,""))</f>
        <v>1</v>
      </c>
      <c r="B231" s="1">
        <f>IF(tips!B231="Yes",1,IF(tips!B231="No",0,""))</f>
        <v>1</v>
      </c>
      <c r="C231" s="1">
        <f>IF(tips!$C231="Sun",1,0)</f>
        <v>0</v>
      </c>
      <c r="D231" s="1">
        <f>IF(tips!$C231="Fri",1,0)</f>
        <v>0</v>
      </c>
      <c r="E231" s="1">
        <f>IF(tips!$C231="Sat",1,0)</f>
        <v>1</v>
      </c>
      <c r="F231" s="1">
        <f>IF(tips!$C231="Thur",1,0)</f>
        <v>0</v>
      </c>
      <c r="G231" s="1">
        <f>IF(tips!D231="Dinner",1,IF(tips!D231="Lunch",0,""))</f>
        <v>1</v>
      </c>
      <c r="H231" s="1">
        <v>2</v>
      </c>
      <c r="I231" s="7">
        <v>22.12</v>
      </c>
      <c r="J231" s="8">
        <v>2.88</v>
      </c>
    </row>
    <row r="232" spans="1:10" x14ac:dyDescent="0.3">
      <c r="A232" s="1">
        <f>IF(tips!A232="Female",1,IF(tips!A232="Male",0,""))</f>
        <v>0</v>
      </c>
      <c r="B232" s="1">
        <f>IF(tips!B232="Yes",1,IF(tips!B232="No",0,""))</f>
        <v>1</v>
      </c>
      <c r="C232" s="1">
        <f>IF(tips!$C232="Sun",1,0)</f>
        <v>0</v>
      </c>
      <c r="D232" s="1">
        <f>IF(tips!$C232="Fri",1,0)</f>
        <v>0</v>
      </c>
      <c r="E232" s="1">
        <f>IF(tips!$C232="Sat",1,0)</f>
        <v>1</v>
      </c>
      <c r="F232" s="1">
        <f>IF(tips!$C232="Thur",1,0)</f>
        <v>0</v>
      </c>
      <c r="G232" s="1">
        <f>IF(tips!D232="Dinner",1,IF(tips!D232="Lunch",0,""))</f>
        <v>1</v>
      </c>
      <c r="H232" s="1">
        <v>4</v>
      </c>
      <c r="I232" s="7">
        <v>24.01</v>
      </c>
      <c r="J232" s="8">
        <v>2</v>
      </c>
    </row>
    <row r="233" spans="1:10" x14ac:dyDescent="0.3">
      <c r="A233" s="1">
        <f>IF(tips!A233="Female",1,IF(tips!A233="Male",0,""))</f>
        <v>0</v>
      </c>
      <c r="B233" s="1">
        <f>IF(tips!B233="Yes",1,IF(tips!B233="No",0,""))</f>
        <v>1</v>
      </c>
      <c r="C233" s="1">
        <f>IF(tips!$C233="Sun",1,0)</f>
        <v>0</v>
      </c>
      <c r="D233" s="1">
        <f>IF(tips!$C233="Fri",1,0)</f>
        <v>0</v>
      </c>
      <c r="E233" s="1">
        <f>IF(tips!$C233="Sat",1,0)</f>
        <v>1</v>
      </c>
      <c r="F233" s="1">
        <f>IF(tips!$C233="Thur",1,0)</f>
        <v>0</v>
      </c>
      <c r="G233" s="1">
        <f>IF(tips!D233="Dinner",1,IF(tips!D233="Lunch",0,""))</f>
        <v>1</v>
      </c>
      <c r="H233" s="1">
        <v>3</v>
      </c>
      <c r="I233" s="7">
        <v>15.69</v>
      </c>
      <c r="J233" s="8">
        <v>3</v>
      </c>
    </row>
    <row r="234" spans="1:10" x14ac:dyDescent="0.3">
      <c r="A234" s="1">
        <f>IF(tips!A234="Female",1,IF(tips!A234="Male",0,""))</f>
        <v>0</v>
      </c>
      <c r="B234" s="1">
        <f>IF(tips!B234="Yes",1,IF(tips!B234="No",0,""))</f>
        <v>0</v>
      </c>
      <c r="C234" s="1">
        <f>IF(tips!$C234="Sun",1,0)</f>
        <v>0</v>
      </c>
      <c r="D234" s="1">
        <f>IF(tips!$C234="Fri",1,0)</f>
        <v>0</v>
      </c>
      <c r="E234" s="1">
        <f>IF(tips!$C234="Sat",1,0)</f>
        <v>1</v>
      </c>
      <c r="F234" s="1">
        <f>IF(tips!$C234="Thur",1,0)</f>
        <v>0</v>
      </c>
      <c r="G234" s="1">
        <f>IF(tips!D234="Dinner",1,IF(tips!D234="Lunch",0,""))</f>
        <v>1</v>
      </c>
      <c r="H234" s="1">
        <v>2</v>
      </c>
      <c r="I234" s="7">
        <v>11.61</v>
      </c>
      <c r="J234" s="8">
        <v>3.39</v>
      </c>
    </row>
    <row r="235" spans="1:10" x14ac:dyDescent="0.3">
      <c r="A235" s="1">
        <f>IF(tips!A235="Female",1,IF(tips!A235="Male",0,""))</f>
        <v>0</v>
      </c>
      <c r="B235" s="1">
        <f>IF(tips!B235="Yes",1,IF(tips!B235="No",0,""))</f>
        <v>0</v>
      </c>
      <c r="C235" s="1">
        <f>IF(tips!$C235="Sun",1,0)</f>
        <v>0</v>
      </c>
      <c r="D235" s="1">
        <f>IF(tips!$C235="Fri",1,0)</f>
        <v>0</v>
      </c>
      <c r="E235" s="1">
        <f>IF(tips!$C235="Sat",1,0)</f>
        <v>1</v>
      </c>
      <c r="F235" s="1">
        <f>IF(tips!$C235="Thur",1,0)</f>
        <v>0</v>
      </c>
      <c r="G235" s="1">
        <f>IF(tips!D235="Dinner",1,IF(tips!D235="Lunch",0,""))</f>
        <v>1</v>
      </c>
      <c r="H235" s="1">
        <v>2</v>
      </c>
      <c r="I235" s="7">
        <v>10.77</v>
      </c>
      <c r="J235" s="8">
        <v>1.47</v>
      </c>
    </row>
    <row r="236" spans="1:10" x14ac:dyDescent="0.3">
      <c r="A236" s="1">
        <f>IF(tips!A236="Female",1,IF(tips!A236="Male",0,""))</f>
        <v>0</v>
      </c>
      <c r="B236" s="1">
        <f>IF(tips!B236="Yes",1,IF(tips!B236="No",0,""))</f>
        <v>1</v>
      </c>
      <c r="C236" s="1">
        <f>IF(tips!$C236="Sun",1,0)</f>
        <v>0</v>
      </c>
      <c r="D236" s="1">
        <f>IF(tips!$C236="Fri",1,0)</f>
        <v>0</v>
      </c>
      <c r="E236" s="1">
        <f>IF(tips!$C236="Sat",1,0)</f>
        <v>1</v>
      </c>
      <c r="F236" s="1">
        <f>IF(tips!$C236="Thur",1,0)</f>
        <v>0</v>
      </c>
      <c r="G236" s="1">
        <f>IF(tips!D236="Dinner",1,IF(tips!D236="Lunch",0,""))</f>
        <v>1</v>
      </c>
      <c r="H236" s="1">
        <v>2</v>
      </c>
      <c r="I236" s="7">
        <v>15.53</v>
      </c>
      <c r="J236" s="8">
        <v>3</v>
      </c>
    </row>
    <row r="237" spans="1:10" x14ac:dyDescent="0.3">
      <c r="A237" s="1">
        <f>IF(tips!A237="Female",1,IF(tips!A237="Male",0,""))</f>
        <v>0</v>
      </c>
      <c r="B237" s="1">
        <f>IF(tips!B237="Yes",1,IF(tips!B237="No",0,""))</f>
        <v>0</v>
      </c>
      <c r="C237" s="1">
        <f>IF(tips!$C237="Sun",1,0)</f>
        <v>0</v>
      </c>
      <c r="D237" s="1">
        <f>IF(tips!$C237="Fri",1,0)</f>
        <v>0</v>
      </c>
      <c r="E237" s="1">
        <f>IF(tips!$C237="Sat",1,0)</f>
        <v>1</v>
      </c>
      <c r="F237" s="1">
        <f>IF(tips!$C237="Thur",1,0)</f>
        <v>0</v>
      </c>
      <c r="G237" s="1">
        <f>IF(tips!D237="Dinner",1,IF(tips!D237="Lunch",0,""))</f>
        <v>1</v>
      </c>
      <c r="H237" s="1">
        <v>2</v>
      </c>
      <c r="I237" s="7">
        <v>10.07</v>
      </c>
      <c r="J237" s="8">
        <v>1.25</v>
      </c>
    </row>
    <row r="238" spans="1:10" x14ac:dyDescent="0.3">
      <c r="A238" s="1">
        <f>IF(tips!A238="Female",1,IF(tips!A238="Male",0,""))</f>
        <v>0</v>
      </c>
      <c r="B238" s="1">
        <f>IF(tips!B238="Yes",1,IF(tips!B238="No",0,""))</f>
        <v>1</v>
      </c>
      <c r="C238" s="1">
        <f>IF(tips!$C238="Sun",1,0)</f>
        <v>0</v>
      </c>
      <c r="D238" s="1">
        <f>IF(tips!$C238="Fri",1,0)</f>
        <v>0</v>
      </c>
      <c r="E238" s="1">
        <f>IF(tips!$C238="Sat",1,0)</f>
        <v>1</v>
      </c>
      <c r="F238" s="1">
        <f>IF(tips!$C238="Thur",1,0)</f>
        <v>0</v>
      </c>
      <c r="G238" s="1">
        <f>IF(tips!D238="Dinner",1,IF(tips!D238="Lunch",0,""))</f>
        <v>1</v>
      </c>
      <c r="H238" s="1">
        <v>2</v>
      </c>
      <c r="I238" s="7">
        <v>12.6</v>
      </c>
      <c r="J238" s="8">
        <v>1</v>
      </c>
    </row>
    <row r="239" spans="1:10" x14ac:dyDescent="0.3">
      <c r="A239" s="1">
        <f>IF(tips!A239="Female",1,IF(tips!A239="Male",0,""))</f>
        <v>0</v>
      </c>
      <c r="B239" s="1">
        <f>IF(tips!B239="Yes",1,IF(tips!B239="No",0,""))</f>
        <v>1</v>
      </c>
      <c r="C239" s="1">
        <f>IF(tips!$C239="Sun",1,0)</f>
        <v>0</v>
      </c>
      <c r="D239" s="1">
        <f>IF(tips!$C239="Fri",1,0)</f>
        <v>0</v>
      </c>
      <c r="E239" s="1">
        <f>IF(tips!$C239="Sat",1,0)</f>
        <v>1</v>
      </c>
      <c r="F239" s="1">
        <f>IF(tips!$C239="Thur",1,0)</f>
        <v>0</v>
      </c>
      <c r="G239" s="1">
        <f>IF(tips!D239="Dinner",1,IF(tips!D239="Lunch",0,""))</f>
        <v>1</v>
      </c>
      <c r="H239" s="1">
        <v>2</v>
      </c>
      <c r="I239" s="7">
        <v>32.83</v>
      </c>
      <c r="J239" s="8">
        <v>1.17</v>
      </c>
    </row>
    <row r="240" spans="1:10" x14ac:dyDescent="0.3">
      <c r="A240" s="1">
        <f>IF(tips!A240="Female",1,IF(tips!A240="Male",0,""))</f>
        <v>1</v>
      </c>
      <c r="B240" s="1">
        <f>IF(tips!B240="Yes",1,IF(tips!B240="No",0,""))</f>
        <v>0</v>
      </c>
      <c r="C240" s="1">
        <f>IF(tips!$C240="Sun",1,0)</f>
        <v>0</v>
      </c>
      <c r="D240" s="1">
        <f>IF(tips!$C240="Fri",1,0)</f>
        <v>0</v>
      </c>
      <c r="E240" s="1">
        <f>IF(tips!$C240="Sat",1,0)</f>
        <v>1</v>
      </c>
      <c r="F240" s="1">
        <f>IF(tips!$C240="Thur",1,0)</f>
        <v>0</v>
      </c>
      <c r="G240" s="1">
        <f>IF(tips!D240="Dinner",1,IF(tips!D240="Lunch",0,""))</f>
        <v>1</v>
      </c>
      <c r="H240" s="1">
        <v>3</v>
      </c>
      <c r="I240" s="7">
        <v>35.83</v>
      </c>
      <c r="J240" s="8">
        <v>4.67</v>
      </c>
    </row>
    <row r="241" spans="1:10" x14ac:dyDescent="0.3">
      <c r="A241" s="1">
        <f>IF(tips!A241="Female",1,IF(tips!A241="Male",0,""))</f>
        <v>0</v>
      </c>
      <c r="B241" s="1">
        <f>IF(tips!B241="Yes",1,IF(tips!B241="No",0,""))</f>
        <v>0</v>
      </c>
      <c r="C241" s="1">
        <f>IF(tips!$C241="Sun",1,0)</f>
        <v>0</v>
      </c>
      <c r="D241" s="1">
        <f>IF(tips!$C241="Fri",1,0)</f>
        <v>0</v>
      </c>
      <c r="E241" s="1">
        <f>IF(tips!$C241="Sat",1,0)</f>
        <v>1</v>
      </c>
      <c r="F241" s="1">
        <f>IF(tips!$C241="Thur",1,0)</f>
        <v>0</v>
      </c>
      <c r="G241" s="1">
        <f>IF(tips!D241="Dinner",1,IF(tips!D241="Lunch",0,""))</f>
        <v>1</v>
      </c>
      <c r="H241" s="1">
        <v>3</v>
      </c>
      <c r="I241" s="7">
        <v>29.03</v>
      </c>
      <c r="J241" s="8">
        <v>5.92</v>
      </c>
    </row>
    <row r="242" spans="1:10" x14ac:dyDescent="0.3">
      <c r="A242" s="1">
        <f>IF(tips!A242="Female",1,IF(tips!A242="Male",0,""))</f>
        <v>1</v>
      </c>
      <c r="B242" s="1">
        <f>IF(tips!B242="Yes",1,IF(tips!B242="No",0,""))</f>
        <v>1</v>
      </c>
      <c r="C242" s="1">
        <f>IF(tips!$C242="Sun",1,0)</f>
        <v>0</v>
      </c>
      <c r="D242" s="1">
        <f>IF(tips!$C242="Fri",1,0)</f>
        <v>0</v>
      </c>
      <c r="E242" s="1">
        <f>IF(tips!$C242="Sat",1,0)</f>
        <v>1</v>
      </c>
      <c r="F242" s="1">
        <f>IF(tips!$C242="Thur",1,0)</f>
        <v>0</v>
      </c>
      <c r="G242" s="1">
        <f>IF(tips!D242="Dinner",1,IF(tips!D242="Lunch",0,""))</f>
        <v>1</v>
      </c>
      <c r="H242" s="1">
        <v>2</v>
      </c>
      <c r="I242" s="7">
        <v>27.18</v>
      </c>
      <c r="J242" s="8">
        <v>2</v>
      </c>
    </row>
    <row r="243" spans="1:10" x14ac:dyDescent="0.3">
      <c r="A243" s="1">
        <f>IF(tips!A243="Female",1,IF(tips!A243="Male",0,""))</f>
        <v>0</v>
      </c>
      <c r="B243" s="1">
        <f>IF(tips!B243="Yes",1,IF(tips!B243="No",0,""))</f>
        <v>1</v>
      </c>
      <c r="C243" s="1">
        <f>IF(tips!$C243="Sun",1,0)</f>
        <v>0</v>
      </c>
      <c r="D243" s="1">
        <f>IF(tips!$C243="Fri",1,0)</f>
        <v>0</v>
      </c>
      <c r="E243" s="1">
        <f>IF(tips!$C243="Sat",1,0)</f>
        <v>1</v>
      </c>
      <c r="F243" s="1">
        <f>IF(tips!$C243="Thur",1,0)</f>
        <v>0</v>
      </c>
      <c r="G243" s="1">
        <f>IF(tips!D243="Dinner",1,IF(tips!D243="Lunch",0,""))</f>
        <v>1</v>
      </c>
      <c r="H243" s="1">
        <v>2</v>
      </c>
      <c r="I243" s="7">
        <v>22.67</v>
      </c>
      <c r="J243" s="8">
        <v>2</v>
      </c>
    </row>
    <row r="244" spans="1:10" x14ac:dyDescent="0.3">
      <c r="A244" s="1">
        <f>IF(tips!A244="Female",1,IF(tips!A244="Male",0,""))</f>
        <v>0</v>
      </c>
      <c r="B244" s="1">
        <f>IF(tips!B244="Yes",1,IF(tips!B244="No",0,""))</f>
        <v>0</v>
      </c>
      <c r="C244" s="1">
        <f>IF(tips!$C244="Sun",1,0)</f>
        <v>0</v>
      </c>
      <c r="D244" s="1">
        <f>IF(tips!$C244="Fri",1,0)</f>
        <v>0</v>
      </c>
      <c r="E244" s="1">
        <f>IF(tips!$C244="Sat",1,0)</f>
        <v>1</v>
      </c>
      <c r="F244" s="1">
        <f>IF(tips!$C244="Thur",1,0)</f>
        <v>0</v>
      </c>
      <c r="G244" s="1">
        <f>IF(tips!D244="Dinner",1,IF(tips!D244="Lunch",0,""))</f>
        <v>1</v>
      </c>
      <c r="H244" s="1">
        <v>2</v>
      </c>
      <c r="I244" s="7">
        <v>17.82</v>
      </c>
      <c r="J244" s="8">
        <v>1.75</v>
      </c>
    </row>
    <row r="245" spans="1:10" x14ac:dyDescent="0.3">
      <c r="A245" s="1">
        <f>IF(tips!A245="Female",1,IF(tips!A245="Male",0,""))</f>
        <v>1</v>
      </c>
      <c r="B245" s="1">
        <f>IF(tips!B245="Yes",1,IF(tips!B245="No",0,""))</f>
        <v>0</v>
      </c>
      <c r="C245" s="1">
        <f>IF(tips!$C245="Sun",1,0)</f>
        <v>0</v>
      </c>
      <c r="D245" s="1">
        <f>IF(tips!$C245="Fri",1,0)</f>
        <v>0</v>
      </c>
      <c r="E245" s="1">
        <f>IF(tips!$C245="Sat",1,0)</f>
        <v>0</v>
      </c>
      <c r="F245" s="1">
        <f>IF(tips!$C245="Thur",1,0)</f>
        <v>1</v>
      </c>
      <c r="G245" s="1">
        <f>IF(tips!D245="Dinner",1,IF(tips!D245="Lunch",0,""))</f>
        <v>1</v>
      </c>
      <c r="H245" s="1">
        <v>2</v>
      </c>
      <c r="I245" s="7">
        <v>18.78</v>
      </c>
      <c r="J245" s="8">
        <v>3</v>
      </c>
    </row>
  </sheetData>
  <autoFilter ref="A1:J245" xr:uid="{D7ADCE07-6E02-4E6F-8187-C440946B7C9D}"/>
  <mergeCells count="3">
    <mergeCell ref="L14:T18"/>
    <mergeCell ref="L1:V1"/>
    <mergeCell ref="L26:V26"/>
  </mergeCells>
  <conditionalFormatting sqref="A2:G245">
    <cfRule type="colorScale" priority="1">
      <colorScale>
        <cfvo type="num" val="0"/>
        <cfvo type="num" val="1"/>
        <color theme="4" tint="0.39997558519241921"/>
        <color theme="7" tint="0.39997558519241921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8F062-2A83-4E9C-A8FF-FBD58E735C21}">
  <dimension ref="A1:S265"/>
  <sheetViews>
    <sheetView workbookViewId="0">
      <selection activeCell="E14" sqref="E14"/>
    </sheetView>
  </sheetViews>
  <sheetFormatPr defaultRowHeight="14.4" x14ac:dyDescent="0.3"/>
  <cols>
    <col min="1" max="1" width="6.6640625" bestFit="1" customWidth="1"/>
    <col min="2" max="2" width="11.33203125" bestFit="1" customWidth="1"/>
    <col min="3" max="3" width="7.109375" bestFit="1" customWidth="1"/>
    <col min="4" max="4" width="16.6640625" bestFit="1" customWidth="1"/>
    <col min="5" max="5" width="17.33203125" bestFit="1" customWidth="1"/>
    <col min="6" max="6" width="18.88671875" style="23" bestFit="1" customWidth="1"/>
    <col min="8" max="8" width="16.88671875" style="23" bestFit="1" customWidth="1"/>
    <col min="9" max="9" width="17" bestFit="1" customWidth="1"/>
    <col min="10" max="10" width="14.5546875" bestFit="1" customWidth="1"/>
    <col min="11" max="11" width="13.109375" style="23" customWidth="1"/>
    <col min="12" max="12" width="12" bestFit="1" customWidth="1"/>
    <col min="13" max="13" width="13.44140625" style="23" customWidth="1"/>
    <col min="14" max="14" width="15" bestFit="1" customWidth="1"/>
    <col min="15" max="15" width="12.44140625" bestFit="1" customWidth="1"/>
    <col min="16" max="16" width="12.5546875" bestFit="1" customWidth="1"/>
  </cols>
  <sheetData>
    <row r="1" spans="1:16" ht="16.2" thickBot="1" x14ac:dyDescent="0.35">
      <c r="A1" s="27" t="s">
        <v>10</v>
      </c>
      <c r="B1" s="27" t="s">
        <v>16</v>
      </c>
      <c r="C1" s="27" t="s">
        <v>15</v>
      </c>
      <c r="D1" s="30" t="s">
        <v>69</v>
      </c>
      <c r="E1" s="30" t="s">
        <v>38</v>
      </c>
      <c r="F1" s="31" t="s">
        <v>68</v>
      </c>
      <c r="H1" s="62" t="s">
        <v>39</v>
      </c>
      <c r="I1" s="62"/>
    </row>
    <row r="2" spans="1:16" ht="18.600000000000001" thickBot="1" x14ac:dyDescent="0.4">
      <c r="A2" s="1">
        <v>2</v>
      </c>
      <c r="B2" s="7">
        <v>16.989999999999998</v>
      </c>
      <c r="C2" s="8">
        <v>1.01</v>
      </c>
      <c r="D2" s="32">
        <f>SUM(PRODUCT(A2,$I$17),PRODUCT(B2,$I$18),$I$16)</f>
        <v>2.629339922374335</v>
      </c>
      <c r="E2" s="1">
        <f>POWER((C2-D2),2)</f>
        <v>2.6222617841953171</v>
      </c>
      <c r="F2" s="41">
        <f>SQRT(SUM(E2:E245)/COUNT(E2:E245))</f>
        <v>1.0072561271146621</v>
      </c>
      <c r="H2" s="63" t="s">
        <v>40</v>
      </c>
      <c r="I2" s="64"/>
    </row>
    <row r="3" spans="1:16" x14ac:dyDescent="0.3">
      <c r="A3" s="1">
        <v>3</v>
      </c>
      <c r="B3" s="7">
        <v>10.34</v>
      </c>
      <c r="C3" s="8">
        <v>1.66</v>
      </c>
      <c r="D3" s="32">
        <f t="shared" ref="D3:D66" si="0">SUM(PRODUCT(A3,$I$17),PRODUCT(B3,$I$18),$I$16)</f>
        <v>2.2053940268305294</v>
      </c>
      <c r="E3" s="1">
        <f t="shared" ref="E3:E66" si="1">POWER((C3-D3),2)</f>
        <v>0.29745464450242032</v>
      </c>
      <c r="F3" s="29"/>
      <c r="H3" s="23" t="s">
        <v>41</v>
      </c>
      <c r="I3">
        <v>0.68400972858295372</v>
      </c>
    </row>
    <row r="4" spans="1:16" x14ac:dyDescent="0.3">
      <c r="A4" s="1">
        <v>3</v>
      </c>
      <c r="B4" s="7">
        <v>21.01</v>
      </c>
      <c r="C4" s="8">
        <v>3.5</v>
      </c>
      <c r="D4" s="32">
        <f t="shared" si="0"/>
        <v>3.1946453308308462</v>
      </c>
      <c r="E4" s="1">
        <f t="shared" si="1"/>
        <v>9.324147398340335E-2</v>
      </c>
      <c r="F4" s="29"/>
      <c r="H4" s="23" t="s">
        <v>42</v>
      </c>
      <c r="I4">
        <v>0.46786930879612609</v>
      </c>
    </row>
    <row r="5" spans="1:16" x14ac:dyDescent="0.3">
      <c r="A5" s="1">
        <v>2</v>
      </c>
      <c r="B5" s="7">
        <v>23.68</v>
      </c>
      <c r="C5" s="8">
        <v>3.31</v>
      </c>
      <c r="D5" s="32">
        <f t="shared" si="0"/>
        <v>3.249592145782219</v>
      </c>
      <c r="E5" s="1">
        <f t="shared" si="1"/>
        <v>3.6491088511966881E-3</v>
      </c>
      <c r="F5" s="29"/>
      <c r="H5" t="s">
        <v>43</v>
      </c>
      <c r="I5">
        <v>0.46345328646248396</v>
      </c>
      <c r="K5"/>
    </row>
    <row r="6" spans="1:16" x14ac:dyDescent="0.3">
      <c r="A6" s="1">
        <v>4</v>
      </c>
      <c r="B6" s="7">
        <v>24.59</v>
      </c>
      <c r="C6" s="8">
        <v>3.61</v>
      </c>
      <c r="D6" s="32">
        <f t="shared" si="0"/>
        <v>3.7191568710811582</v>
      </c>
      <c r="E6" s="1">
        <f t="shared" si="1"/>
        <v>1.1915222504228624E-2</v>
      </c>
      <c r="F6" s="29"/>
      <c r="H6" s="23" t="s">
        <v>44</v>
      </c>
      <c r="I6">
        <v>1.0135059665680684</v>
      </c>
      <c r="M6"/>
    </row>
    <row r="7" spans="1:16" ht="15" thickBot="1" x14ac:dyDescent="0.35">
      <c r="A7" s="1">
        <v>4</v>
      </c>
      <c r="B7" s="7">
        <v>25.29</v>
      </c>
      <c r="C7" s="8">
        <v>4.71</v>
      </c>
      <c r="D7" s="32">
        <f t="shared" si="0"/>
        <v>3.7840562068637471</v>
      </c>
      <c r="E7" s="1">
        <f t="shared" si="1"/>
        <v>0.85737190804755181</v>
      </c>
      <c r="F7" s="29"/>
      <c r="H7" s="28" t="s">
        <v>45</v>
      </c>
      <c r="I7" s="11">
        <v>244</v>
      </c>
    </row>
    <row r="8" spans="1:16" ht="15" thickBot="1" x14ac:dyDescent="0.35">
      <c r="A8" s="1">
        <v>2</v>
      </c>
      <c r="B8" s="7">
        <v>8.77</v>
      </c>
      <c r="C8" s="8">
        <v>2</v>
      </c>
      <c r="D8" s="32">
        <f t="shared" si="0"/>
        <v>1.8672362936130793</v>
      </c>
      <c r="E8" s="1">
        <f t="shared" si="1"/>
        <v>1.7626201733592486E-2</v>
      </c>
      <c r="F8" s="29"/>
    </row>
    <row r="9" spans="1:16" ht="15" thickBot="1" x14ac:dyDescent="0.35">
      <c r="A9" s="1">
        <v>4</v>
      </c>
      <c r="B9" s="7">
        <v>26.88</v>
      </c>
      <c r="C9" s="8">
        <v>3.12</v>
      </c>
      <c r="D9" s="32">
        <f t="shared" si="0"/>
        <v>3.9314704124270552</v>
      </c>
      <c r="E9" s="1">
        <f t="shared" si="1"/>
        <v>0.65848423024453484</v>
      </c>
      <c r="F9" s="29"/>
      <c r="H9" s="63" t="s">
        <v>46</v>
      </c>
      <c r="I9" s="68"/>
      <c r="J9" s="68"/>
      <c r="K9" s="68"/>
      <c r="L9" s="68"/>
      <c r="M9" s="64"/>
    </row>
    <row r="10" spans="1:16" x14ac:dyDescent="0.3">
      <c r="A10" s="1">
        <v>2</v>
      </c>
      <c r="B10" s="7">
        <v>15.04</v>
      </c>
      <c r="C10" s="8">
        <v>1.96</v>
      </c>
      <c r="D10" s="32">
        <f t="shared" si="0"/>
        <v>2.4485489155514095</v>
      </c>
      <c r="E10" s="1">
        <f t="shared" si="1"/>
        <v>0.2386800428864583</v>
      </c>
      <c r="F10" s="29"/>
      <c r="H10" s="24"/>
      <c r="I10" s="12" t="s">
        <v>51</v>
      </c>
      <c r="J10" s="12" t="s">
        <v>52</v>
      </c>
      <c r="K10" s="24" t="s">
        <v>53</v>
      </c>
      <c r="L10" s="12" t="s">
        <v>54</v>
      </c>
      <c r="M10" s="24" t="s">
        <v>55</v>
      </c>
    </row>
    <row r="11" spans="1:16" x14ac:dyDescent="0.3">
      <c r="A11" s="1">
        <v>2</v>
      </c>
      <c r="B11" s="7">
        <v>14.78</v>
      </c>
      <c r="C11" s="8">
        <v>3.23</v>
      </c>
      <c r="D11" s="32">
        <f t="shared" si="0"/>
        <v>2.4244434479750194</v>
      </c>
      <c r="E11" s="1">
        <f t="shared" si="1"/>
        <v>0.64892135851037525</v>
      </c>
      <c r="F11" s="29"/>
      <c r="H11" s="39" t="s">
        <v>47</v>
      </c>
      <c r="I11" s="40">
        <v>2</v>
      </c>
      <c r="J11" s="40">
        <v>217.65864008033392</v>
      </c>
      <c r="K11" s="39">
        <v>108.82932004016696</v>
      </c>
      <c r="L11" s="40">
        <v>105.94813011515087</v>
      </c>
      <c r="M11" s="39">
        <v>9.6650948240605644E-34</v>
      </c>
    </row>
    <row r="12" spans="1:16" x14ac:dyDescent="0.3">
      <c r="A12" s="1">
        <v>2</v>
      </c>
      <c r="B12" s="7">
        <v>10.27</v>
      </c>
      <c r="C12" s="8">
        <v>1.71</v>
      </c>
      <c r="D12" s="32">
        <f t="shared" si="0"/>
        <v>2.0063062988614835</v>
      </c>
      <c r="E12" s="1">
        <f t="shared" si="1"/>
        <v>8.7797422744990791E-2</v>
      </c>
      <c r="F12" s="29"/>
      <c r="H12" s="23" t="s">
        <v>48</v>
      </c>
      <c r="I12">
        <v>241</v>
      </c>
      <c r="J12">
        <v>247.55383696884692</v>
      </c>
      <c r="K12" s="23">
        <v>1.0271943442690743</v>
      </c>
    </row>
    <row r="13" spans="1:16" ht="15" thickBot="1" x14ac:dyDescent="0.35">
      <c r="A13" s="1">
        <v>4</v>
      </c>
      <c r="B13" s="7">
        <v>35.26</v>
      </c>
      <c r="C13" s="8">
        <v>5</v>
      </c>
      <c r="D13" s="32">
        <f t="shared" si="0"/>
        <v>4.708408175081475</v>
      </c>
      <c r="E13" s="1">
        <f t="shared" si="1"/>
        <v>8.5025792359315719E-2</v>
      </c>
      <c r="F13" s="29"/>
      <c r="H13" s="25" t="s">
        <v>49</v>
      </c>
      <c r="I13" s="11">
        <v>243</v>
      </c>
      <c r="J13" s="11">
        <v>465.21247704918085</v>
      </c>
      <c r="K13" s="25"/>
      <c r="L13" s="11"/>
      <c r="M13" s="25"/>
    </row>
    <row r="14" spans="1:16" ht="15" thickBot="1" x14ac:dyDescent="0.35">
      <c r="A14" s="1">
        <v>2</v>
      </c>
      <c r="B14" s="7">
        <v>15.42</v>
      </c>
      <c r="C14" s="8">
        <v>1.57</v>
      </c>
      <c r="D14" s="32">
        <f t="shared" si="0"/>
        <v>2.4837799835476719</v>
      </c>
      <c r="E14" s="1">
        <f t="shared" si="1"/>
        <v>0.83499385833238349</v>
      </c>
      <c r="F14" s="29"/>
      <c r="L14" s="11"/>
      <c r="M14" s="25"/>
    </row>
    <row r="15" spans="1:16" x14ac:dyDescent="0.3">
      <c r="A15" s="1">
        <v>4</v>
      </c>
      <c r="B15" s="7">
        <v>18.43</v>
      </c>
      <c r="C15" s="8">
        <v>3</v>
      </c>
      <c r="D15" s="32">
        <f t="shared" si="0"/>
        <v>3.1480427161943778</v>
      </c>
      <c r="E15" s="1">
        <f t="shared" si="1"/>
        <v>2.1916645818209093E-2</v>
      </c>
      <c r="F15" s="29"/>
      <c r="H15" s="24"/>
      <c r="I15" s="12" t="s">
        <v>56</v>
      </c>
      <c r="J15" s="12" t="s">
        <v>44</v>
      </c>
      <c r="K15" s="24" t="s">
        <v>57</v>
      </c>
      <c r="L15" s="12" t="s">
        <v>58</v>
      </c>
      <c r="M15" s="24" t="s">
        <v>59</v>
      </c>
      <c r="N15" s="12" t="s">
        <v>60</v>
      </c>
      <c r="O15" s="12" t="s">
        <v>61</v>
      </c>
      <c r="P15" s="12" t="s">
        <v>62</v>
      </c>
    </row>
    <row r="16" spans="1:16" x14ac:dyDescent="0.3">
      <c r="A16" s="1">
        <v>2</v>
      </c>
      <c r="B16" s="7">
        <v>14.83</v>
      </c>
      <c r="C16" s="8">
        <v>3.02</v>
      </c>
      <c r="D16" s="32">
        <f t="shared" si="0"/>
        <v>2.4290791148166329</v>
      </c>
      <c r="E16" s="1">
        <f t="shared" si="1"/>
        <v>0.34918749254589421</v>
      </c>
      <c r="F16" s="29"/>
      <c r="H16" s="23" t="s">
        <v>50</v>
      </c>
      <c r="I16" s="26">
        <v>0.66894474081250099</v>
      </c>
      <c r="J16">
        <v>0.19360933134415173</v>
      </c>
      <c r="K16" s="23">
        <v>3.4551265487478666</v>
      </c>
      <c r="L16">
        <v>6.4980607377792133E-4</v>
      </c>
      <c r="M16" s="23">
        <v>0.28756219664764793</v>
      </c>
      <c r="N16">
        <v>1.0503272849773544</v>
      </c>
      <c r="O16">
        <v>0.28756219664764793</v>
      </c>
      <c r="P16">
        <v>1.0503272849773544</v>
      </c>
    </row>
    <row r="17" spans="1:19" x14ac:dyDescent="0.3">
      <c r="A17" s="1">
        <v>2</v>
      </c>
      <c r="B17" s="7">
        <v>21.58</v>
      </c>
      <c r="C17" s="8">
        <v>3.92</v>
      </c>
      <c r="D17" s="32">
        <f t="shared" si="0"/>
        <v>3.0548941384344528</v>
      </c>
      <c r="E17" s="1">
        <f t="shared" si="1"/>
        <v>0.74840815171506758</v>
      </c>
      <c r="F17" s="29"/>
      <c r="H17" s="23" t="s">
        <v>10</v>
      </c>
      <c r="I17" s="26">
        <v>0.192597794390787</v>
      </c>
      <c r="J17">
        <v>8.5314556726534319E-2</v>
      </c>
      <c r="K17" s="23">
        <v>2.2575021400877255</v>
      </c>
      <c r="L17">
        <v>2.4872445933337681E-2</v>
      </c>
      <c r="M17" s="23">
        <v>2.4540384798141274E-2</v>
      </c>
      <c r="N17">
        <v>0.36065520398343254</v>
      </c>
      <c r="O17">
        <v>2.4540384798141274E-2</v>
      </c>
      <c r="P17">
        <v>0.36065520398343254</v>
      </c>
    </row>
    <row r="18" spans="1:19" ht="15" thickBot="1" x14ac:dyDescent="0.35">
      <c r="A18" s="1">
        <v>3</v>
      </c>
      <c r="B18" s="7">
        <v>10.33</v>
      </c>
      <c r="C18" s="8">
        <v>1.67</v>
      </c>
      <c r="D18" s="32">
        <f t="shared" si="0"/>
        <v>2.2044668934622069</v>
      </c>
      <c r="E18" s="1">
        <f t="shared" si="1"/>
        <v>0.28565486020714215</v>
      </c>
      <c r="F18" s="29"/>
      <c r="H18" s="25" t="s">
        <v>16</v>
      </c>
      <c r="I18" s="13">
        <v>9.2713336832269594E-2</v>
      </c>
      <c r="J18" s="11">
        <v>9.1146824764894475E-3</v>
      </c>
      <c r="K18" s="25">
        <v>10.171866883066507</v>
      </c>
      <c r="L18" s="11">
        <v>1.8809170134717627E-20</v>
      </c>
      <c r="M18" s="25">
        <v>7.4758722930116123E-2</v>
      </c>
      <c r="N18" s="11">
        <v>0.11066795073442312</v>
      </c>
      <c r="O18" s="11">
        <v>7.4758722930116123E-2</v>
      </c>
      <c r="P18" s="11">
        <v>0.11066795073442312</v>
      </c>
    </row>
    <row r="19" spans="1:19" ht="15" thickBot="1" x14ac:dyDescent="0.35">
      <c r="A19" s="1">
        <v>3</v>
      </c>
      <c r="B19" s="7">
        <v>16.29</v>
      </c>
      <c r="C19" s="8">
        <v>3.71</v>
      </c>
      <c r="D19" s="32">
        <f t="shared" si="0"/>
        <v>2.7570383809825332</v>
      </c>
      <c r="E19" s="1">
        <f t="shared" si="1"/>
        <v>0.90813584732039154</v>
      </c>
      <c r="F19" s="29"/>
    </row>
    <row r="20" spans="1:19" ht="21" thickBot="1" x14ac:dyDescent="0.35">
      <c r="A20" s="1">
        <v>3</v>
      </c>
      <c r="B20" s="7">
        <v>16.97</v>
      </c>
      <c r="C20" s="8">
        <v>3.5</v>
      </c>
      <c r="D20" s="32">
        <f t="shared" si="0"/>
        <v>2.820083450028477</v>
      </c>
      <c r="E20" s="1">
        <f t="shared" si="1"/>
        <v>0.46228651492517847</v>
      </c>
      <c r="F20" s="29"/>
      <c r="H20" s="65" t="s">
        <v>70</v>
      </c>
      <c r="I20" s="66"/>
      <c r="J20" s="66"/>
      <c r="K20" s="66"/>
      <c r="L20" s="66"/>
      <c r="M20" s="66"/>
      <c r="N20" s="66"/>
      <c r="O20" s="66"/>
      <c r="P20" s="67"/>
    </row>
    <row r="21" spans="1:19" ht="15" customHeight="1" x14ac:dyDescent="0.3">
      <c r="A21" s="1">
        <v>3</v>
      </c>
      <c r="B21" s="7">
        <v>20.65</v>
      </c>
      <c r="C21" s="8">
        <v>3.35</v>
      </c>
      <c r="D21" s="32">
        <f t="shared" si="0"/>
        <v>3.1612685295712288</v>
      </c>
      <c r="E21" s="1">
        <f t="shared" si="1"/>
        <v>3.561956793020616E-2</v>
      </c>
      <c r="F21" s="29"/>
      <c r="H21" s="35" t="s">
        <v>63</v>
      </c>
      <c r="I21" s="36" t="s">
        <v>64</v>
      </c>
      <c r="J21" s="37" t="s">
        <v>65</v>
      </c>
      <c r="K21" s="35" t="s">
        <v>66</v>
      </c>
      <c r="L21" s="35" t="s">
        <v>67</v>
      </c>
      <c r="M21" s="37" t="s">
        <v>15</v>
      </c>
      <c r="N21" s="30" t="s">
        <v>38</v>
      </c>
      <c r="O21" s="31" t="s">
        <v>68</v>
      </c>
      <c r="P21" s="34"/>
      <c r="Q21" s="33"/>
      <c r="R21" s="33"/>
      <c r="S21" s="33"/>
    </row>
    <row r="22" spans="1:19" ht="15" customHeight="1" x14ac:dyDescent="0.3">
      <c r="A22" s="1">
        <v>2</v>
      </c>
      <c r="B22" s="7">
        <v>17.920000000000002</v>
      </c>
      <c r="C22" s="8">
        <v>4.08</v>
      </c>
      <c r="D22" s="32">
        <f t="shared" si="0"/>
        <v>2.715563325628346</v>
      </c>
      <c r="E22" s="1">
        <f t="shared" si="1"/>
        <v>1.8616874383703792</v>
      </c>
      <c r="F22" s="29"/>
      <c r="H22" s="29">
        <v>1</v>
      </c>
      <c r="I22" s="38">
        <v>2.6293399223743359</v>
      </c>
      <c r="J22" s="1">
        <v>-1.6193399223743359</v>
      </c>
      <c r="K22" s="29">
        <v>-1.6043766351543247</v>
      </c>
      <c r="L22" s="29">
        <v>0.20491803278688525</v>
      </c>
      <c r="M22" s="1">
        <v>1</v>
      </c>
      <c r="N22" s="1">
        <v>2.6222617841953171</v>
      </c>
      <c r="O22" s="38">
        <v>1.0072561271146621</v>
      </c>
      <c r="Q22" s="33"/>
      <c r="R22" s="33"/>
      <c r="S22" s="33"/>
    </row>
    <row r="23" spans="1:19" ht="15" customHeight="1" x14ac:dyDescent="0.3">
      <c r="A23" s="1">
        <v>2</v>
      </c>
      <c r="B23" s="7">
        <v>20.29</v>
      </c>
      <c r="C23" s="8">
        <v>2.75</v>
      </c>
      <c r="D23" s="32">
        <f t="shared" si="0"/>
        <v>2.9352939339208248</v>
      </c>
      <c r="E23" s="1">
        <f t="shared" si="1"/>
        <v>3.4333841947855E-2</v>
      </c>
      <c r="F23" s="29"/>
      <c r="H23" s="29">
        <v>2</v>
      </c>
      <c r="I23" s="38">
        <v>2.2053940268305299</v>
      </c>
      <c r="J23" s="1">
        <v>-0.54539402683052995</v>
      </c>
      <c r="K23" s="29">
        <v>-0.54035438854409912</v>
      </c>
      <c r="L23" s="29">
        <v>0.61475409836065575</v>
      </c>
      <c r="M23" s="1">
        <v>1</v>
      </c>
      <c r="N23" s="1">
        <v>0.29745464450242032</v>
      </c>
      <c r="O23" s="1"/>
      <c r="Q23" s="33"/>
      <c r="R23" s="33"/>
      <c r="S23" s="33"/>
    </row>
    <row r="24" spans="1:19" ht="15.75" customHeight="1" x14ac:dyDescent="0.3">
      <c r="A24" s="1">
        <v>2</v>
      </c>
      <c r="B24" s="7">
        <v>15.77</v>
      </c>
      <c r="C24" s="8">
        <v>2.23</v>
      </c>
      <c r="D24" s="32">
        <f t="shared" si="0"/>
        <v>2.5162296514389664</v>
      </c>
      <c r="E24" s="1">
        <f t="shared" si="1"/>
        <v>8.1927413362872195E-2</v>
      </c>
      <c r="F24" s="29"/>
      <c r="H24" s="29">
        <v>3</v>
      </c>
      <c r="I24" s="38">
        <v>3.1946453308308467</v>
      </c>
      <c r="J24" s="1">
        <v>0.30535466916915333</v>
      </c>
      <c r="K24" s="29">
        <v>0.3025330814619534</v>
      </c>
      <c r="L24" s="29">
        <v>1.0245901639344264</v>
      </c>
      <c r="M24" s="1">
        <v>1</v>
      </c>
      <c r="N24" s="1">
        <v>9.324147398340335E-2</v>
      </c>
      <c r="O24" s="1"/>
      <c r="Q24" s="33"/>
      <c r="R24" s="33"/>
      <c r="S24" s="33"/>
    </row>
    <row r="25" spans="1:19" x14ac:dyDescent="0.3">
      <c r="A25" s="1">
        <v>4</v>
      </c>
      <c r="B25" s="7">
        <v>39.42</v>
      </c>
      <c r="C25" s="8">
        <v>7.58</v>
      </c>
      <c r="D25" s="32">
        <f t="shared" si="0"/>
        <v>5.0940956563037165</v>
      </c>
      <c r="E25" s="1">
        <f t="shared" si="1"/>
        <v>6.1797204060080499</v>
      </c>
      <c r="F25" s="29"/>
      <c r="H25" s="29">
        <v>4</v>
      </c>
      <c r="I25" s="38">
        <v>3.2495921457822194</v>
      </c>
      <c r="J25" s="1">
        <v>6.040785421778061E-2</v>
      </c>
      <c r="K25" s="29">
        <v>5.9849663772083526E-2</v>
      </c>
      <c r="L25" s="29">
        <v>1.4344262295081966</v>
      </c>
      <c r="M25" s="1">
        <v>1</v>
      </c>
      <c r="N25" s="1">
        <v>3.6491088511966881E-3</v>
      </c>
      <c r="O25" s="1"/>
    </row>
    <row r="26" spans="1:19" x14ac:dyDescent="0.3">
      <c r="A26" s="1">
        <v>2</v>
      </c>
      <c r="B26" s="7">
        <v>19.82</v>
      </c>
      <c r="C26" s="8">
        <v>3.18</v>
      </c>
      <c r="D26" s="32">
        <f t="shared" si="0"/>
        <v>2.8917186656096581</v>
      </c>
      <c r="E26" s="1">
        <f t="shared" si="1"/>
        <v>8.3106127757876236E-2</v>
      </c>
      <c r="F26" s="29"/>
      <c r="H26" s="29">
        <v>5</v>
      </c>
      <c r="I26" s="38">
        <v>3.7191568710811587</v>
      </c>
      <c r="J26" s="1">
        <v>-0.10915687108115879</v>
      </c>
      <c r="K26" s="29">
        <v>-0.10814822206839918</v>
      </c>
      <c r="L26" s="29">
        <v>1.8442622950819674</v>
      </c>
      <c r="M26" s="1">
        <v>1.01</v>
      </c>
      <c r="N26" s="1">
        <v>1.1915222504228624E-2</v>
      </c>
      <c r="O26" s="1"/>
    </row>
    <row r="27" spans="1:19" x14ac:dyDescent="0.3">
      <c r="A27" s="1">
        <v>4</v>
      </c>
      <c r="B27" s="7">
        <v>17.809999999999999</v>
      </c>
      <c r="C27" s="8">
        <v>2.34</v>
      </c>
      <c r="D27" s="32">
        <f t="shared" si="0"/>
        <v>3.0905604473583703</v>
      </c>
      <c r="E27" s="1">
        <f t="shared" si="1"/>
        <v>0.56334098513879716</v>
      </c>
      <c r="F27" s="29"/>
      <c r="H27" s="29">
        <v>6</v>
      </c>
      <c r="I27" s="38">
        <v>3.7840562068637471</v>
      </c>
      <c r="J27" s="1">
        <v>0.92594379313625286</v>
      </c>
      <c r="K27" s="29">
        <v>0.9173877372181295</v>
      </c>
      <c r="L27" s="29">
        <v>2.2540983606557381</v>
      </c>
      <c r="M27" s="1">
        <v>1.1000000000000001</v>
      </c>
      <c r="N27" s="1">
        <v>0.85737190804755181</v>
      </c>
      <c r="O27" s="1"/>
    </row>
    <row r="28" spans="1:19" x14ac:dyDescent="0.3">
      <c r="A28" s="1">
        <v>2</v>
      </c>
      <c r="B28" s="7">
        <v>13.37</v>
      </c>
      <c r="C28" s="8">
        <v>2</v>
      </c>
      <c r="D28" s="32">
        <f t="shared" si="0"/>
        <v>2.2937176430415191</v>
      </c>
      <c r="E28" s="1">
        <f t="shared" si="1"/>
        <v>8.6270053833865268E-2</v>
      </c>
      <c r="F28" s="29"/>
      <c r="H28" s="29">
        <v>7</v>
      </c>
      <c r="I28" s="38">
        <v>1.8672362936130795</v>
      </c>
      <c r="J28" s="1">
        <v>0.13276370638692048</v>
      </c>
      <c r="K28" s="29">
        <v>0.13153692166827541</v>
      </c>
      <c r="L28" s="29">
        <v>2.6639344262295084</v>
      </c>
      <c r="M28" s="1">
        <v>1.17</v>
      </c>
      <c r="N28" s="1">
        <v>1.7626201733592486E-2</v>
      </c>
      <c r="O28" s="1"/>
    </row>
    <row r="29" spans="1:19" x14ac:dyDescent="0.3">
      <c r="A29" s="1">
        <v>2</v>
      </c>
      <c r="B29" s="7">
        <v>12.69</v>
      </c>
      <c r="C29" s="8">
        <v>2</v>
      </c>
      <c r="D29" s="32">
        <f t="shared" si="0"/>
        <v>2.2306725739955762</v>
      </c>
      <c r="E29" s="1">
        <f t="shared" si="1"/>
        <v>5.3209836393744561E-2</v>
      </c>
      <c r="F29" s="29"/>
      <c r="H29" s="29">
        <v>8</v>
      </c>
      <c r="I29" s="38">
        <v>3.9314704124270561</v>
      </c>
      <c r="J29" s="1">
        <v>-0.81147041242705598</v>
      </c>
      <c r="K29" s="29">
        <v>-0.80397213199567907</v>
      </c>
      <c r="L29" s="29">
        <v>3.0737704918032787</v>
      </c>
      <c r="M29" s="1">
        <v>1.25</v>
      </c>
      <c r="N29" s="1">
        <v>0.65848423024453484</v>
      </c>
      <c r="O29" s="1"/>
    </row>
    <row r="30" spans="1:19" x14ac:dyDescent="0.3">
      <c r="A30" s="1">
        <v>2</v>
      </c>
      <c r="B30" s="7">
        <v>21.7</v>
      </c>
      <c r="C30" s="8">
        <v>4.3</v>
      </c>
      <c r="D30" s="32">
        <f t="shared" si="0"/>
        <v>3.0660197388543251</v>
      </c>
      <c r="E30" s="1">
        <f t="shared" si="1"/>
        <v>1.5227072848971475</v>
      </c>
      <c r="F30" s="29"/>
      <c r="H30" s="29">
        <v>9</v>
      </c>
      <c r="I30" s="38">
        <v>2.44854891555141</v>
      </c>
      <c r="J30" s="1">
        <v>-0.48854891555141</v>
      </c>
      <c r="K30" s="29">
        <v>-0.48403454667591034</v>
      </c>
      <c r="L30" s="29">
        <v>3.4836065573770494</v>
      </c>
      <c r="M30" s="1">
        <v>1.25</v>
      </c>
      <c r="N30" s="1">
        <v>0.2386800428864583</v>
      </c>
      <c r="O30" s="1"/>
    </row>
    <row r="31" spans="1:19" x14ac:dyDescent="0.3">
      <c r="A31" s="1">
        <v>2</v>
      </c>
      <c r="B31" s="7">
        <v>19.649999999999999</v>
      </c>
      <c r="C31" s="8">
        <v>3</v>
      </c>
      <c r="D31" s="32">
        <f t="shared" si="0"/>
        <v>2.8759573983481723</v>
      </c>
      <c r="E31" s="1">
        <f t="shared" si="1"/>
        <v>1.5386567024554003E-2</v>
      </c>
      <c r="F31" s="29"/>
      <c r="H31" s="29">
        <v>10</v>
      </c>
      <c r="I31" s="38">
        <v>2.4244434479750199</v>
      </c>
      <c r="J31" s="1">
        <v>0.80555655202498011</v>
      </c>
      <c r="K31" s="29">
        <v>0.79811291780503324</v>
      </c>
      <c r="L31" s="29">
        <v>3.8934426229508201</v>
      </c>
      <c r="M31" s="1">
        <v>1.25</v>
      </c>
      <c r="N31" s="1">
        <v>0.64892135851037525</v>
      </c>
      <c r="O31" s="1"/>
    </row>
    <row r="32" spans="1:19" x14ac:dyDescent="0.3">
      <c r="A32" s="1">
        <v>2</v>
      </c>
      <c r="B32" s="7">
        <v>9.5500000000000007</v>
      </c>
      <c r="C32" s="8">
        <v>1.45</v>
      </c>
      <c r="D32" s="32">
        <f t="shared" si="0"/>
        <v>1.9395526963422496</v>
      </c>
      <c r="E32" s="1">
        <f t="shared" si="1"/>
        <v>0.23966184249596686</v>
      </c>
      <c r="F32" s="29"/>
      <c r="H32" s="29">
        <v>11</v>
      </c>
      <c r="I32" s="38">
        <v>2.0063062988614839</v>
      </c>
      <c r="J32" s="1">
        <v>-0.29630629886148396</v>
      </c>
      <c r="K32" s="29">
        <v>-0.29356832137219813</v>
      </c>
      <c r="L32" s="29">
        <v>4.3032786885245908</v>
      </c>
      <c r="M32" s="1">
        <v>1.32</v>
      </c>
      <c r="N32" s="1">
        <v>8.7797422744990791E-2</v>
      </c>
      <c r="O32" s="1"/>
    </row>
    <row r="33" spans="1:15" x14ac:dyDescent="0.3">
      <c r="A33" s="1">
        <v>4</v>
      </c>
      <c r="B33" s="7">
        <v>18.350000000000001</v>
      </c>
      <c r="C33" s="8">
        <v>2.5</v>
      </c>
      <c r="D33" s="32">
        <f t="shared" si="0"/>
        <v>3.140625649247796</v>
      </c>
      <c r="E33" s="1">
        <f t="shared" si="1"/>
        <v>0.41040122247416011</v>
      </c>
      <c r="F33" s="29"/>
      <c r="H33" s="29">
        <v>12</v>
      </c>
      <c r="I33" s="38">
        <v>4.708408175081475</v>
      </c>
      <c r="J33" s="1">
        <v>0.29159182491852498</v>
      </c>
      <c r="K33" s="29">
        <v>0.28889741087550819</v>
      </c>
      <c r="L33" s="29">
        <v>4.7131147540983607</v>
      </c>
      <c r="M33" s="1">
        <v>1.36</v>
      </c>
      <c r="N33" s="1">
        <v>8.5025792359315719E-2</v>
      </c>
      <c r="O33" s="1"/>
    </row>
    <row r="34" spans="1:15" x14ac:dyDescent="0.3">
      <c r="A34" s="1">
        <v>2</v>
      </c>
      <c r="B34" s="7">
        <v>15.06</v>
      </c>
      <c r="C34" s="8">
        <v>3</v>
      </c>
      <c r="D34" s="32">
        <f t="shared" si="0"/>
        <v>2.450403182288055</v>
      </c>
      <c r="E34" s="1">
        <f t="shared" si="1"/>
        <v>0.30205666203909692</v>
      </c>
      <c r="F34" s="29"/>
      <c r="H34" s="29">
        <v>13</v>
      </c>
      <c r="I34" s="38">
        <v>2.4837799835476728</v>
      </c>
      <c r="J34" s="1">
        <v>-0.91377998354767276</v>
      </c>
      <c r="K34" s="29">
        <v>-0.9053363256344702</v>
      </c>
      <c r="L34" s="29">
        <v>5.1229508196721314</v>
      </c>
      <c r="M34" s="1">
        <v>1.44</v>
      </c>
      <c r="N34" s="1">
        <v>0.83499385833238349</v>
      </c>
      <c r="O34" s="1"/>
    </row>
    <row r="35" spans="1:15" x14ac:dyDescent="0.3">
      <c r="A35" s="1">
        <v>4</v>
      </c>
      <c r="B35" s="7">
        <v>20.69</v>
      </c>
      <c r="C35" s="8">
        <v>2.4500000000000002</v>
      </c>
      <c r="D35" s="32">
        <f t="shared" si="0"/>
        <v>3.3575748574353068</v>
      </c>
      <c r="E35" s="1">
        <f t="shared" si="1"/>
        <v>0.82369212184871721</v>
      </c>
      <c r="F35" s="29"/>
      <c r="H35" s="29">
        <v>14</v>
      </c>
      <c r="I35" s="38">
        <v>3.1480427161943778</v>
      </c>
      <c r="J35" s="1">
        <v>-0.14804271619437781</v>
      </c>
      <c r="K35" s="29">
        <v>-0.146674747892825</v>
      </c>
      <c r="L35" s="29">
        <v>5.5327868852459021</v>
      </c>
      <c r="M35" s="1">
        <v>1.44</v>
      </c>
      <c r="N35" s="1">
        <v>2.1916645818209093E-2</v>
      </c>
      <c r="O35" s="1"/>
    </row>
    <row r="36" spans="1:15" x14ac:dyDescent="0.3">
      <c r="A36" s="1">
        <v>2</v>
      </c>
      <c r="B36" s="7">
        <v>17.78</v>
      </c>
      <c r="C36" s="8">
        <v>3.27</v>
      </c>
      <c r="D36" s="32">
        <f t="shared" si="0"/>
        <v>2.7025834584718282</v>
      </c>
      <c r="E36" s="1">
        <f t="shared" si="1"/>
        <v>0.32196153159979152</v>
      </c>
      <c r="F36" s="29"/>
      <c r="H36" s="29">
        <v>15</v>
      </c>
      <c r="I36" s="38">
        <v>2.4290791148166333</v>
      </c>
      <c r="J36" s="1">
        <v>0.59092088518336672</v>
      </c>
      <c r="K36" s="29">
        <v>0.58546056224120313</v>
      </c>
      <c r="L36" s="29">
        <v>5.942622950819672</v>
      </c>
      <c r="M36" s="1">
        <v>1.45</v>
      </c>
      <c r="N36" s="1">
        <v>0.34918749254589421</v>
      </c>
      <c r="O36" s="1"/>
    </row>
    <row r="37" spans="1:15" x14ac:dyDescent="0.3">
      <c r="A37" s="1">
        <v>3</v>
      </c>
      <c r="B37" s="7">
        <v>24.06</v>
      </c>
      <c r="C37" s="8">
        <v>3.6</v>
      </c>
      <c r="D37" s="32">
        <f t="shared" si="0"/>
        <v>3.4774210081692685</v>
      </c>
      <c r="E37" s="1">
        <f t="shared" si="1"/>
        <v>1.502560923823857E-2</v>
      </c>
      <c r="F37" s="29"/>
      <c r="H37" s="29">
        <v>16</v>
      </c>
      <c r="I37" s="38">
        <v>3.0548941384344532</v>
      </c>
      <c r="J37" s="1">
        <v>0.8651058615655467</v>
      </c>
      <c r="K37" s="29">
        <v>0.85711197016358565</v>
      </c>
      <c r="L37" s="29">
        <v>6.3524590163934427</v>
      </c>
      <c r="M37" s="1">
        <v>1.47</v>
      </c>
      <c r="N37" s="1">
        <v>0.74840815171506758</v>
      </c>
      <c r="O37" s="1"/>
    </row>
    <row r="38" spans="1:15" x14ac:dyDescent="0.3">
      <c r="A38" s="1">
        <v>3</v>
      </c>
      <c r="B38" s="7">
        <v>16.309999999999999</v>
      </c>
      <c r="C38" s="8">
        <v>2</v>
      </c>
      <c r="D38" s="32">
        <f t="shared" si="0"/>
        <v>2.7588926477191791</v>
      </c>
      <c r="E38" s="1">
        <f t="shared" si="1"/>
        <v>0.57591805076222602</v>
      </c>
      <c r="F38" s="29"/>
      <c r="H38" s="29">
        <v>17</v>
      </c>
      <c r="I38" s="38">
        <v>2.2044668934622069</v>
      </c>
      <c r="J38" s="1">
        <v>-0.53446689346220699</v>
      </c>
      <c r="K38" s="29">
        <v>-0.52952822584464088</v>
      </c>
      <c r="L38" s="29">
        <v>6.7622950819672134</v>
      </c>
      <c r="M38" s="1">
        <v>1.48</v>
      </c>
      <c r="N38" s="1">
        <v>0.28565486020714215</v>
      </c>
      <c r="O38" s="1"/>
    </row>
    <row r="39" spans="1:15" x14ac:dyDescent="0.3">
      <c r="A39" s="1">
        <v>3</v>
      </c>
      <c r="B39" s="7">
        <v>16.93</v>
      </c>
      <c r="C39" s="8">
        <v>3.07</v>
      </c>
      <c r="D39" s="32">
        <f t="shared" si="0"/>
        <v>2.8163749165551861</v>
      </c>
      <c r="E39" s="1">
        <f t="shared" si="1"/>
        <v>6.4325682952388719E-2</v>
      </c>
      <c r="F39" s="29"/>
      <c r="H39" s="29">
        <v>18</v>
      </c>
      <c r="I39" s="38">
        <v>2.7570383809825341</v>
      </c>
      <c r="J39" s="1">
        <v>0.9529616190174659</v>
      </c>
      <c r="K39" s="29">
        <v>0.94415590860547438</v>
      </c>
      <c r="L39" s="29">
        <v>7.1721311475409841</v>
      </c>
      <c r="M39" s="1">
        <v>1.5</v>
      </c>
      <c r="N39" s="1">
        <v>0.90813584732039154</v>
      </c>
      <c r="O39" s="1"/>
    </row>
    <row r="40" spans="1:15" x14ac:dyDescent="0.3">
      <c r="A40" s="1">
        <v>3</v>
      </c>
      <c r="B40" s="7">
        <v>18.690000000000001</v>
      </c>
      <c r="C40" s="8">
        <v>2.31</v>
      </c>
      <c r="D40" s="32">
        <f t="shared" si="0"/>
        <v>2.9795503893799804</v>
      </c>
      <c r="E40" s="1">
        <f t="shared" si="1"/>
        <v>0.44829772391888328</v>
      </c>
      <c r="F40" s="29"/>
      <c r="H40" s="29">
        <v>19</v>
      </c>
      <c r="I40" s="38">
        <v>2.820083450028477</v>
      </c>
      <c r="J40" s="1">
        <v>0.67991654997152295</v>
      </c>
      <c r="K40" s="29">
        <v>0.6736338748627998</v>
      </c>
      <c r="L40" s="29">
        <v>7.5819672131147549</v>
      </c>
      <c r="M40" s="1">
        <v>1.5</v>
      </c>
      <c r="N40" s="1">
        <v>0.46228651492517847</v>
      </c>
      <c r="O40" s="1"/>
    </row>
    <row r="41" spans="1:15" x14ac:dyDescent="0.3">
      <c r="A41" s="1">
        <v>3</v>
      </c>
      <c r="B41" s="7">
        <v>31.27</v>
      </c>
      <c r="C41" s="8">
        <v>5</v>
      </c>
      <c r="D41" s="32">
        <f t="shared" si="0"/>
        <v>4.1458841667299318</v>
      </c>
      <c r="E41" s="1">
        <f t="shared" si="1"/>
        <v>0.72951385664262303</v>
      </c>
      <c r="F41" s="29"/>
      <c r="H41" s="29">
        <v>20</v>
      </c>
      <c r="I41" s="38">
        <v>3.1612685295712293</v>
      </c>
      <c r="J41" s="1">
        <v>0.18873147042877081</v>
      </c>
      <c r="K41" s="29">
        <v>0.18698752330534041</v>
      </c>
      <c r="L41" s="29">
        <v>7.9918032786885247</v>
      </c>
      <c r="M41" s="1">
        <v>1.5</v>
      </c>
      <c r="N41" s="1">
        <v>3.561956793020616E-2</v>
      </c>
      <c r="O41" s="1"/>
    </row>
    <row r="42" spans="1:15" x14ac:dyDescent="0.3">
      <c r="A42" s="1">
        <v>3</v>
      </c>
      <c r="B42" s="7">
        <v>16.04</v>
      </c>
      <c r="C42" s="8">
        <v>2.2400000000000002</v>
      </c>
      <c r="D42" s="32">
        <f t="shared" si="0"/>
        <v>2.733860046774466</v>
      </c>
      <c r="E42" s="1">
        <f t="shared" si="1"/>
        <v>0.24389774580007756</v>
      </c>
      <c r="F42" s="29"/>
      <c r="H42" s="29">
        <v>21</v>
      </c>
      <c r="I42" s="38">
        <v>2.7155633256283469</v>
      </c>
      <c r="J42" s="1">
        <v>1.3644366743716532</v>
      </c>
      <c r="K42" s="29">
        <v>1.3518287854596054</v>
      </c>
      <c r="L42" s="29">
        <v>8.4016393442622963</v>
      </c>
      <c r="M42" s="1">
        <v>1.5</v>
      </c>
      <c r="N42" s="1">
        <v>1.8616874383703792</v>
      </c>
      <c r="O42" s="1"/>
    </row>
    <row r="43" spans="1:15" x14ac:dyDescent="0.3">
      <c r="A43" s="1">
        <v>2</v>
      </c>
      <c r="B43" s="7">
        <v>17.46</v>
      </c>
      <c r="C43" s="8">
        <v>2.54</v>
      </c>
      <c r="D43" s="32">
        <f t="shared" si="0"/>
        <v>2.6729151906855022</v>
      </c>
      <c r="E43" s="1">
        <f t="shared" si="1"/>
        <v>1.7666447914963402E-2</v>
      </c>
      <c r="F43" s="29"/>
      <c r="H43" s="29">
        <v>22</v>
      </c>
      <c r="I43" s="38">
        <v>2.9352939339208257</v>
      </c>
      <c r="J43" s="1">
        <v>-0.18529393392082572</v>
      </c>
      <c r="K43" s="29">
        <v>-0.18358175087940612</v>
      </c>
      <c r="L43" s="29">
        <v>8.8114754098360653</v>
      </c>
      <c r="M43" s="1">
        <v>1.5</v>
      </c>
      <c r="N43" s="1">
        <v>3.4333841947855E-2</v>
      </c>
      <c r="O43" s="1"/>
    </row>
    <row r="44" spans="1:15" x14ac:dyDescent="0.3">
      <c r="A44" s="1">
        <v>2</v>
      </c>
      <c r="B44" s="7">
        <v>13.94</v>
      </c>
      <c r="C44" s="8">
        <v>3.06</v>
      </c>
      <c r="D44" s="32">
        <f t="shared" si="0"/>
        <v>2.3465642450359128</v>
      </c>
      <c r="E44" s="1">
        <f t="shared" si="1"/>
        <v>0.50899057646117718</v>
      </c>
      <c r="F44" s="29"/>
      <c r="H44" s="29">
        <v>23</v>
      </c>
      <c r="I44" s="38">
        <v>2.5162296514389668</v>
      </c>
      <c r="J44" s="1">
        <v>-0.28622965143896684</v>
      </c>
      <c r="K44" s="29">
        <v>-0.28358478582045904</v>
      </c>
      <c r="L44" s="29">
        <v>9.221311475409836</v>
      </c>
      <c r="M44" s="1">
        <v>1.5</v>
      </c>
      <c r="N44" s="1">
        <v>8.1927413362872195E-2</v>
      </c>
      <c r="O44" s="1"/>
    </row>
    <row r="45" spans="1:15" x14ac:dyDescent="0.3">
      <c r="A45" s="1">
        <v>2</v>
      </c>
      <c r="B45" s="7">
        <v>9.68</v>
      </c>
      <c r="C45" s="8">
        <v>1.32</v>
      </c>
      <c r="D45" s="32">
        <f t="shared" si="0"/>
        <v>1.9516054301304444</v>
      </c>
      <c r="E45" s="1">
        <f t="shared" si="1"/>
        <v>0.3989254193702636</v>
      </c>
      <c r="F45" s="29"/>
      <c r="H45" s="29">
        <v>24</v>
      </c>
      <c r="I45" s="38">
        <v>5.0940956563037174</v>
      </c>
      <c r="J45" s="1">
        <v>2.4859043436962827</v>
      </c>
      <c r="K45" s="29">
        <v>2.46293368745404</v>
      </c>
      <c r="L45" s="29">
        <v>9.6311475409836067</v>
      </c>
      <c r="M45" s="1">
        <v>1.5</v>
      </c>
      <c r="N45" s="1">
        <v>6.1797204060080499</v>
      </c>
      <c r="O45" s="1"/>
    </row>
    <row r="46" spans="1:15" x14ac:dyDescent="0.3">
      <c r="A46" s="1">
        <v>4</v>
      </c>
      <c r="B46" s="7">
        <v>30.4</v>
      </c>
      <c r="C46" s="8">
        <v>5.6</v>
      </c>
      <c r="D46" s="32">
        <f t="shared" si="0"/>
        <v>4.2578213580766446</v>
      </c>
      <c r="E46" s="1">
        <f t="shared" si="1"/>
        <v>1.8014435068352217</v>
      </c>
      <c r="F46" s="29"/>
      <c r="H46" s="29">
        <v>25</v>
      </c>
      <c r="I46" s="38">
        <v>2.891718665609659</v>
      </c>
      <c r="J46" s="1">
        <v>0.2882813343903412</v>
      </c>
      <c r="K46" s="29">
        <v>0.28561751047848088</v>
      </c>
      <c r="L46" s="29">
        <v>10.040983606557377</v>
      </c>
      <c r="M46" s="1">
        <v>1.5</v>
      </c>
      <c r="N46" s="1">
        <v>8.3106127757876236E-2</v>
      </c>
      <c r="O46" s="1"/>
    </row>
    <row r="47" spans="1:15" x14ac:dyDescent="0.3">
      <c r="A47" s="1">
        <v>2</v>
      </c>
      <c r="B47" s="7">
        <v>18.29</v>
      </c>
      <c r="C47" s="8">
        <v>3</v>
      </c>
      <c r="D47" s="32">
        <f t="shared" si="0"/>
        <v>2.7498672602562855</v>
      </c>
      <c r="E47" s="1">
        <f t="shared" si="1"/>
        <v>6.2566387491696823E-2</v>
      </c>
      <c r="F47" s="29"/>
      <c r="H47" s="29">
        <v>26</v>
      </c>
      <c r="I47" s="38">
        <v>3.0905604473583708</v>
      </c>
      <c r="J47" s="1">
        <v>-0.75056044735837091</v>
      </c>
      <c r="K47" s="29">
        <v>-0.74362499705875973</v>
      </c>
      <c r="L47" s="29">
        <v>10.450819672131148</v>
      </c>
      <c r="M47" s="1">
        <v>1.5</v>
      </c>
      <c r="N47" s="1">
        <v>0.56334098513879716</v>
      </c>
      <c r="O47" s="1"/>
    </row>
    <row r="48" spans="1:15" x14ac:dyDescent="0.3">
      <c r="A48" s="1">
        <v>2</v>
      </c>
      <c r="B48" s="7">
        <v>22.23</v>
      </c>
      <c r="C48" s="8">
        <v>5</v>
      </c>
      <c r="D48" s="32">
        <f t="shared" si="0"/>
        <v>3.1151578073754282</v>
      </c>
      <c r="E48" s="1">
        <f t="shared" si="1"/>
        <v>3.5526300910978033</v>
      </c>
      <c r="F48" s="29"/>
      <c r="H48" s="29">
        <v>27</v>
      </c>
      <c r="I48" s="38">
        <v>2.2937176430415196</v>
      </c>
      <c r="J48" s="1">
        <v>-0.29371764304151959</v>
      </c>
      <c r="K48" s="29">
        <v>-0.29100358566932139</v>
      </c>
      <c r="L48" s="29">
        <v>10.860655737704919</v>
      </c>
      <c r="M48" s="1">
        <v>1.56</v>
      </c>
      <c r="N48" s="1">
        <v>8.6270053833865268E-2</v>
      </c>
      <c r="O48" s="1"/>
    </row>
    <row r="49" spans="1:15" x14ac:dyDescent="0.3">
      <c r="A49" s="1">
        <v>4</v>
      </c>
      <c r="B49" s="7">
        <v>32.4</v>
      </c>
      <c r="C49" s="8">
        <v>6</v>
      </c>
      <c r="D49" s="32">
        <f t="shared" si="0"/>
        <v>4.4432480317411835</v>
      </c>
      <c r="E49" s="1">
        <f t="shared" si="1"/>
        <v>2.423476690677699</v>
      </c>
      <c r="F49" s="29"/>
      <c r="H49" s="29">
        <v>28</v>
      </c>
      <c r="I49" s="38">
        <v>2.2306725739955766</v>
      </c>
      <c r="J49" s="1">
        <v>-0.23067257399557661</v>
      </c>
      <c r="K49" s="29">
        <v>-0.22854107588898132</v>
      </c>
      <c r="L49" s="29">
        <v>11.27049180327869</v>
      </c>
      <c r="M49" s="1">
        <v>1.57</v>
      </c>
      <c r="N49" s="1">
        <v>5.3209836393744561E-2</v>
      </c>
      <c r="O49" s="1"/>
    </row>
    <row r="50" spans="1:15" x14ac:dyDescent="0.3">
      <c r="A50" s="1">
        <v>3</v>
      </c>
      <c r="B50" s="7">
        <v>28.55</v>
      </c>
      <c r="C50" s="8">
        <v>2.0499999999999998</v>
      </c>
      <c r="D50" s="32">
        <f t="shared" si="0"/>
        <v>3.893703890546159</v>
      </c>
      <c r="E50" s="1">
        <f t="shared" si="1"/>
        <v>3.3992440360150433</v>
      </c>
      <c r="F50" s="29"/>
      <c r="H50" s="29">
        <v>29</v>
      </c>
      <c r="I50" s="38">
        <v>3.0660197388543255</v>
      </c>
      <c r="J50" s="1">
        <v>1.2339802611456743</v>
      </c>
      <c r="K50" s="29">
        <v>1.2225778367280302</v>
      </c>
      <c r="L50" s="29">
        <v>11.680327868852459</v>
      </c>
      <c r="M50" s="1">
        <v>1.58</v>
      </c>
      <c r="N50" s="1">
        <v>1.5227072848971475</v>
      </c>
      <c r="O50" s="1"/>
    </row>
    <row r="51" spans="1:15" x14ac:dyDescent="0.3">
      <c r="A51" s="1">
        <v>2</v>
      </c>
      <c r="B51" s="7">
        <v>18.04</v>
      </c>
      <c r="C51" s="8">
        <v>3</v>
      </c>
      <c r="D51" s="32">
        <f t="shared" si="0"/>
        <v>2.7266889260482183</v>
      </c>
      <c r="E51" s="1">
        <f t="shared" si="1"/>
        <v>7.4698943144676275E-2</v>
      </c>
      <c r="F51" s="29"/>
      <c r="H51" s="29">
        <v>30</v>
      </c>
      <c r="I51" s="38">
        <v>2.8759573983481728</v>
      </c>
      <c r="J51" s="1">
        <v>0.12404260165182723</v>
      </c>
      <c r="K51" s="29">
        <v>0.12289640309870797</v>
      </c>
      <c r="L51" s="29">
        <v>12.090163934426229</v>
      </c>
      <c r="M51" s="1">
        <v>1.61</v>
      </c>
      <c r="N51" s="1">
        <v>1.5386567024554003E-2</v>
      </c>
      <c r="O51" s="1"/>
    </row>
    <row r="52" spans="1:15" x14ac:dyDescent="0.3">
      <c r="A52" s="1">
        <v>2</v>
      </c>
      <c r="B52" s="7">
        <v>12.54</v>
      </c>
      <c r="C52" s="8">
        <v>2.5</v>
      </c>
      <c r="D52" s="32">
        <f t="shared" si="0"/>
        <v>2.2167655734707354</v>
      </c>
      <c r="E52" s="1">
        <f t="shared" si="1"/>
        <v>8.0221740371361358E-2</v>
      </c>
      <c r="F52" s="29"/>
      <c r="H52" s="29">
        <v>31</v>
      </c>
      <c r="I52" s="38">
        <v>1.93955269634225</v>
      </c>
      <c r="J52" s="1">
        <v>-0.48955269634225007</v>
      </c>
      <c r="K52" s="29">
        <v>-0.48502905216879</v>
      </c>
      <c r="L52" s="29">
        <v>12.5</v>
      </c>
      <c r="M52" s="1">
        <v>1.63</v>
      </c>
      <c r="N52" s="1">
        <v>0.23966184249596686</v>
      </c>
      <c r="O52" s="1"/>
    </row>
    <row r="53" spans="1:15" x14ac:dyDescent="0.3">
      <c r="A53" s="1">
        <v>2</v>
      </c>
      <c r="B53" s="7">
        <v>10.29</v>
      </c>
      <c r="C53" s="8">
        <v>2.6</v>
      </c>
      <c r="D53" s="32">
        <f t="shared" si="0"/>
        <v>2.0081605655981289</v>
      </c>
      <c r="E53" s="1">
        <f t="shared" si="1"/>
        <v>0.35027391611312675</v>
      </c>
      <c r="F53" s="29"/>
      <c r="H53" s="29">
        <v>32</v>
      </c>
      <c r="I53" s="38">
        <v>3.1406256492477964</v>
      </c>
      <c r="J53" s="1">
        <v>-0.64062564924779641</v>
      </c>
      <c r="K53" s="29">
        <v>-0.63470603628837174</v>
      </c>
      <c r="L53" s="29">
        <v>12.909836065573771</v>
      </c>
      <c r="M53" s="1">
        <v>1.64</v>
      </c>
      <c r="N53" s="1">
        <v>0.41040122247416011</v>
      </c>
      <c r="O53" s="1"/>
    </row>
    <row r="54" spans="1:15" x14ac:dyDescent="0.3">
      <c r="A54" s="1">
        <v>4</v>
      </c>
      <c r="B54" s="7">
        <v>34.81</v>
      </c>
      <c r="C54" s="8">
        <v>5.2</v>
      </c>
      <c r="D54" s="32">
        <f t="shared" si="0"/>
        <v>4.6666871735069533</v>
      </c>
      <c r="E54" s="1">
        <f t="shared" si="1"/>
        <v>0.28442257090200274</v>
      </c>
      <c r="F54" s="29"/>
      <c r="H54" s="29">
        <v>33</v>
      </c>
      <c r="I54" s="38">
        <v>2.4504031822880554</v>
      </c>
      <c r="J54" s="1">
        <v>0.54959681771194457</v>
      </c>
      <c r="K54" s="29">
        <v>0.54451834411600564</v>
      </c>
      <c r="L54" s="29">
        <v>13.319672131147541</v>
      </c>
      <c r="M54" s="1">
        <v>1.66</v>
      </c>
      <c r="N54" s="1">
        <v>0.30205666203909692</v>
      </c>
      <c r="O54" s="1"/>
    </row>
    <row r="55" spans="1:15" x14ac:dyDescent="0.3">
      <c r="A55" s="1">
        <v>2</v>
      </c>
      <c r="B55" s="7">
        <v>9.94</v>
      </c>
      <c r="C55" s="8">
        <v>1.56</v>
      </c>
      <c r="D55" s="32">
        <f t="shared" si="0"/>
        <v>1.9757108977068345</v>
      </c>
      <c r="E55" s="1">
        <f t="shared" si="1"/>
        <v>0.17281555047222216</v>
      </c>
      <c r="F55" s="29"/>
      <c r="H55" s="29">
        <v>34</v>
      </c>
      <c r="I55" s="38">
        <v>3.3575748574353073</v>
      </c>
      <c r="J55" s="1">
        <v>-0.90757485743530708</v>
      </c>
      <c r="K55" s="29">
        <v>-0.89918853713416036</v>
      </c>
      <c r="L55" s="29">
        <v>13.729508196721312</v>
      </c>
      <c r="M55" s="1">
        <v>1.67</v>
      </c>
      <c r="N55" s="1">
        <v>0.82369212184871721</v>
      </c>
      <c r="O55" s="1"/>
    </row>
    <row r="56" spans="1:15" x14ac:dyDescent="0.3">
      <c r="A56" s="1">
        <v>4</v>
      </c>
      <c r="B56" s="7">
        <v>25.56</v>
      </c>
      <c r="C56" s="8">
        <v>4.34</v>
      </c>
      <c r="D56" s="32">
        <f t="shared" si="0"/>
        <v>3.8090888078084593</v>
      </c>
      <c r="E56" s="1">
        <f t="shared" si="1"/>
        <v>0.28186669399424297</v>
      </c>
      <c r="F56" s="29"/>
      <c r="H56" s="29">
        <v>35</v>
      </c>
      <c r="I56" s="38">
        <v>2.7025834584718291</v>
      </c>
      <c r="J56" s="1">
        <v>0.56741654152817089</v>
      </c>
      <c r="K56" s="29">
        <v>0.56217340723193099</v>
      </c>
      <c r="L56" s="29">
        <v>14.139344262295083</v>
      </c>
      <c r="M56" s="1">
        <v>1.68</v>
      </c>
      <c r="N56" s="1">
        <v>0.32196153159979152</v>
      </c>
      <c r="O56" s="1"/>
    </row>
    <row r="57" spans="1:15" x14ac:dyDescent="0.3">
      <c r="A57" s="1">
        <v>2</v>
      </c>
      <c r="B57" s="7">
        <v>19.489999999999998</v>
      </c>
      <c r="C57" s="8">
        <v>3.51</v>
      </c>
      <c r="D57" s="32">
        <f t="shared" si="0"/>
        <v>2.8611232644550091</v>
      </c>
      <c r="E57" s="1">
        <f t="shared" si="1"/>
        <v>0.42104101793152382</v>
      </c>
      <c r="F57" s="29"/>
      <c r="H57" s="29">
        <v>36</v>
      </c>
      <c r="I57" s="38">
        <v>3.4774210081692685</v>
      </c>
      <c r="J57" s="1">
        <v>0.12257899183073162</v>
      </c>
      <c r="K57" s="29">
        <v>0.12144631756230916</v>
      </c>
      <c r="L57" s="29">
        <v>14.549180327868854</v>
      </c>
      <c r="M57" s="1">
        <v>1.71</v>
      </c>
      <c r="N57" s="1">
        <v>1.502560923823857E-2</v>
      </c>
      <c r="O57" s="1"/>
    </row>
    <row r="58" spans="1:15" x14ac:dyDescent="0.3">
      <c r="A58" s="1">
        <v>4</v>
      </c>
      <c r="B58" s="7">
        <v>38.01</v>
      </c>
      <c r="C58" s="8">
        <v>3</v>
      </c>
      <c r="D58" s="32">
        <f t="shared" si="0"/>
        <v>4.9633698513702162</v>
      </c>
      <c r="E58" s="1">
        <f t="shared" si="1"/>
        <v>3.8548211732695052</v>
      </c>
      <c r="F58" s="29"/>
      <c r="H58" s="29">
        <v>37</v>
      </c>
      <c r="I58" s="38">
        <v>2.7588926477191791</v>
      </c>
      <c r="J58" s="1">
        <v>-0.75889264771917908</v>
      </c>
      <c r="K58" s="29">
        <v>-0.7518802048712766</v>
      </c>
      <c r="L58" s="29">
        <v>14.959016393442624</v>
      </c>
      <c r="M58" s="1">
        <v>1.73</v>
      </c>
      <c r="N58" s="1">
        <v>0.57591805076222602</v>
      </c>
      <c r="O58" s="1"/>
    </row>
    <row r="59" spans="1:15" x14ac:dyDescent="0.3">
      <c r="A59" s="1">
        <v>2</v>
      </c>
      <c r="B59" s="7">
        <v>26.41</v>
      </c>
      <c r="C59" s="8">
        <v>1.5</v>
      </c>
      <c r="D59" s="32">
        <f t="shared" si="0"/>
        <v>3.5026995553343152</v>
      </c>
      <c r="E59" s="1">
        <f t="shared" si="1"/>
        <v>4.0108055089362642</v>
      </c>
      <c r="F59" s="29"/>
      <c r="H59" s="29">
        <v>38</v>
      </c>
      <c r="I59" s="38">
        <v>2.8163749165551866</v>
      </c>
      <c r="J59" s="1">
        <v>0.25362508344481327</v>
      </c>
      <c r="K59" s="29">
        <v>0.25128149584016779</v>
      </c>
      <c r="L59" s="29">
        <v>15.368852459016393</v>
      </c>
      <c r="M59" s="1">
        <v>1.75</v>
      </c>
      <c r="N59" s="1">
        <v>6.4325682952388719E-2</v>
      </c>
      <c r="O59" s="1"/>
    </row>
    <row r="60" spans="1:15" x14ac:dyDescent="0.3">
      <c r="A60" s="1">
        <v>2</v>
      </c>
      <c r="B60" s="7">
        <v>11.24</v>
      </c>
      <c r="C60" s="8">
        <v>1.76</v>
      </c>
      <c r="D60" s="32">
        <f t="shared" si="0"/>
        <v>2.096238235588785</v>
      </c>
      <c r="E60" s="1">
        <f t="shared" si="1"/>
        <v>0.11305615107185926</v>
      </c>
      <c r="F60" s="29"/>
      <c r="H60" s="29">
        <v>39</v>
      </c>
      <c r="I60" s="38">
        <v>2.9795503893799813</v>
      </c>
      <c r="J60" s="1">
        <v>-0.66955038937998124</v>
      </c>
      <c r="K60" s="29">
        <v>-0.66336350134854605</v>
      </c>
      <c r="L60" s="29">
        <v>15.778688524590164</v>
      </c>
      <c r="M60" s="1">
        <v>1.76</v>
      </c>
      <c r="N60" s="1">
        <v>0.44829772391888328</v>
      </c>
      <c r="O60" s="1"/>
    </row>
    <row r="61" spans="1:15" x14ac:dyDescent="0.3">
      <c r="A61" s="1">
        <v>4</v>
      </c>
      <c r="B61" s="7">
        <v>48.27</v>
      </c>
      <c r="C61" s="8">
        <v>6.73</v>
      </c>
      <c r="D61" s="32">
        <f t="shared" si="0"/>
        <v>5.9146086872693031</v>
      </c>
      <c r="E61" s="1">
        <f t="shared" si="1"/>
        <v>0.66486299287668982</v>
      </c>
      <c r="F61" s="29"/>
      <c r="H61" s="29">
        <v>40</v>
      </c>
      <c r="I61" s="38">
        <v>4.1458841667299327</v>
      </c>
      <c r="J61" s="1">
        <v>0.85411583327006735</v>
      </c>
      <c r="K61" s="29">
        <v>0.84622349370887129</v>
      </c>
      <c r="L61" s="29">
        <v>16.188524590163933</v>
      </c>
      <c r="M61" s="1">
        <v>1.8</v>
      </c>
      <c r="N61" s="1">
        <v>0.72951385664262303</v>
      </c>
      <c r="O61" s="1"/>
    </row>
    <row r="62" spans="1:15" x14ac:dyDescent="0.3">
      <c r="A62" s="1">
        <v>2</v>
      </c>
      <c r="B62" s="7">
        <v>20.29</v>
      </c>
      <c r="C62" s="8">
        <v>3.21</v>
      </c>
      <c r="D62" s="32">
        <f t="shared" si="0"/>
        <v>2.9352939339208248</v>
      </c>
      <c r="E62" s="1">
        <f t="shared" si="1"/>
        <v>7.5463422740696132E-2</v>
      </c>
      <c r="F62" s="29"/>
      <c r="H62" s="29">
        <v>41</v>
      </c>
      <c r="I62" s="38">
        <v>2.7338600467744665</v>
      </c>
      <c r="J62" s="1">
        <v>-0.49386004677446627</v>
      </c>
      <c r="K62" s="29">
        <v>-0.4892966011233893</v>
      </c>
      <c r="L62" s="29">
        <v>16.598360655737707</v>
      </c>
      <c r="M62" s="1">
        <v>1.83</v>
      </c>
      <c r="N62" s="1">
        <v>0.24389774580007756</v>
      </c>
      <c r="O62" s="1"/>
    </row>
    <row r="63" spans="1:15" x14ac:dyDescent="0.3">
      <c r="A63" s="1">
        <v>2</v>
      </c>
      <c r="B63" s="7">
        <v>13.81</v>
      </c>
      <c r="C63" s="8">
        <v>2</v>
      </c>
      <c r="D63" s="32">
        <f t="shared" si="0"/>
        <v>2.3345115112477179</v>
      </c>
      <c r="E63" s="1">
        <f t="shared" si="1"/>
        <v>0.11189795115723213</v>
      </c>
      <c r="F63" s="29"/>
      <c r="H63" s="29">
        <v>42</v>
      </c>
      <c r="I63" s="38">
        <v>2.6729151906855027</v>
      </c>
      <c r="J63" s="1">
        <v>-0.13291519068550262</v>
      </c>
      <c r="K63" s="29">
        <v>-0.13168700619708859</v>
      </c>
      <c r="L63" s="29">
        <v>17.008196721311474</v>
      </c>
      <c r="M63" s="1">
        <v>1.92</v>
      </c>
      <c r="N63" s="1">
        <v>1.7666447914963402E-2</v>
      </c>
      <c r="O63" s="1"/>
    </row>
    <row r="64" spans="1:15" x14ac:dyDescent="0.3">
      <c r="A64" s="1">
        <v>2</v>
      </c>
      <c r="B64" s="7">
        <v>11.02</v>
      </c>
      <c r="C64" s="8">
        <v>1.98</v>
      </c>
      <c r="D64" s="32">
        <f t="shared" si="0"/>
        <v>2.0758413014856858</v>
      </c>
      <c r="E64" s="1">
        <f t="shared" si="1"/>
        <v>9.1855550704701226E-3</v>
      </c>
      <c r="F64" s="29"/>
      <c r="H64" s="29">
        <v>43</v>
      </c>
      <c r="I64" s="38">
        <v>2.3465642450359132</v>
      </c>
      <c r="J64" s="1">
        <v>0.71343575496408684</v>
      </c>
      <c r="K64" s="29">
        <v>0.70684335026446055</v>
      </c>
      <c r="L64" s="29">
        <v>17.418032786885245</v>
      </c>
      <c r="M64" s="1">
        <v>1.96</v>
      </c>
      <c r="N64" s="1">
        <v>0.50899057646117718</v>
      </c>
      <c r="O64" s="1"/>
    </row>
    <row r="65" spans="1:15" x14ac:dyDescent="0.3">
      <c r="A65" s="1">
        <v>4</v>
      </c>
      <c r="B65" s="7">
        <v>18.29</v>
      </c>
      <c r="C65" s="8">
        <v>3.76</v>
      </c>
      <c r="D65" s="32">
        <f t="shared" si="0"/>
        <v>3.1350628490378596</v>
      </c>
      <c r="E65" s="1">
        <f t="shared" si="1"/>
        <v>0.3905464426526768</v>
      </c>
      <c r="F65" s="29"/>
      <c r="H65" s="29">
        <v>44</v>
      </c>
      <c r="I65" s="38">
        <v>1.9516054301304449</v>
      </c>
      <c r="J65" s="1">
        <v>-0.63160543013044479</v>
      </c>
      <c r="K65" s="29">
        <v>-0.62576916726174259</v>
      </c>
      <c r="L65" s="29">
        <v>17.827868852459016</v>
      </c>
      <c r="M65" s="1">
        <v>1.97</v>
      </c>
      <c r="N65" s="1">
        <v>0.3989254193702636</v>
      </c>
      <c r="O65" s="1"/>
    </row>
    <row r="66" spans="1:15" x14ac:dyDescent="0.3">
      <c r="A66" s="1">
        <v>3</v>
      </c>
      <c r="B66" s="7">
        <v>17.59</v>
      </c>
      <c r="C66" s="8">
        <v>2.64</v>
      </c>
      <c r="D66" s="32">
        <f t="shared" si="0"/>
        <v>2.8775657188644841</v>
      </c>
      <c r="E66" s="1">
        <f t="shared" si="1"/>
        <v>5.6437470779599035E-2</v>
      </c>
      <c r="F66" s="29"/>
      <c r="H66" s="29">
        <v>45</v>
      </c>
      <c r="I66" s="38">
        <v>4.2578213580766455</v>
      </c>
      <c r="J66" s="1">
        <v>1.3421786419233541</v>
      </c>
      <c r="K66" s="29">
        <v>1.3297764252904087</v>
      </c>
      <c r="L66" s="29">
        <v>18.237704918032787</v>
      </c>
      <c r="M66" s="1">
        <v>1.98</v>
      </c>
      <c r="N66" s="1">
        <v>1.8014435068352217</v>
      </c>
      <c r="O66" s="1"/>
    </row>
    <row r="67" spans="1:15" x14ac:dyDescent="0.3">
      <c r="A67" s="1">
        <v>3</v>
      </c>
      <c r="B67" s="7">
        <v>20.079999999999998</v>
      </c>
      <c r="C67" s="8">
        <v>3.15</v>
      </c>
      <c r="D67" s="32">
        <f t="shared" ref="D67:D130" si="2">SUM(PRODUCT(A67,$I$17),PRODUCT(B67,$I$18),$I$16)</f>
        <v>3.1084219275768352</v>
      </c>
      <c r="E67" s="1">
        <f t="shared" ref="E67:E130" si="3">POWER((C67-D67),2)</f>
        <v>1.7287361064259282E-3</v>
      </c>
      <c r="F67" s="29"/>
      <c r="H67" s="29">
        <v>46</v>
      </c>
      <c r="I67" s="38">
        <v>2.7498672602562864</v>
      </c>
      <c r="J67" s="1">
        <v>0.25013273974371364</v>
      </c>
      <c r="K67" s="29">
        <v>0.24782142265938853</v>
      </c>
      <c r="L67" s="29">
        <v>18.647540983606557</v>
      </c>
      <c r="M67" s="1">
        <v>2</v>
      </c>
      <c r="N67" s="1">
        <v>6.2566387491696823E-2</v>
      </c>
      <c r="O67" s="1"/>
    </row>
    <row r="68" spans="1:15" x14ac:dyDescent="0.3">
      <c r="A68" s="1">
        <v>2</v>
      </c>
      <c r="B68" s="7">
        <v>16.45</v>
      </c>
      <c r="C68" s="8">
        <v>2.4700000000000002</v>
      </c>
      <c r="D68" s="32">
        <f t="shared" si="2"/>
        <v>2.5792747204849098</v>
      </c>
      <c r="E68" s="1">
        <f t="shared" si="3"/>
        <v>1.1940964537055123E-2</v>
      </c>
      <c r="F68" s="29"/>
      <c r="H68" s="29">
        <v>47</v>
      </c>
      <c r="I68" s="38">
        <v>3.1151578073754287</v>
      </c>
      <c r="J68" s="1">
        <v>1.8848421926245713</v>
      </c>
      <c r="K68" s="29">
        <v>1.8674255682932919</v>
      </c>
      <c r="L68" s="29">
        <v>19.057377049180328</v>
      </c>
      <c r="M68" s="1">
        <v>2</v>
      </c>
      <c r="N68" s="1">
        <v>3.5526300910978033</v>
      </c>
      <c r="O68" s="1"/>
    </row>
    <row r="69" spans="1:15" x14ac:dyDescent="0.3">
      <c r="A69" s="1">
        <v>1</v>
      </c>
      <c r="B69" s="7">
        <v>3.07</v>
      </c>
      <c r="C69" s="8">
        <v>1</v>
      </c>
      <c r="D69" s="32">
        <f t="shared" si="2"/>
        <v>1.1461724792783556</v>
      </c>
      <c r="E69" s="1">
        <f t="shared" si="3"/>
        <v>2.1366393698381309E-2</v>
      </c>
      <c r="F69" s="29"/>
      <c r="H69" s="29">
        <v>48</v>
      </c>
      <c r="I69" s="38">
        <v>4.4432480317411844</v>
      </c>
      <c r="J69" s="1">
        <v>1.5567519682588156</v>
      </c>
      <c r="K69" s="29">
        <v>1.5423670163969361</v>
      </c>
      <c r="L69" s="29">
        <v>19.467213114754099</v>
      </c>
      <c r="M69" s="1">
        <v>2</v>
      </c>
      <c r="N69" s="1">
        <v>2.423476690677699</v>
      </c>
      <c r="O69" s="1"/>
    </row>
    <row r="70" spans="1:15" x14ac:dyDescent="0.3">
      <c r="A70" s="1">
        <v>2</v>
      </c>
      <c r="B70" s="7">
        <v>20.23</v>
      </c>
      <c r="C70" s="8">
        <v>2.0099999999999998</v>
      </c>
      <c r="D70" s="32">
        <f t="shared" si="2"/>
        <v>2.9297311337108889</v>
      </c>
      <c r="E70" s="1">
        <f t="shared" si="3"/>
        <v>0.84590535831711733</v>
      </c>
      <c r="F70" s="29"/>
      <c r="H70" s="29">
        <v>49</v>
      </c>
      <c r="I70" s="38">
        <v>3.8937038905461598</v>
      </c>
      <c r="J70" s="1">
        <v>-1.84370389054616</v>
      </c>
      <c r="K70" s="29">
        <v>-1.8266673990216111</v>
      </c>
      <c r="L70" s="29">
        <v>19.877049180327869</v>
      </c>
      <c r="M70" s="1">
        <v>2</v>
      </c>
      <c r="N70" s="1">
        <v>3.3992440360150433</v>
      </c>
      <c r="O70" s="1"/>
    </row>
    <row r="71" spans="1:15" x14ac:dyDescent="0.3">
      <c r="A71" s="1">
        <v>2</v>
      </c>
      <c r="B71" s="7">
        <v>15.01</v>
      </c>
      <c r="C71" s="8">
        <v>2.09</v>
      </c>
      <c r="D71" s="32">
        <f t="shared" si="2"/>
        <v>2.4457675154464416</v>
      </c>
      <c r="E71" s="1">
        <f t="shared" si="3"/>
        <v>0.12657052504693414</v>
      </c>
      <c r="F71" s="29"/>
      <c r="H71" s="29">
        <v>50</v>
      </c>
      <c r="I71" s="38">
        <v>2.7266889260482188</v>
      </c>
      <c r="J71" s="1">
        <v>0.27331107395178122</v>
      </c>
      <c r="K71" s="29">
        <v>0.27078558066686681</v>
      </c>
      <c r="L71" s="29">
        <v>20.28688524590164</v>
      </c>
      <c r="M71" s="1">
        <v>2</v>
      </c>
      <c r="N71" s="1">
        <v>7.4698943144676275E-2</v>
      </c>
      <c r="O71" s="1"/>
    </row>
    <row r="72" spans="1:15" x14ac:dyDescent="0.3">
      <c r="A72" s="1">
        <v>2</v>
      </c>
      <c r="B72" s="7">
        <v>12.02</v>
      </c>
      <c r="C72" s="8">
        <v>1.97</v>
      </c>
      <c r="D72" s="32">
        <f t="shared" si="2"/>
        <v>2.1685546383179553</v>
      </c>
      <c r="E72" s="1">
        <f t="shared" si="3"/>
        <v>3.9423944397574032E-2</v>
      </c>
      <c r="F72" s="29"/>
      <c r="H72" s="29">
        <v>51</v>
      </c>
      <c r="I72" s="38">
        <v>2.2167655734707359</v>
      </c>
      <c r="J72" s="1">
        <v>0.28323442652926412</v>
      </c>
      <c r="K72" s="29">
        <v>0.28061723787344539</v>
      </c>
      <c r="L72" s="29">
        <v>20.696721311475411</v>
      </c>
      <c r="M72" s="1">
        <v>2</v>
      </c>
      <c r="N72" s="1">
        <v>8.0221740371361358E-2</v>
      </c>
      <c r="O72" s="1"/>
    </row>
    <row r="73" spans="1:15" x14ac:dyDescent="0.3">
      <c r="A73" s="1">
        <v>3</v>
      </c>
      <c r="B73" s="7">
        <v>17.07</v>
      </c>
      <c r="C73" s="8">
        <v>3</v>
      </c>
      <c r="D73" s="32">
        <f t="shared" si="2"/>
        <v>2.8293547837117039</v>
      </c>
      <c r="E73" s="1">
        <f t="shared" si="3"/>
        <v>2.9119789842079354E-2</v>
      </c>
      <c r="F73" s="29"/>
      <c r="H73" s="29">
        <v>52</v>
      </c>
      <c r="I73" s="38">
        <v>2.0081605655981294</v>
      </c>
      <c r="J73" s="1">
        <v>0.5918394344018707</v>
      </c>
      <c r="K73" s="29">
        <v>0.58637062373233606</v>
      </c>
      <c r="L73" s="29">
        <v>21.106557377049182</v>
      </c>
      <c r="M73" s="1">
        <v>2</v>
      </c>
      <c r="N73" s="1">
        <v>0.35027391611312675</v>
      </c>
      <c r="O73" s="1"/>
    </row>
    <row r="74" spans="1:15" x14ac:dyDescent="0.3">
      <c r="A74" s="1">
        <v>2</v>
      </c>
      <c r="B74" s="7">
        <v>26.86</v>
      </c>
      <c r="C74" s="8">
        <v>3.14</v>
      </c>
      <c r="D74" s="32">
        <f t="shared" si="2"/>
        <v>3.5444205569088361</v>
      </c>
      <c r="E74" s="1">
        <f t="shared" si="3"/>
        <v>0.163555986850453</v>
      </c>
      <c r="F74" s="29"/>
      <c r="H74" s="29">
        <v>53</v>
      </c>
      <c r="I74" s="38">
        <v>4.6666871735069542</v>
      </c>
      <c r="J74" s="1">
        <v>0.53331282649304601</v>
      </c>
      <c r="K74" s="29">
        <v>0.52838482287214428</v>
      </c>
      <c r="L74" s="29">
        <v>21.516393442622952</v>
      </c>
      <c r="M74" s="1">
        <v>2</v>
      </c>
      <c r="N74" s="1">
        <v>0.28442257090200274</v>
      </c>
      <c r="O74" s="1"/>
    </row>
    <row r="75" spans="1:15" x14ac:dyDescent="0.3">
      <c r="A75" s="1">
        <v>2</v>
      </c>
      <c r="B75" s="7">
        <v>25.28</v>
      </c>
      <c r="C75" s="8">
        <v>5</v>
      </c>
      <c r="D75" s="32">
        <f t="shared" si="2"/>
        <v>3.3979334847138505</v>
      </c>
      <c r="E75" s="1">
        <f t="shared" si="3"/>
        <v>2.5666171194011063</v>
      </c>
      <c r="F75" s="29"/>
      <c r="H75" s="29">
        <v>54</v>
      </c>
      <c r="I75" s="38">
        <v>1.9757108977068349</v>
      </c>
      <c r="J75" s="1">
        <v>-0.41571089770683489</v>
      </c>
      <c r="K75" s="29">
        <v>-0.41186957848970879</v>
      </c>
      <c r="L75" s="29">
        <v>21.926229508196723</v>
      </c>
      <c r="M75" s="1">
        <v>2</v>
      </c>
      <c r="N75" s="1">
        <v>0.17281555047222216</v>
      </c>
      <c r="O75" s="1"/>
    </row>
    <row r="76" spans="1:15" x14ac:dyDescent="0.3">
      <c r="A76" s="1">
        <v>2</v>
      </c>
      <c r="B76" s="7">
        <v>14.73</v>
      </c>
      <c r="C76" s="8">
        <v>2.2000000000000002</v>
      </c>
      <c r="D76" s="32">
        <f t="shared" si="2"/>
        <v>2.419807781133406</v>
      </c>
      <c r="E76" s="1">
        <f t="shared" si="3"/>
        <v>4.8315460646791236E-2</v>
      </c>
      <c r="F76" s="29"/>
      <c r="H76" s="29">
        <v>55</v>
      </c>
      <c r="I76" s="38">
        <v>3.8090888078084602</v>
      </c>
      <c r="J76" s="1">
        <v>0.5309111921915397</v>
      </c>
      <c r="K76" s="29">
        <v>0.52600538054117751</v>
      </c>
      <c r="L76" s="29">
        <v>22.336065573770494</v>
      </c>
      <c r="M76" s="1">
        <v>2</v>
      </c>
      <c r="N76" s="1">
        <v>0.28186669399424297</v>
      </c>
      <c r="O76" s="1"/>
    </row>
    <row r="77" spans="1:15" x14ac:dyDescent="0.3">
      <c r="A77" s="1">
        <v>2</v>
      </c>
      <c r="B77" s="7">
        <v>10.51</v>
      </c>
      <c r="C77" s="8">
        <v>1.25</v>
      </c>
      <c r="D77" s="32">
        <f t="shared" si="2"/>
        <v>2.0285574997012286</v>
      </c>
      <c r="E77" s="1">
        <f t="shared" si="3"/>
        <v>0.60615178034102846</v>
      </c>
      <c r="F77" s="29"/>
      <c r="H77" s="29">
        <v>56</v>
      </c>
      <c r="I77" s="38">
        <v>2.86112326445501</v>
      </c>
      <c r="J77" s="1">
        <v>0.64887673554498981</v>
      </c>
      <c r="K77" s="29">
        <v>0.6428808795605917</v>
      </c>
      <c r="L77" s="29">
        <v>22.745901639344265</v>
      </c>
      <c r="M77" s="1">
        <v>2</v>
      </c>
      <c r="N77" s="1">
        <v>0.42104101793152382</v>
      </c>
      <c r="O77" s="1"/>
    </row>
    <row r="78" spans="1:15" x14ac:dyDescent="0.3">
      <c r="A78" s="1">
        <v>2</v>
      </c>
      <c r="B78" s="7">
        <v>17.920000000000002</v>
      </c>
      <c r="C78" s="8">
        <v>3.08</v>
      </c>
      <c r="D78" s="32">
        <f t="shared" si="2"/>
        <v>2.715563325628346</v>
      </c>
      <c r="E78" s="1">
        <f t="shared" si="3"/>
        <v>0.132814089627071</v>
      </c>
      <c r="F78" s="29"/>
      <c r="H78" s="29">
        <v>57</v>
      </c>
      <c r="I78" s="38">
        <v>4.9633698513702171</v>
      </c>
      <c r="J78" s="1">
        <v>-1.9633698513702171</v>
      </c>
      <c r="K78" s="29">
        <v>-1.9452276030385096</v>
      </c>
      <c r="L78" s="29">
        <v>23.155737704918032</v>
      </c>
      <c r="M78" s="1">
        <v>2</v>
      </c>
      <c r="N78" s="1">
        <v>3.8548211732695052</v>
      </c>
      <c r="O78" s="1"/>
    </row>
    <row r="79" spans="1:15" x14ac:dyDescent="0.3">
      <c r="A79" s="1">
        <v>4</v>
      </c>
      <c r="B79" s="7">
        <v>27.2</v>
      </c>
      <c r="C79" s="8">
        <v>4</v>
      </c>
      <c r="D79" s="32">
        <f t="shared" si="2"/>
        <v>3.9611386802133817</v>
      </c>
      <c r="E79" s="1">
        <f t="shared" si="3"/>
        <v>1.5102021755578135E-3</v>
      </c>
      <c r="F79" s="29"/>
      <c r="H79" s="29">
        <v>58</v>
      </c>
      <c r="I79" s="38">
        <v>3.5026995553343157</v>
      </c>
      <c r="J79" s="1">
        <v>-2.0026995553343157</v>
      </c>
      <c r="K79" s="29">
        <v>-1.9841938862973185</v>
      </c>
      <c r="L79" s="29">
        <v>23.565573770491802</v>
      </c>
      <c r="M79" s="1">
        <v>2</v>
      </c>
      <c r="N79" s="1">
        <v>4.0108055089362642</v>
      </c>
      <c r="O79" s="1"/>
    </row>
    <row r="80" spans="1:15" x14ac:dyDescent="0.3">
      <c r="A80" s="1">
        <v>2</v>
      </c>
      <c r="B80" s="7">
        <v>22.76</v>
      </c>
      <c r="C80" s="8">
        <v>3</v>
      </c>
      <c r="D80" s="32">
        <f t="shared" si="2"/>
        <v>3.1642958758965309</v>
      </c>
      <c r="E80" s="1">
        <f t="shared" si="3"/>
        <v>2.6993134836608295E-2</v>
      </c>
      <c r="F80" s="29"/>
      <c r="H80" s="29">
        <v>59</v>
      </c>
      <c r="I80" s="38">
        <v>2.0962382355887854</v>
      </c>
      <c r="J80" s="1">
        <v>-0.33623823558878541</v>
      </c>
      <c r="K80" s="29">
        <v>-0.33313127254541908</v>
      </c>
      <c r="L80" s="29">
        <v>23.975409836065573</v>
      </c>
      <c r="M80" s="1">
        <v>2</v>
      </c>
      <c r="N80" s="1">
        <v>0.11305615107185926</v>
      </c>
      <c r="O80" s="1"/>
    </row>
    <row r="81" spans="1:15" x14ac:dyDescent="0.3">
      <c r="A81" s="1">
        <v>2</v>
      </c>
      <c r="B81" s="7">
        <v>17.29</v>
      </c>
      <c r="C81" s="8">
        <v>2.71</v>
      </c>
      <c r="D81" s="32">
        <f t="shared" si="2"/>
        <v>2.657153923424016</v>
      </c>
      <c r="E81" s="1">
        <f t="shared" si="3"/>
        <v>2.7927078094747591E-3</v>
      </c>
      <c r="F81" s="29"/>
      <c r="H81" s="29">
        <v>60</v>
      </c>
      <c r="I81" s="38">
        <v>5.914608687269304</v>
      </c>
      <c r="J81" s="1">
        <v>0.81539131273069643</v>
      </c>
      <c r="K81" s="29">
        <v>0.80785680176081809</v>
      </c>
      <c r="L81" s="29">
        <v>24.385245901639344</v>
      </c>
      <c r="M81" s="1">
        <v>2</v>
      </c>
      <c r="N81" s="1">
        <v>0.66486299287668982</v>
      </c>
      <c r="O81" s="1"/>
    </row>
    <row r="82" spans="1:15" x14ac:dyDescent="0.3">
      <c r="A82" s="1">
        <v>2</v>
      </c>
      <c r="B82" s="7">
        <v>19.440000000000001</v>
      </c>
      <c r="C82" s="8">
        <v>3</v>
      </c>
      <c r="D82" s="32">
        <f t="shared" si="2"/>
        <v>2.8564875976133961</v>
      </c>
      <c r="E82" s="1">
        <f t="shared" si="3"/>
        <v>2.0595809638774512E-2</v>
      </c>
      <c r="F82" s="29"/>
      <c r="H82" s="29">
        <v>61</v>
      </c>
      <c r="I82" s="38">
        <v>2.9352939339208257</v>
      </c>
      <c r="J82" s="1">
        <v>0.27470606607917425</v>
      </c>
      <c r="K82" s="29">
        <v>0.27216768256189822</v>
      </c>
      <c r="L82" s="29">
        <v>24.795081967213115</v>
      </c>
      <c r="M82" s="1">
        <v>2</v>
      </c>
      <c r="N82" s="1">
        <v>7.5463422740696132E-2</v>
      </c>
      <c r="O82" s="1"/>
    </row>
    <row r="83" spans="1:15" x14ac:dyDescent="0.3">
      <c r="A83" s="1">
        <v>2</v>
      </c>
      <c r="B83" s="7">
        <v>16.66</v>
      </c>
      <c r="C83" s="8">
        <v>3.4</v>
      </c>
      <c r="D83" s="32">
        <f t="shared" si="2"/>
        <v>2.5987445212196865</v>
      </c>
      <c r="E83" s="1">
        <f t="shared" si="3"/>
        <v>0.64201034227546938</v>
      </c>
      <c r="F83" s="29"/>
      <c r="H83" s="29">
        <v>62</v>
      </c>
      <c r="I83" s="38">
        <v>2.3345115112477188</v>
      </c>
      <c r="J83" s="1">
        <v>-0.33451151124771883</v>
      </c>
      <c r="K83" s="29">
        <v>-0.33142050376248344</v>
      </c>
      <c r="L83" s="29">
        <v>25.204918032786885</v>
      </c>
      <c r="M83" s="1">
        <v>2</v>
      </c>
      <c r="N83" s="1">
        <v>0.11189795115723213</v>
      </c>
      <c r="O83" s="1"/>
    </row>
    <row r="84" spans="1:15" x14ac:dyDescent="0.3">
      <c r="A84" s="1">
        <v>1</v>
      </c>
      <c r="B84" s="7">
        <v>10.07</v>
      </c>
      <c r="C84" s="8">
        <v>1.83</v>
      </c>
      <c r="D84" s="32">
        <f t="shared" si="2"/>
        <v>1.7951658371042427</v>
      </c>
      <c r="E84" s="1">
        <f t="shared" si="3"/>
        <v>1.2134189046481586E-3</v>
      </c>
      <c r="F84" s="29"/>
      <c r="H84" s="29">
        <v>63</v>
      </c>
      <c r="I84" s="38">
        <v>2.0758413014856862</v>
      </c>
      <c r="J84" s="1">
        <v>-9.5841301485686259E-2</v>
      </c>
      <c r="K84" s="29">
        <v>-9.4955693157345117E-2</v>
      </c>
      <c r="L84" s="29">
        <v>25.614754098360656</v>
      </c>
      <c r="M84" s="1">
        <v>2</v>
      </c>
      <c r="N84" s="1">
        <v>9.1855550704701226E-3</v>
      </c>
      <c r="O84" s="1"/>
    </row>
    <row r="85" spans="1:15" x14ac:dyDescent="0.3">
      <c r="A85" s="1">
        <v>2</v>
      </c>
      <c r="B85" s="7">
        <v>32.68</v>
      </c>
      <c r="C85" s="8">
        <v>5</v>
      </c>
      <c r="D85" s="32">
        <f t="shared" si="2"/>
        <v>4.0840121772726459</v>
      </c>
      <c r="E85" s="1">
        <f t="shared" si="3"/>
        <v>0.83903369138479877</v>
      </c>
      <c r="F85" s="29"/>
      <c r="H85" s="29">
        <v>64</v>
      </c>
      <c r="I85" s="38">
        <v>3.13506284903786</v>
      </c>
      <c r="J85" s="1">
        <v>0.62493715096213975</v>
      </c>
      <c r="K85" s="29">
        <v>0.61916250540743067</v>
      </c>
      <c r="L85" s="29">
        <v>26.024590163934427</v>
      </c>
      <c r="M85" s="1">
        <v>2</v>
      </c>
      <c r="N85" s="1">
        <v>0.3905464426526768</v>
      </c>
      <c r="O85" s="1"/>
    </row>
    <row r="86" spans="1:15" x14ac:dyDescent="0.3">
      <c r="A86" s="1">
        <v>2</v>
      </c>
      <c r="B86" s="7">
        <v>15.98</v>
      </c>
      <c r="C86" s="8">
        <v>2.0299999999999998</v>
      </c>
      <c r="D86" s="32">
        <f t="shared" si="2"/>
        <v>2.535699452173743</v>
      </c>
      <c r="E86" s="1">
        <f t="shared" si="3"/>
        <v>0.25573193592882404</v>
      </c>
      <c r="F86" s="29"/>
      <c r="H86" s="29">
        <v>65</v>
      </c>
      <c r="I86" s="38">
        <v>2.8775657188644845</v>
      </c>
      <c r="J86" s="1">
        <v>-0.23756571886448441</v>
      </c>
      <c r="K86" s="29">
        <v>-0.2353705256034021</v>
      </c>
      <c r="L86" s="29">
        <v>26.434426229508198</v>
      </c>
      <c r="M86" s="1">
        <v>2</v>
      </c>
      <c r="N86" s="1">
        <v>5.6437470779599035E-2</v>
      </c>
      <c r="O86" s="1"/>
    </row>
    <row r="87" spans="1:15" x14ac:dyDescent="0.3">
      <c r="A87" s="1">
        <v>4</v>
      </c>
      <c r="B87" s="7">
        <v>34.83</v>
      </c>
      <c r="C87" s="8">
        <v>5.17</v>
      </c>
      <c r="D87" s="32">
        <f t="shared" si="2"/>
        <v>4.6685414402435983</v>
      </c>
      <c r="E87" s="1">
        <f t="shared" si="3"/>
        <v>0.2514606871529646</v>
      </c>
      <c r="F87" s="29"/>
      <c r="H87" s="29">
        <v>66</v>
      </c>
      <c r="I87" s="38">
        <v>3.1084219275768357</v>
      </c>
      <c r="J87" s="1">
        <v>4.1578072423164247E-2</v>
      </c>
      <c r="K87" s="29">
        <v>4.1193875979214409E-2</v>
      </c>
      <c r="L87" s="29">
        <v>26.844262295081968</v>
      </c>
      <c r="M87" s="1">
        <v>2</v>
      </c>
      <c r="N87" s="1">
        <v>1.7287361064259282E-3</v>
      </c>
      <c r="O87" s="1"/>
    </row>
    <row r="88" spans="1:15" x14ac:dyDescent="0.3">
      <c r="A88" s="1">
        <v>2</v>
      </c>
      <c r="B88" s="7">
        <v>13.03</v>
      </c>
      <c r="C88" s="8">
        <v>2</v>
      </c>
      <c r="D88" s="32">
        <f t="shared" si="2"/>
        <v>2.2621951085185477</v>
      </c>
      <c r="E88" s="1">
        <f t="shared" si="3"/>
        <v>6.8746274931052981E-2</v>
      </c>
      <c r="F88" s="29"/>
      <c r="H88" s="29">
        <v>67</v>
      </c>
      <c r="I88" s="38">
        <v>2.5792747204849102</v>
      </c>
      <c r="J88" s="1">
        <v>-0.10927472048491005</v>
      </c>
      <c r="K88" s="29">
        <v>-0.10826498250098837</v>
      </c>
      <c r="L88" s="29">
        <v>27.254098360655739</v>
      </c>
      <c r="M88" s="1">
        <v>2</v>
      </c>
      <c r="N88" s="1">
        <v>1.1940964537055123E-2</v>
      </c>
      <c r="O88" s="1"/>
    </row>
    <row r="89" spans="1:15" x14ac:dyDescent="0.3">
      <c r="A89" s="1">
        <v>2</v>
      </c>
      <c r="B89" s="7">
        <v>18.28</v>
      </c>
      <c r="C89" s="8">
        <v>4</v>
      </c>
      <c r="D89" s="32">
        <f t="shared" si="2"/>
        <v>2.748940126887963</v>
      </c>
      <c r="E89" s="1">
        <f t="shared" si="3"/>
        <v>1.5651508061111061</v>
      </c>
      <c r="F89" s="29"/>
      <c r="H89" s="29">
        <v>68</v>
      </c>
      <c r="I89" s="38">
        <v>1.1461724792783556</v>
      </c>
      <c r="J89" s="1">
        <v>-0.14617247927835564</v>
      </c>
      <c r="K89" s="29">
        <v>-0.14482179264308997</v>
      </c>
      <c r="L89" s="29">
        <v>27.66393442622951</v>
      </c>
      <c r="M89" s="1">
        <v>2</v>
      </c>
      <c r="N89" s="1">
        <v>2.1366393698381309E-2</v>
      </c>
      <c r="O89" s="1"/>
    </row>
    <row r="90" spans="1:15" x14ac:dyDescent="0.3">
      <c r="A90" s="1">
        <v>2</v>
      </c>
      <c r="B90" s="7">
        <v>24.71</v>
      </c>
      <c r="C90" s="8">
        <v>5.85</v>
      </c>
      <c r="D90" s="32">
        <f t="shared" si="2"/>
        <v>3.3450868827194569</v>
      </c>
      <c r="E90" s="1">
        <f t="shared" si="3"/>
        <v>6.2745897251241258</v>
      </c>
      <c r="F90" s="29"/>
      <c r="H90" s="29">
        <v>69</v>
      </c>
      <c r="I90" s="38">
        <v>2.9297311337108898</v>
      </c>
      <c r="J90" s="1">
        <v>-0.91973113371088999</v>
      </c>
      <c r="K90" s="29">
        <v>-0.91123248501536236</v>
      </c>
      <c r="L90" s="29">
        <v>28.07377049180328</v>
      </c>
      <c r="M90" s="1">
        <v>2</v>
      </c>
      <c r="N90" s="1">
        <v>0.84590535831711733</v>
      </c>
      <c r="O90" s="1"/>
    </row>
    <row r="91" spans="1:15" x14ac:dyDescent="0.3">
      <c r="A91" s="1">
        <v>2</v>
      </c>
      <c r="B91" s="7">
        <v>21.16</v>
      </c>
      <c r="C91" s="8">
        <v>3</v>
      </c>
      <c r="D91" s="32">
        <f t="shared" si="2"/>
        <v>3.0159545369648995</v>
      </c>
      <c r="E91" s="1">
        <f t="shared" si="3"/>
        <v>2.545472497643432E-4</v>
      </c>
      <c r="F91" s="29"/>
      <c r="H91" s="29">
        <v>70</v>
      </c>
      <c r="I91" s="38">
        <v>2.445767515446442</v>
      </c>
      <c r="J91" s="1">
        <v>-0.35576751544644214</v>
      </c>
      <c r="K91" s="29">
        <v>-0.35248009478594894</v>
      </c>
      <c r="L91" s="29">
        <v>28.483606557377051</v>
      </c>
      <c r="M91" s="1">
        <v>2</v>
      </c>
      <c r="N91" s="1">
        <v>0.12657052504693414</v>
      </c>
      <c r="O91" s="1"/>
    </row>
    <row r="92" spans="1:15" x14ac:dyDescent="0.3">
      <c r="A92" s="1">
        <v>2</v>
      </c>
      <c r="B92" s="7">
        <v>28.97</v>
      </c>
      <c r="C92" s="8">
        <v>3</v>
      </c>
      <c r="D92" s="32">
        <f t="shared" si="2"/>
        <v>3.7400456976249252</v>
      </c>
      <c r="E92" s="1">
        <f t="shared" si="3"/>
        <v>0.54766763457316225</v>
      </c>
      <c r="F92" s="29"/>
      <c r="H92" s="29">
        <v>71</v>
      </c>
      <c r="I92" s="38">
        <v>2.1685546383179561</v>
      </c>
      <c r="J92" s="1">
        <v>-0.19855463831795617</v>
      </c>
      <c r="K92" s="29">
        <v>-0.19671992156641657</v>
      </c>
      <c r="L92" s="29">
        <v>28.893442622950822</v>
      </c>
      <c r="M92" s="1">
        <v>2</v>
      </c>
      <c r="N92" s="1">
        <v>3.9423944397574032E-2</v>
      </c>
      <c r="O92" s="1"/>
    </row>
    <row r="93" spans="1:15" x14ac:dyDescent="0.3">
      <c r="A93" s="1">
        <v>2</v>
      </c>
      <c r="B93" s="7">
        <v>22.49</v>
      </c>
      <c r="C93" s="8">
        <v>3.5</v>
      </c>
      <c r="D93" s="32">
        <f t="shared" si="2"/>
        <v>3.1392632749518179</v>
      </c>
      <c r="E93" s="1">
        <f t="shared" si="3"/>
        <v>0.13013098479848773</v>
      </c>
      <c r="F93" s="29"/>
      <c r="H93" s="29">
        <v>72</v>
      </c>
      <c r="I93" s="38">
        <v>2.8293547837117043</v>
      </c>
      <c r="J93" s="1">
        <v>0.17064521628829565</v>
      </c>
      <c r="K93" s="29">
        <v>0.16906839270186866</v>
      </c>
      <c r="L93" s="29">
        <v>29.303278688524593</v>
      </c>
      <c r="M93" s="1">
        <v>2</v>
      </c>
      <c r="N93" s="1">
        <v>2.9119789842079354E-2</v>
      </c>
      <c r="O93" s="1"/>
    </row>
    <row r="94" spans="1:15" x14ac:dyDescent="0.3">
      <c r="A94" s="1">
        <v>2</v>
      </c>
      <c r="B94" s="7">
        <v>5.75</v>
      </c>
      <c r="C94" s="8">
        <v>1</v>
      </c>
      <c r="D94" s="32">
        <f t="shared" si="2"/>
        <v>1.587242016379625</v>
      </c>
      <c r="E94" s="1">
        <f t="shared" si="3"/>
        <v>0.34485318580160779</v>
      </c>
      <c r="F94" s="29"/>
      <c r="H94" s="29">
        <v>73</v>
      </c>
      <c r="I94" s="38">
        <v>3.544420556908837</v>
      </c>
      <c r="J94" s="1">
        <v>-0.40442055690883683</v>
      </c>
      <c r="K94" s="29">
        <v>-0.40068356452873732</v>
      </c>
      <c r="L94" s="29">
        <v>29.713114754098363</v>
      </c>
      <c r="M94" s="1">
        <v>2</v>
      </c>
      <c r="N94" s="1">
        <v>0.163555986850453</v>
      </c>
      <c r="O94" s="1"/>
    </row>
    <row r="95" spans="1:15" x14ac:dyDescent="0.3">
      <c r="A95" s="1">
        <v>2</v>
      </c>
      <c r="B95" s="7">
        <v>16.32</v>
      </c>
      <c r="C95" s="8">
        <v>4.3</v>
      </c>
      <c r="D95" s="32">
        <f t="shared" si="2"/>
        <v>2.5672219866967145</v>
      </c>
      <c r="E95" s="1">
        <f t="shared" si="3"/>
        <v>3.0025196433872803</v>
      </c>
      <c r="F95" s="29"/>
      <c r="H95" s="29">
        <v>74</v>
      </c>
      <c r="I95" s="38">
        <v>3.3979334847138509</v>
      </c>
      <c r="J95" s="1">
        <v>1.6020665152861491</v>
      </c>
      <c r="K95" s="29">
        <v>1.5872628406020592</v>
      </c>
      <c r="L95" s="29">
        <v>30.122950819672131</v>
      </c>
      <c r="M95" s="1">
        <v>2</v>
      </c>
      <c r="N95" s="1">
        <v>2.5666171194011063</v>
      </c>
      <c r="O95" s="1"/>
    </row>
    <row r="96" spans="1:15" x14ac:dyDescent="0.3">
      <c r="A96" s="1">
        <v>2</v>
      </c>
      <c r="B96" s="7">
        <v>22.75</v>
      </c>
      <c r="C96" s="8">
        <v>3.25</v>
      </c>
      <c r="D96" s="32">
        <f t="shared" si="2"/>
        <v>3.1633687425282084</v>
      </c>
      <c r="E96" s="1">
        <f t="shared" si="3"/>
        <v>7.5049747711438426E-3</v>
      </c>
      <c r="F96" s="29"/>
      <c r="H96" s="29">
        <v>75</v>
      </c>
      <c r="I96" s="38">
        <v>2.4198077811334064</v>
      </c>
      <c r="J96" s="1">
        <v>-0.21980778113340627</v>
      </c>
      <c r="K96" s="29">
        <v>-0.2177766776468264</v>
      </c>
      <c r="L96" s="29">
        <v>30.532786885245901</v>
      </c>
      <c r="M96" s="1">
        <v>2</v>
      </c>
      <c r="N96" s="1">
        <v>4.8315460646791236E-2</v>
      </c>
      <c r="O96" s="1"/>
    </row>
    <row r="97" spans="1:15" x14ac:dyDescent="0.3">
      <c r="A97" s="1">
        <v>4</v>
      </c>
      <c r="B97" s="7">
        <v>40.17</v>
      </c>
      <c r="C97" s="8">
        <v>4.7300000000000004</v>
      </c>
      <c r="D97" s="32">
        <f t="shared" si="2"/>
        <v>5.1636306589279188</v>
      </c>
      <c r="E97" s="1">
        <f t="shared" si="3"/>
        <v>0.18803554836226072</v>
      </c>
      <c r="F97" s="29"/>
      <c r="H97" s="29">
        <v>76</v>
      </c>
      <c r="I97" s="38">
        <v>2.0285574997012286</v>
      </c>
      <c r="J97" s="1">
        <v>-0.77855749970122856</v>
      </c>
      <c r="K97" s="29">
        <v>-0.77136334650068139</v>
      </c>
      <c r="L97" s="29">
        <v>30.942622950819672</v>
      </c>
      <c r="M97" s="1">
        <v>2</v>
      </c>
      <c r="N97" s="1">
        <v>0.60615178034102846</v>
      </c>
      <c r="O97" s="1"/>
    </row>
    <row r="98" spans="1:15" x14ac:dyDescent="0.3">
      <c r="A98" s="1">
        <v>2</v>
      </c>
      <c r="B98" s="7">
        <v>27.28</v>
      </c>
      <c r="C98" s="8">
        <v>4</v>
      </c>
      <c r="D98" s="32">
        <f t="shared" si="2"/>
        <v>3.5833601583783898</v>
      </c>
      <c r="E98" s="1">
        <f t="shared" si="3"/>
        <v>0.17358875762648041</v>
      </c>
      <c r="F98" s="29"/>
      <c r="H98" s="29">
        <v>77</v>
      </c>
      <c r="I98" s="38">
        <v>2.7155633256283469</v>
      </c>
      <c r="J98" s="1">
        <v>0.36443667437165317</v>
      </c>
      <c r="K98" s="29">
        <v>0.36106914754372621</v>
      </c>
      <c r="L98" s="29">
        <v>31.352459016393443</v>
      </c>
      <c r="M98" s="1">
        <v>2</v>
      </c>
      <c r="N98" s="1">
        <v>0.132814089627071</v>
      </c>
      <c r="O98" s="1"/>
    </row>
    <row r="99" spans="1:15" x14ac:dyDescent="0.3">
      <c r="A99" s="1">
        <v>2</v>
      </c>
      <c r="B99" s="7">
        <v>12.03</v>
      </c>
      <c r="C99" s="8">
        <v>1.5</v>
      </c>
      <c r="D99" s="32">
        <f t="shared" si="2"/>
        <v>2.1694817716862782</v>
      </c>
      <c r="E99" s="1">
        <f t="shared" si="3"/>
        <v>0.44820584262019791</v>
      </c>
      <c r="F99" s="29"/>
      <c r="H99" s="29">
        <v>78</v>
      </c>
      <c r="I99" s="38">
        <v>3.9611386802133821</v>
      </c>
      <c r="J99" s="1">
        <v>3.8861319786617887E-2</v>
      </c>
      <c r="K99" s="29">
        <v>3.8502227120722723E-2</v>
      </c>
      <c r="L99" s="29">
        <v>31.762295081967213</v>
      </c>
      <c r="M99" s="1">
        <v>2</v>
      </c>
      <c r="N99" s="1">
        <v>1.5102021755578135E-3</v>
      </c>
      <c r="O99" s="1"/>
    </row>
    <row r="100" spans="1:15" x14ac:dyDescent="0.3">
      <c r="A100" s="1">
        <v>2</v>
      </c>
      <c r="B100" s="7">
        <v>21.01</v>
      </c>
      <c r="C100" s="8">
        <v>3</v>
      </c>
      <c r="D100" s="32">
        <f t="shared" si="2"/>
        <v>3.0020475364400592</v>
      </c>
      <c r="E100" s="1">
        <f t="shared" si="3"/>
        <v>4.1924054733701878E-6</v>
      </c>
      <c r="F100" s="29"/>
      <c r="H100" s="29">
        <v>79</v>
      </c>
      <c r="I100" s="38">
        <v>3.1642958758965318</v>
      </c>
      <c r="J100" s="1">
        <v>-0.16429587589653183</v>
      </c>
      <c r="K100" s="29">
        <v>-0.16277772251432007</v>
      </c>
      <c r="L100" s="29">
        <v>32.172131147540981</v>
      </c>
      <c r="M100" s="1">
        <v>2.0099999999999998</v>
      </c>
      <c r="N100" s="1">
        <v>2.6993134836608295E-2</v>
      </c>
      <c r="O100" s="1"/>
    </row>
    <row r="101" spans="1:15" x14ac:dyDescent="0.3">
      <c r="A101" s="1">
        <v>2</v>
      </c>
      <c r="B101" s="7">
        <v>12.46</v>
      </c>
      <c r="C101" s="8">
        <v>1.5</v>
      </c>
      <c r="D101" s="32">
        <f t="shared" si="2"/>
        <v>2.209348506524154</v>
      </c>
      <c r="E101" s="1">
        <f t="shared" si="3"/>
        <v>0.50317530370804786</v>
      </c>
      <c r="F101" s="29"/>
      <c r="H101" s="29">
        <v>80</v>
      </c>
      <c r="I101" s="38">
        <v>2.6571539234240165</v>
      </c>
      <c r="J101" s="1">
        <v>5.2846076575983503E-2</v>
      </c>
      <c r="K101" s="29">
        <v>5.2357759693696236E-2</v>
      </c>
      <c r="L101" s="29">
        <v>32.581967213114758</v>
      </c>
      <c r="M101" s="1">
        <v>2.0099999999999998</v>
      </c>
      <c r="N101" s="1">
        <v>2.7927078094747591E-3</v>
      </c>
      <c r="O101" s="1"/>
    </row>
    <row r="102" spans="1:15" x14ac:dyDescent="0.3">
      <c r="A102" s="1">
        <v>2</v>
      </c>
      <c r="B102" s="7">
        <v>11.35</v>
      </c>
      <c r="C102" s="8">
        <v>2.5</v>
      </c>
      <c r="D102" s="32">
        <f t="shared" si="2"/>
        <v>2.1064367026403348</v>
      </c>
      <c r="E102" s="1">
        <f t="shared" si="3"/>
        <v>0.15489206902861227</v>
      </c>
      <c r="F102" s="29"/>
      <c r="H102" s="29">
        <v>81</v>
      </c>
      <c r="I102" s="38">
        <v>2.8564875976133965</v>
      </c>
      <c r="J102" s="1">
        <v>0.14351240238660345</v>
      </c>
      <c r="K102" s="29">
        <v>0.14218629582498918</v>
      </c>
      <c r="L102" s="29">
        <v>32.991803278688529</v>
      </c>
      <c r="M102" s="1">
        <v>2.02</v>
      </c>
      <c r="N102" s="1">
        <v>2.0595809638774512E-2</v>
      </c>
      <c r="O102" s="1"/>
    </row>
    <row r="103" spans="1:15" x14ac:dyDescent="0.3">
      <c r="A103" s="1">
        <v>2</v>
      </c>
      <c r="B103" s="7">
        <v>15.38</v>
      </c>
      <c r="C103" s="8">
        <v>3</v>
      </c>
      <c r="D103" s="32">
        <f t="shared" si="2"/>
        <v>2.4800714500743815</v>
      </c>
      <c r="E103" s="1">
        <f t="shared" si="3"/>
        <v>0.27032569702775644</v>
      </c>
      <c r="F103" s="29"/>
      <c r="H103" s="29">
        <v>82</v>
      </c>
      <c r="I103" s="38">
        <v>2.5987445212196869</v>
      </c>
      <c r="J103" s="1">
        <v>0.801255478780313</v>
      </c>
      <c r="K103" s="29">
        <v>0.79385158803449718</v>
      </c>
      <c r="L103" s="29">
        <v>33.401639344262293</v>
      </c>
      <c r="M103" s="1">
        <v>2.0299999999999998</v>
      </c>
      <c r="N103" s="1">
        <v>0.64201034227546938</v>
      </c>
      <c r="O103" s="1"/>
    </row>
    <row r="104" spans="1:15" x14ac:dyDescent="0.3">
      <c r="A104" s="1">
        <v>3</v>
      </c>
      <c r="B104" s="7">
        <v>44.3</v>
      </c>
      <c r="C104" s="8">
        <v>2.5</v>
      </c>
      <c r="D104" s="32">
        <f t="shared" si="2"/>
        <v>5.3539389456544049</v>
      </c>
      <c r="E104" s="1">
        <f t="shared" si="3"/>
        <v>8.1449675055229758</v>
      </c>
      <c r="F104" s="29"/>
      <c r="H104" s="29">
        <v>83</v>
      </c>
      <c r="I104" s="38">
        <v>1.7951658371042432</v>
      </c>
      <c r="J104" s="1">
        <v>3.4834162895756915E-2</v>
      </c>
      <c r="K104" s="29">
        <v>3.4512282617702873E-2</v>
      </c>
      <c r="L104" s="29">
        <v>33.811475409836063</v>
      </c>
      <c r="M104" s="1">
        <v>2.0299999999999998</v>
      </c>
      <c r="N104" s="1">
        <v>1.2134189046481586E-3</v>
      </c>
      <c r="O104" s="1"/>
    </row>
    <row r="105" spans="1:15" x14ac:dyDescent="0.3">
      <c r="A105" s="1">
        <v>2</v>
      </c>
      <c r="B105" s="7">
        <v>22.42</v>
      </c>
      <c r="C105" s="8">
        <v>3.48</v>
      </c>
      <c r="D105" s="32">
        <f t="shared" si="2"/>
        <v>3.1327733413735595</v>
      </c>
      <c r="E105" s="1">
        <f t="shared" si="3"/>
        <v>0.12056635246088267</v>
      </c>
      <c r="F105" s="29"/>
      <c r="H105" s="29">
        <v>84</v>
      </c>
      <c r="I105" s="38">
        <v>4.0840121772726459</v>
      </c>
      <c r="J105" s="1">
        <v>0.91598782272735413</v>
      </c>
      <c r="K105" s="29">
        <v>0.90752376358070785</v>
      </c>
      <c r="L105" s="29">
        <v>34.221311475409834</v>
      </c>
      <c r="M105" s="1">
        <v>2.0499999999999998</v>
      </c>
      <c r="N105" s="1">
        <v>0.83903369138479877</v>
      </c>
      <c r="O105" s="1"/>
    </row>
    <row r="106" spans="1:15" x14ac:dyDescent="0.3">
      <c r="A106" s="1">
        <v>2</v>
      </c>
      <c r="B106" s="7">
        <v>20.92</v>
      </c>
      <c r="C106" s="8">
        <v>4.08</v>
      </c>
      <c r="D106" s="32">
        <f t="shared" si="2"/>
        <v>2.9937033361251548</v>
      </c>
      <c r="E106" s="1">
        <f t="shared" si="3"/>
        <v>1.1800404419456185</v>
      </c>
      <c r="F106" s="29"/>
      <c r="H106" s="29">
        <v>85</v>
      </c>
      <c r="I106" s="38">
        <v>2.5356994521737435</v>
      </c>
      <c r="J106" s="1">
        <v>-0.50569945217374368</v>
      </c>
      <c r="K106" s="29">
        <v>-0.50102660612991667</v>
      </c>
      <c r="L106" s="29">
        <v>34.631147540983605</v>
      </c>
      <c r="M106" s="1">
        <v>2.09</v>
      </c>
      <c r="N106" s="1">
        <v>0.25573193592882404</v>
      </c>
      <c r="O106" s="1"/>
    </row>
    <row r="107" spans="1:15" x14ac:dyDescent="0.3">
      <c r="A107" s="1">
        <v>2</v>
      </c>
      <c r="B107" s="7">
        <v>15.36</v>
      </c>
      <c r="C107" s="8">
        <v>1.64</v>
      </c>
      <c r="D107" s="32">
        <f t="shared" si="2"/>
        <v>2.478217183337736</v>
      </c>
      <c r="E107" s="1">
        <f t="shared" si="3"/>
        <v>0.70260804644264785</v>
      </c>
      <c r="F107" s="29"/>
      <c r="H107" s="29">
        <v>86</v>
      </c>
      <c r="I107" s="38">
        <v>4.6685414402435992</v>
      </c>
      <c r="J107" s="1">
        <v>0.50145855975640075</v>
      </c>
      <c r="K107" s="29">
        <v>0.49682490109406979</v>
      </c>
      <c r="L107" s="29">
        <v>35.040983606557376</v>
      </c>
      <c r="M107" s="1">
        <v>2.1800000000000002</v>
      </c>
      <c r="N107" s="1">
        <v>0.2514606871529646</v>
      </c>
      <c r="O107" s="1"/>
    </row>
    <row r="108" spans="1:15" x14ac:dyDescent="0.3">
      <c r="A108" s="1">
        <v>2</v>
      </c>
      <c r="B108" s="7">
        <v>20.49</v>
      </c>
      <c r="C108" s="8">
        <v>4.0599999999999996</v>
      </c>
      <c r="D108" s="32">
        <f t="shared" si="2"/>
        <v>2.9538366012872785</v>
      </c>
      <c r="E108" s="1">
        <f t="shared" si="3"/>
        <v>1.2235974646516783</v>
      </c>
      <c r="F108" s="29"/>
      <c r="H108" s="29">
        <v>87</v>
      </c>
      <c r="I108" s="38">
        <v>2.2621951085185481</v>
      </c>
      <c r="J108" s="1">
        <v>-0.2621951085185481</v>
      </c>
      <c r="K108" s="29">
        <v>-0.25977233077915135</v>
      </c>
      <c r="L108" s="29">
        <v>35.450819672131146</v>
      </c>
      <c r="M108" s="1">
        <v>2.2000000000000002</v>
      </c>
      <c r="N108" s="1">
        <v>6.8746274931052981E-2</v>
      </c>
      <c r="O108" s="1"/>
    </row>
    <row r="109" spans="1:15" x14ac:dyDescent="0.3">
      <c r="A109" s="1">
        <v>2</v>
      </c>
      <c r="B109" s="7">
        <v>25.21</v>
      </c>
      <c r="C109" s="8">
        <v>4.29</v>
      </c>
      <c r="D109" s="32">
        <f t="shared" si="2"/>
        <v>3.3914435511355916</v>
      </c>
      <c r="E109" s="1">
        <f t="shared" si="3"/>
        <v>0.80740369179581628</v>
      </c>
      <c r="F109" s="29"/>
      <c r="H109" s="29">
        <v>88</v>
      </c>
      <c r="I109" s="38">
        <v>2.7489401268879639</v>
      </c>
      <c r="J109" s="1">
        <v>1.2510598731120361</v>
      </c>
      <c r="K109" s="29">
        <v>1.2394996268955665</v>
      </c>
      <c r="L109" s="29">
        <v>35.860655737704917</v>
      </c>
      <c r="M109" s="1">
        <v>2.2000000000000002</v>
      </c>
      <c r="N109" s="1">
        <v>1.5651508061111061</v>
      </c>
      <c r="O109" s="1"/>
    </row>
    <row r="110" spans="1:15" x14ac:dyDescent="0.3">
      <c r="A110" s="1">
        <v>2</v>
      </c>
      <c r="B110" s="7">
        <v>18.239999999999998</v>
      </c>
      <c r="C110" s="8">
        <v>3.76</v>
      </c>
      <c r="D110" s="32">
        <f t="shared" si="2"/>
        <v>2.745231593414672</v>
      </c>
      <c r="E110" s="1">
        <f t="shared" si="3"/>
        <v>1.029754919003725</v>
      </c>
      <c r="F110" s="29"/>
      <c r="H110" s="29">
        <v>89</v>
      </c>
      <c r="I110" s="38">
        <v>3.3450868827194573</v>
      </c>
      <c r="J110" s="1">
        <v>2.5049131172805423</v>
      </c>
      <c r="K110" s="29">
        <v>2.481766813087606</v>
      </c>
      <c r="L110" s="29">
        <v>36.270491803278688</v>
      </c>
      <c r="M110" s="1">
        <v>2.23</v>
      </c>
      <c r="N110" s="1">
        <v>6.2745897251241258</v>
      </c>
      <c r="O110" s="1"/>
    </row>
    <row r="111" spans="1:15" x14ac:dyDescent="0.3">
      <c r="A111" s="1">
        <v>2</v>
      </c>
      <c r="B111" s="7">
        <v>14.31</v>
      </c>
      <c r="C111" s="8">
        <v>4</v>
      </c>
      <c r="D111" s="32">
        <f t="shared" si="2"/>
        <v>2.3808681796638527</v>
      </c>
      <c r="E111" s="1">
        <f t="shared" si="3"/>
        <v>2.6215878516250459</v>
      </c>
      <c r="F111" s="29"/>
      <c r="H111" s="29">
        <v>90</v>
      </c>
      <c r="I111" s="38">
        <v>3.0159545369648999</v>
      </c>
      <c r="J111" s="1">
        <v>-1.5954536964899901E-2</v>
      </c>
      <c r="K111" s="29">
        <v>-1.5807111266459735E-2</v>
      </c>
      <c r="L111" s="29">
        <v>36.680327868852459</v>
      </c>
      <c r="M111" s="1">
        <v>2.23</v>
      </c>
      <c r="N111" s="1">
        <v>2.545472497643432E-4</v>
      </c>
      <c r="O111" s="1"/>
    </row>
    <row r="112" spans="1:15" x14ac:dyDescent="0.3">
      <c r="A112" s="1">
        <v>2</v>
      </c>
      <c r="B112" s="7">
        <v>14</v>
      </c>
      <c r="C112" s="8">
        <v>3</v>
      </c>
      <c r="D112" s="32">
        <f t="shared" si="2"/>
        <v>2.3521270452458491</v>
      </c>
      <c r="E112" s="1">
        <f t="shared" si="3"/>
        <v>0.41973936550187402</v>
      </c>
      <c r="F112" s="29"/>
      <c r="H112" s="29">
        <v>91</v>
      </c>
      <c r="I112" s="38">
        <v>3.7400456976249257</v>
      </c>
      <c r="J112" s="1">
        <v>-0.74004569762492567</v>
      </c>
      <c r="K112" s="29">
        <v>-0.73320740742007551</v>
      </c>
      <c r="L112" s="29">
        <v>37.090163934426229</v>
      </c>
      <c r="M112" s="1">
        <v>2.2400000000000002</v>
      </c>
      <c r="N112" s="1">
        <v>0.54766763457316225</v>
      </c>
      <c r="O112" s="1"/>
    </row>
    <row r="113" spans="1:15" x14ac:dyDescent="0.3">
      <c r="A113" s="1">
        <v>1</v>
      </c>
      <c r="B113" s="7">
        <v>7.25</v>
      </c>
      <c r="C113" s="8">
        <v>1</v>
      </c>
      <c r="D113" s="32">
        <f t="shared" si="2"/>
        <v>1.5337142272372426</v>
      </c>
      <c r="E113" s="1">
        <f t="shared" si="3"/>
        <v>0.28485087635544704</v>
      </c>
      <c r="F113" s="29"/>
      <c r="H113" s="29">
        <v>92</v>
      </c>
      <c r="I113" s="38">
        <v>3.1392632749518188</v>
      </c>
      <c r="J113" s="1">
        <v>0.36073672504818122</v>
      </c>
      <c r="K113" s="29">
        <v>0.35740338709169606</v>
      </c>
      <c r="L113" s="29">
        <v>37.5</v>
      </c>
      <c r="M113" s="1">
        <v>2.2400000000000002</v>
      </c>
      <c r="N113" s="1">
        <v>0.13013098479848773</v>
      </c>
      <c r="O113" s="1"/>
    </row>
    <row r="114" spans="1:15" x14ac:dyDescent="0.3">
      <c r="A114" s="1">
        <v>3</v>
      </c>
      <c r="B114" s="7">
        <v>38.07</v>
      </c>
      <c r="C114" s="8">
        <v>4</v>
      </c>
      <c r="D114" s="32">
        <f t="shared" si="2"/>
        <v>4.7763348571893651</v>
      </c>
      <c r="E114" s="1">
        <f t="shared" si="3"/>
        <v>0.60269581048723198</v>
      </c>
      <c r="F114" s="29"/>
      <c r="H114" s="29">
        <v>93</v>
      </c>
      <c r="I114" s="38">
        <v>1.5872420163796255</v>
      </c>
      <c r="J114" s="1">
        <v>-0.58724201637962548</v>
      </c>
      <c r="K114" s="29">
        <v>-0.58181568751726842</v>
      </c>
      <c r="L114" s="29">
        <v>37.909836065573771</v>
      </c>
      <c r="M114" s="1">
        <v>2.2999999999999998</v>
      </c>
      <c r="N114" s="1">
        <v>0.34485318580160779</v>
      </c>
      <c r="O114" s="1"/>
    </row>
    <row r="115" spans="1:15" x14ac:dyDescent="0.3">
      <c r="A115" s="1">
        <v>2</v>
      </c>
      <c r="B115" s="7">
        <v>23.95</v>
      </c>
      <c r="C115" s="8">
        <v>2.5499999999999998</v>
      </c>
      <c r="D115" s="32">
        <f t="shared" si="2"/>
        <v>3.2746247467269316</v>
      </c>
      <c r="E115" s="1">
        <f t="shared" si="3"/>
        <v>0.52508102356907005</v>
      </c>
      <c r="F115" s="29"/>
      <c r="H115" s="29">
        <v>94</v>
      </c>
      <c r="I115" s="38">
        <v>2.5672219866967154</v>
      </c>
      <c r="J115" s="1">
        <v>1.7327780133032844</v>
      </c>
      <c r="K115" s="29">
        <v>1.7167665170489583</v>
      </c>
      <c r="L115" s="29">
        <v>38.319672131147541</v>
      </c>
      <c r="M115" s="1">
        <v>2.31</v>
      </c>
      <c r="N115" s="1">
        <v>3.0025196433872803</v>
      </c>
      <c r="O115" s="1"/>
    </row>
    <row r="116" spans="1:15" x14ac:dyDescent="0.3">
      <c r="A116" s="1">
        <v>3</v>
      </c>
      <c r="B116" s="7">
        <v>25.71</v>
      </c>
      <c r="C116" s="8">
        <v>4</v>
      </c>
      <c r="D116" s="32">
        <f t="shared" si="2"/>
        <v>3.6303980139425134</v>
      </c>
      <c r="E116" s="1">
        <f t="shared" si="3"/>
        <v>0.13660562809763854</v>
      </c>
      <c r="F116" s="29"/>
      <c r="H116" s="29">
        <v>95</v>
      </c>
      <c r="I116" s="38">
        <v>3.1633687425282089</v>
      </c>
      <c r="J116" s="1">
        <v>8.6631257471791123E-2</v>
      </c>
      <c r="K116" s="29">
        <v>8.583075328494906E-2</v>
      </c>
      <c r="L116" s="29">
        <v>38.729508196721312</v>
      </c>
      <c r="M116" s="1">
        <v>2.31</v>
      </c>
      <c r="N116" s="1">
        <v>7.5049747711438426E-3</v>
      </c>
      <c r="O116" s="1"/>
    </row>
    <row r="117" spans="1:15" x14ac:dyDescent="0.3">
      <c r="A117" s="1">
        <v>2</v>
      </c>
      <c r="B117" s="7">
        <v>17.309999999999999</v>
      </c>
      <c r="C117" s="8">
        <v>3.5</v>
      </c>
      <c r="D117" s="32">
        <f t="shared" si="2"/>
        <v>2.6590081901606615</v>
      </c>
      <c r="E117" s="1">
        <f t="shared" si="3"/>
        <v>0.70726722421684618</v>
      </c>
      <c r="F117" s="29"/>
      <c r="H117" s="29">
        <v>96</v>
      </c>
      <c r="I117" s="38">
        <v>5.1636306589279197</v>
      </c>
      <c r="J117" s="1">
        <v>-0.4336306589279193</v>
      </c>
      <c r="K117" s="29">
        <v>-0.42962375462864938</v>
      </c>
      <c r="L117" s="29">
        <v>39.139344262295083</v>
      </c>
      <c r="M117" s="1">
        <v>2.34</v>
      </c>
      <c r="N117" s="1">
        <v>0.18803554836226072</v>
      </c>
      <c r="O117" s="1"/>
    </row>
    <row r="118" spans="1:15" x14ac:dyDescent="0.3">
      <c r="A118" s="1">
        <v>4</v>
      </c>
      <c r="B118" s="7">
        <v>29.93</v>
      </c>
      <c r="C118" s="8">
        <v>5.07</v>
      </c>
      <c r="D118" s="32">
        <f t="shared" si="2"/>
        <v>4.2142460897654779</v>
      </c>
      <c r="E118" s="1">
        <f t="shared" si="3"/>
        <v>0.73231475488167508</v>
      </c>
      <c r="F118" s="29"/>
      <c r="H118" s="29">
        <v>97</v>
      </c>
      <c r="I118" s="38">
        <v>3.5833601583783903</v>
      </c>
      <c r="J118" s="1">
        <v>0.41663984162160972</v>
      </c>
      <c r="K118" s="29">
        <v>0.41278993862635527</v>
      </c>
      <c r="L118" s="29">
        <v>39.549180327868854</v>
      </c>
      <c r="M118" s="1">
        <v>2.4500000000000002</v>
      </c>
      <c r="N118" s="1">
        <v>0.17358875762648041</v>
      </c>
      <c r="O118" s="1"/>
    </row>
    <row r="119" spans="1:15" x14ac:dyDescent="0.3">
      <c r="A119" s="1">
        <v>2</v>
      </c>
      <c r="B119" s="7">
        <v>10.65</v>
      </c>
      <c r="C119" s="8">
        <v>1.5</v>
      </c>
      <c r="D119" s="32">
        <f t="shared" si="2"/>
        <v>2.0415373668577463</v>
      </c>
      <c r="E119" s="1">
        <f t="shared" si="3"/>
        <v>0.29326271970322132</v>
      </c>
      <c r="F119" s="29"/>
      <c r="H119" s="29">
        <v>98</v>
      </c>
      <c r="I119" s="38">
        <v>2.1694817716862786</v>
      </c>
      <c r="J119" s="1">
        <v>-0.66948177168627865</v>
      </c>
      <c r="K119" s="29">
        <v>-0.66329551770717865</v>
      </c>
      <c r="L119" s="29">
        <v>39.959016393442624</v>
      </c>
      <c r="M119" s="1">
        <v>2.4700000000000002</v>
      </c>
      <c r="N119" s="1">
        <v>0.44820584262019791</v>
      </c>
      <c r="O119" s="1"/>
    </row>
    <row r="120" spans="1:15" x14ac:dyDescent="0.3">
      <c r="A120" s="1">
        <v>2</v>
      </c>
      <c r="B120" s="7">
        <v>12.43</v>
      </c>
      <c r="C120" s="8">
        <v>1.8</v>
      </c>
      <c r="D120" s="32">
        <f t="shared" si="2"/>
        <v>2.2065671064191861</v>
      </c>
      <c r="E120" s="1">
        <f t="shared" si="3"/>
        <v>0.16529681202206975</v>
      </c>
      <c r="F120" s="29"/>
      <c r="H120" s="29">
        <v>99</v>
      </c>
      <c r="I120" s="38">
        <v>3.0020475364400596</v>
      </c>
      <c r="J120" s="1">
        <v>-2.0475364400596163E-3</v>
      </c>
      <c r="K120" s="29">
        <v>-2.0286164619730336E-3</v>
      </c>
      <c r="L120" s="29">
        <v>40.368852459016395</v>
      </c>
      <c r="M120" s="1">
        <v>2.5</v>
      </c>
      <c r="N120" s="1">
        <v>4.1924054733701878E-6</v>
      </c>
      <c r="O120" s="1"/>
    </row>
    <row r="121" spans="1:15" x14ac:dyDescent="0.3">
      <c r="A121" s="1">
        <v>4</v>
      </c>
      <c r="B121" s="7">
        <v>24.08</v>
      </c>
      <c r="C121" s="8">
        <v>2.92</v>
      </c>
      <c r="D121" s="32">
        <f t="shared" si="2"/>
        <v>3.6718730692967005</v>
      </c>
      <c r="E121" s="1">
        <f t="shared" si="3"/>
        <v>0.56531311233364112</v>
      </c>
      <c r="F121" s="29"/>
      <c r="H121" s="29">
        <v>100</v>
      </c>
      <c r="I121" s="38">
        <v>2.2093485065241545</v>
      </c>
      <c r="J121" s="1">
        <v>-0.70934850652415449</v>
      </c>
      <c r="K121" s="29">
        <v>-0.70279386948004086</v>
      </c>
      <c r="L121" s="29">
        <v>40.778688524590166</v>
      </c>
      <c r="M121" s="1">
        <v>2.5</v>
      </c>
      <c r="N121" s="1">
        <v>0.50317530370804786</v>
      </c>
      <c r="O121" s="1"/>
    </row>
    <row r="122" spans="1:15" x14ac:dyDescent="0.3">
      <c r="A122" s="1">
        <v>2</v>
      </c>
      <c r="B122" s="7">
        <v>11.69</v>
      </c>
      <c r="C122" s="8">
        <v>2.31</v>
      </c>
      <c r="D122" s="32">
        <f t="shared" si="2"/>
        <v>2.1379592371633063</v>
      </c>
      <c r="E122" s="1">
        <f t="shared" si="3"/>
        <v>2.9598024077431517E-2</v>
      </c>
      <c r="F122" s="29"/>
      <c r="H122" s="29">
        <v>101</v>
      </c>
      <c r="I122" s="38">
        <v>2.1064367026403352</v>
      </c>
      <c r="J122" s="1">
        <v>0.39356329735966478</v>
      </c>
      <c r="K122" s="29">
        <v>0.38992662998904093</v>
      </c>
      <c r="L122" s="29">
        <v>41.188524590163937</v>
      </c>
      <c r="M122" s="1">
        <v>2.5</v>
      </c>
      <c r="N122" s="1">
        <v>0.15489206902861227</v>
      </c>
      <c r="O122" s="1"/>
    </row>
    <row r="123" spans="1:15" x14ac:dyDescent="0.3">
      <c r="A123" s="1">
        <v>2</v>
      </c>
      <c r="B123" s="7">
        <v>13.42</v>
      </c>
      <c r="C123" s="8">
        <v>1.68</v>
      </c>
      <c r="D123" s="32">
        <f t="shared" si="2"/>
        <v>2.298353309883133</v>
      </c>
      <c r="E123" s="1">
        <f t="shared" si="3"/>
        <v>0.38236081584342602</v>
      </c>
      <c r="F123" s="29"/>
      <c r="H123" s="29">
        <v>102</v>
      </c>
      <c r="I123" s="38">
        <v>2.4800714500743819</v>
      </c>
      <c r="J123" s="1">
        <v>0.5199285499256181</v>
      </c>
      <c r="K123" s="29">
        <v>0.51512422186643347</v>
      </c>
      <c r="L123" s="29">
        <v>41.598360655737707</v>
      </c>
      <c r="M123" s="1">
        <v>2.5</v>
      </c>
      <c r="N123" s="1">
        <v>0.27032569702775644</v>
      </c>
      <c r="O123" s="1"/>
    </row>
    <row r="124" spans="1:15" x14ac:dyDescent="0.3">
      <c r="A124" s="1">
        <v>2</v>
      </c>
      <c r="B124" s="7">
        <v>14.26</v>
      </c>
      <c r="C124" s="8">
        <v>2.5</v>
      </c>
      <c r="D124" s="32">
        <f t="shared" si="2"/>
        <v>2.3762325128222392</v>
      </c>
      <c r="E124" s="1">
        <f t="shared" si="3"/>
        <v>1.5318390882297174E-2</v>
      </c>
      <c r="F124" s="29"/>
      <c r="H124" s="29">
        <v>103</v>
      </c>
      <c r="I124" s="38">
        <v>5.3539389456544058</v>
      </c>
      <c r="J124" s="1">
        <v>-2.8539389456544058</v>
      </c>
      <c r="K124" s="29">
        <v>-2.8275675164305847</v>
      </c>
      <c r="L124" s="29">
        <v>42.008196721311478</v>
      </c>
      <c r="M124" s="1">
        <v>2.5</v>
      </c>
      <c r="N124" s="1">
        <v>8.1449675055229758</v>
      </c>
      <c r="O124" s="1"/>
    </row>
    <row r="125" spans="1:15" x14ac:dyDescent="0.3">
      <c r="A125" s="1">
        <v>2</v>
      </c>
      <c r="B125" s="7">
        <v>15.95</v>
      </c>
      <c r="C125" s="8">
        <v>2</v>
      </c>
      <c r="D125" s="32">
        <f t="shared" si="2"/>
        <v>2.5329180520687746</v>
      </c>
      <c r="E125" s="1">
        <f t="shared" si="3"/>
        <v>0.28400165022077717</v>
      </c>
      <c r="F125" s="29"/>
      <c r="H125" s="29">
        <v>104</v>
      </c>
      <c r="I125" s="38">
        <v>3.1327733413735599</v>
      </c>
      <c r="J125" s="1">
        <v>0.34722665862644009</v>
      </c>
      <c r="K125" s="29">
        <v>0.34401815857547235</v>
      </c>
      <c r="L125" s="29">
        <v>42.418032786885249</v>
      </c>
      <c r="M125" s="1">
        <v>2.5</v>
      </c>
      <c r="N125" s="1">
        <v>0.12056635246088267</v>
      </c>
      <c r="O125" s="1"/>
    </row>
    <row r="126" spans="1:15" x14ac:dyDescent="0.3">
      <c r="A126" s="1">
        <v>2</v>
      </c>
      <c r="B126" s="7">
        <v>12.48</v>
      </c>
      <c r="C126" s="8">
        <v>2.52</v>
      </c>
      <c r="D126" s="32">
        <f t="shared" si="2"/>
        <v>2.2112027732607995</v>
      </c>
      <c r="E126" s="1">
        <f t="shared" si="3"/>
        <v>9.5355727241821217E-2</v>
      </c>
      <c r="F126" s="29"/>
      <c r="H126" s="29">
        <v>105</v>
      </c>
      <c r="I126" s="38">
        <v>2.9937033361251557</v>
      </c>
      <c r="J126" s="1">
        <v>1.0862966638748444</v>
      </c>
      <c r="K126" s="29">
        <v>1.0762588893698681</v>
      </c>
      <c r="L126" s="29">
        <v>42.827868852459019</v>
      </c>
      <c r="M126" s="1">
        <v>2.5</v>
      </c>
      <c r="N126" s="1">
        <v>1.1800404419456185</v>
      </c>
      <c r="O126" s="1"/>
    </row>
    <row r="127" spans="1:15" x14ac:dyDescent="0.3">
      <c r="A127" s="1">
        <v>6</v>
      </c>
      <c r="B127" s="7">
        <v>29.8</v>
      </c>
      <c r="C127" s="8">
        <v>4.2</v>
      </c>
      <c r="D127" s="32">
        <f t="shared" si="2"/>
        <v>4.5873889447588567</v>
      </c>
      <c r="E127" s="1">
        <f t="shared" si="3"/>
        <v>0.1500701945213804</v>
      </c>
      <c r="F127" s="29"/>
      <c r="H127" s="29">
        <v>106</v>
      </c>
      <c r="I127" s="38">
        <v>2.4782171833377364</v>
      </c>
      <c r="J127" s="1">
        <v>-0.83821718333773654</v>
      </c>
      <c r="K127" s="29">
        <v>-0.83047175305856391</v>
      </c>
      <c r="L127" s="29">
        <v>43.23770491803279</v>
      </c>
      <c r="M127" s="1">
        <v>2.5</v>
      </c>
      <c r="N127" s="1">
        <v>0.70260804644264785</v>
      </c>
      <c r="O127" s="1"/>
    </row>
    <row r="128" spans="1:15" x14ac:dyDescent="0.3">
      <c r="A128" s="1">
        <v>2</v>
      </c>
      <c r="B128" s="7">
        <v>8.52</v>
      </c>
      <c r="C128" s="8">
        <v>1.48</v>
      </c>
      <c r="D128" s="32">
        <f t="shared" si="2"/>
        <v>1.8440579594050117</v>
      </c>
      <c r="E128" s="1">
        <f t="shared" si="3"/>
        <v>0.13253819780614118</v>
      </c>
      <c r="F128" s="29"/>
      <c r="H128" s="29">
        <v>107</v>
      </c>
      <c r="I128" s="38">
        <v>2.9538366012872794</v>
      </c>
      <c r="J128" s="1">
        <v>1.1061633987127202</v>
      </c>
      <c r="K128" s="29">
        <v>1.0959420483844129</v>
      </c>
      <c r="L128" s="29">
        <v>43.647540983606561</v>
      </c>
      <c r="M128" s="1">
        <v>2.5</v>
      </c>
      <c r="N128" s="1">
        <v>1.2235974646516783</v>
      </c>
      <c r="O128" s="1"/>
    </row>
    <row r="129" spans="1:15" x14ac:dyDescent="0.3">
      <c r="A129" s="1">
        <v>2</v>
      </c>
      <c r="B129" s="7">
        <v>14.52</v>
      </c>
      <c r="C129" s="8">
        <v>2</v>
      </c>
      <c r="D129" s="32">
        <f t="shared" si="2"/>
        <v>2.4003379803986293</v>
      </c>
      <c r="E129" s="1">
        <f t="shared" si="3"/>
        <v>0.16027049854965333</v>
      </c>
      <c r="F129" s="29"/>
      <c r="H129" s="29">
        <v>108</v>
      </c>
      <c r="I129" s="38">
        <v>3.391443551135592</v>
      </c>
      <c r="J129" s="1">
        <v>0.898556448864408</v>
      </c>
      <c r="K129" s="29">
        <v>0.890253461923879</v>
      </c>
      <c r="L129" s="29">
        <v>44.057377049180332</v>
      </c>
      <c r="M129" s="1">
        <v>2.5</v>
      </c>
      <c r="N129" s="1">
        <v>0.80740369179581628</v>
      </c>
      <c r="O129" s="1"/>
    </row>
    <row r="130" spans="1:15" x14ac:dyDescent="0.3">
      <c r="A130" s="1">
        <v>2</v>
      </c>
      <c r="B130" s="7">
        <v>11.38</v>
      </c>
      <c r="C130" s="8">
        <v>2</v>
      </c>
      <c r="D130" s="32">
        <f t="shared" si="2"/>
        <v>2.1092181027453027</v>
      </c>
      <c r="E130" s="1">
        <f t="shared" si="3"/>
        <v>1.1928593967283508E-2</v>
      </c>
      <c r="F130" s="29"/>
      <c r="H130" s="29">
        <v>109</v>
      </c>
      <c r="I130" s="38">
        <v>2.7452315934146725</v>
      </c>
      <c r="J130" s="1">
        <v>1.0147684065853273</v>
      </c>
      <c r="K130" s="29">
        <v>1.0053915790769525</v>
      </c>
      <c r="L130" s="29">
        <v>44.467213114754102</v>
      </c>
      <c r="M130" s="1">
        <v>2.52</v>
      </c>
      <c r="N130" s="1">
        <v>1.029754919003725</v>
      </c>
      <c r="O130" s="1"/>
    </row>
    <row r="131" spans="1:15" x14ac:dyDescent="0.3">
      <c r="A131" s="1">
        <v>3</v>
      </c>
      <c r="B131" s="7">
        <v>22.82</v>
      </c>
      <c r="C131" s="8">
        <v>2.1800000000000002</v>
      </c>
      <c r="D131" s="32">
        <f t="shared" ref="D131:D194" si="4">SUM(PRODUCT(A131,$I$17),PRODUCT(B131,$I$18),$I$16)</f>
        <v>3.3624564704972544</v>
      </c>
      <c r="E131" s="1">
        <f t="shared" ref="E131:E194" si="5">POWER((C131-D131),2)</f>
        <v>1.3982033046208238</v>
      </c>
      <c r="F131" s="29"/>
      <c r="H131" s="29">
        <v>110</v>
      </c>
      <c r="I131" s="38">
        <v>2.3808681796638531</v>
      </c>
      <c r="J131" s="1">
        <v>1.6191318203361469</v>
      </c>
      <c r="K131" s="29">
        <v>1.6041704560543191</v>
      </c>
      <c r="L131" s="29">
        <v>44.877049180327873</v>
      </c>
      <c r="M131" s="1">
        <v>2.54</v>
      </c>
      <c r="N131" s="1">
        <v>2.6215878516250459</v>
      </c>
      <c r="O131" s="1"/>
    </row>
    <row r="132" spans="1:15" x14ac:dyDescent="0.3">
      <c r="A132" s="1">
        <v>2</v>
      </c>
      <c r="B132" s="7">
        <v>19.079999999999998</v>
      </c>
      <c r="C132" s="8">
        <v>1.5</v>
      </c>
      <c r="D132" s="32">
        <f t="shared" si="4"/>
        <v>2.8231107963537787</v>
      </c>
      <c r="E132" s="1">
        <f t="shared" si="5"/>
        <v>1.7506221794279304</v>
      </c>
      <c r="F132" s="29"/>
      <c r="H132" s="29">
        <v>111</v>
      </c>
      <c r="I132" s="38">
        <v>2.3521270452458496</v>
      </c>
      <c r="J132" s="1">
        <v>0.64787295475415041</v>
      </c>
      <c r="K132" s="29">
        <v>0.64188637406771276</v>
      </c>
      <c r="L132" s="29">
        <v>45.286885245901644</v>
      </c>
      <c r="M132" s="1">
        <v>2.5499999999999998</v>
      </c>
      <c r="N132" s="1">
        <v>0.41973936550187402</v>
      </c>
      <c r="O132" s="1"/>
    </row>
    <row r="133" spans="1:15" x14ac:dyDescent="0.3">
      <c r="A133" s="1">
        <v>2</v>
      </c>
      <c r="B133" s="7">
        <v>20.27</v>
      </c>
      <c r="C133" s="8">
        <v>2.83</v>
      </c>
      <c r="D133" s="32">
        <f t="shared" si="4"/>
        <v>2.9334396671841794</v>
      </c>
      <c r="E133" s="1">
        <f t="shared" si="5"/>
        <v>1.069976474717378E-2</v>
      </c>
      <c r="F133" s="29"/>
      <c r="H133" s="29">
        <v>112</v>
      </c>
      <c r="I133" s="38">
        <v>1.5337142272372426</v>
      </c>
      <c r="J133" s="1">
        <v>-0.5337142272372426</v>
      </c>
      <c r="K133" s="29">
        <v>-0.52878251452812364</v>
      </c>
      <c r="L133" s="29">
        <v>45.696721311475414</v>
      </c>
      <c r="M133" s="1">
        <v>2.56</v>
      </c>
      <c r="N133" s="1">
        <v>0.28485087635544704</v>
      </c>
      <c r="O133" s="1"/>
    </row>
    <row r="134" spans="1:15" x14ac:dyDescent="0.3">
      <c r="A134" s="1">
        <v>2</v>
      </c>
      <c r="B134" s="7">
        <v>11.17</v>
      </c>
      <c r="C134" s="8">
        <v>1.5</v>
      </c>
      <c r="D134" s="32">
        <f t="shared" si="4"/>
        <v>2.0897483020105261</v>
      </c>
      <c r="E134" s="1">
        <f t="shared" si="5"/>
        <v>0.3478030597242987</v>
      </c>
      <c r="F134" s="29"/>
      <c r="H134" s="29">
        <v>113</v>
      </c>
      <c r="I134" s="38">
        <v>4.776334857189366</v>
      </c>
      <c r="J134" s="1">
        <v>-0.77633485718936601</v>
      </c>
      <c r="K134" s="29">
        <v>-0.76916124201041192</v>
      </c>
      <c r="L134" s="29">
        <v>46.106557377049178</v>
      </c>
      <c r="M134" s="1">
        <v>2.6</v>
      </c>
      <c r="N134" s="1">
        <v>0.60269581048723198</v>
      </c>
      <c r="O134" s="1"/>
    </row>
    <row r="135" spans="1:15" x14ac:dyDescent="0.3">
      <c r="A135" s="1">
        <v>2</v>
      </c>
      <c r="B135" s="7">
        <v>12.26</v>
      </c>
      <c r="C135" s="8">
        <v>2</v>
      </c>
      <c r="D135" s="32">
        <f t="shared" si="4"/>
        <v>2.1908058391576999</v>
      </c>
      <c r="E135" s="1">
        <f t="shared" si="5"/>
        <v>3.6406868256674038E-2</v>
      </c>
      <c r="F135" s="29"/>
      <c r="H135" s="29">
        <v>114</v>
      </c>
      <c r="I135" s="38">
        <v>3.2746247467269325</v>
      </c>
      <c r="J135" s="1">
        <v>-0.72462474672693267</v>
      </c>
      <c r="K135" s="29">
        <v>-0.71792895169206139</v>
      </c>
      <c r="L135" s="29">
        <v>46.516393442622949</v>
      </c>
      <c r="M135" s="1">
        <v>2.61</v>
      </c>
      <c r="N135" s="1">
        <v>0.52508102356907005</v>
      </c>
      <c r="O135" s="1"/>
    </row>
    <row r="136" spans="1:15" x14ac:dyDescent="0.3">
      <c r="A136" s="1">
        <v>2</v>
      </c>
      <c r="B136" s="7">
        <v>18.260000000000002</v>
      </c>
      <c r="C136" s="8">
        <v>3.25</v>
      </c>
      <c r="D136" s="32">
        <f t="shared" si="4"/>
        <v>2.7470858601513179</v>
      </c>
      <c r="E136" s="1">
        <f t="shared" si="5"/>
        <v>0.25292263205973975</v>
      </c>
      <c r="F136" s="29"/>
      <c r="H136" s="29">
        <v>115</v>
      </c>
      <c r="I136" s="38">
        <v>3.6303980139425143</v>
      </c>
      <c r="J136" s="1">
        <v>0.36960198605748573</v>
      </c>
      <c r="K136" s="29">
        <v>0.36618672987930434</v>
      </c>
      <c r="L136" s="29">
        <v>46.92622950819672</v>
      </c>
      <c r="M136" s="1">
        <v>2.64</v>
      </c>
      <c r="N136" s="1">
        <v>0.13660562809763854</v>
      </c>
      <c r="O136" s="1"/>
    </row>
    <row r="137" spans="1:15" x14ac:dyDescent="0.3">
      <c r="A137" s="1">
        <v>2</v>
      </c>
      <c r="B137" s="7">
        <v>8.51</v>
      </c>
      <c r="C137" s="8">
        <v>1.25</v>
      </c>
      <c r="D137" s="32">
        <f t="shared" si="4"/>
        <v>1.8431308260366892</v>
      </c>
      <c r="E137" s="1">
        <f t="shared" si="5"/>
        <v>0.35180417679496528</v>
      </c>
      <c r="F137" s="29"/>
      <c r="H137" s="29">
        <v>116</v>
      </c>
      <c r="I137" s="38">
        <v>2.6590081901606619</v>
      </c>
      <c r="J137" s="1">
        <v>0.84099180983933808</v>
      </c>
      <c r="K137" s="29">
        <v>0.83322074100664245</v>
      </c>
      <c r="L137" s="29">
        <v>47.33606557377049</v>
      </c>
      <c r="M137" s="1">
        <v>2.71</v>
      </c>
      <c r="N137" s="1">
        <v>0.70726722421684618</v>
      </c>
      <c r="O137" s="1"/>
    </row>
    <row r="138" spans="1:15" x14ac:dyDescent="0.3">
      <c r="A138" s="1">
        <v>2</v>
      </c>
      <c r="B138" s="7">
        <v>10.33</v>
      </c>
      <c r="C138" s="8">
        <v>2</v>
      </c>
      <c r="D138" s="32">
        <f t="shared" si="4"/>
        <v>2.0118690990714199</v>
      </c>
      <c r="E138" s="1">
        <f t="shared" si="5"/>
        <v>1.4087551276717987E-4</v>
      </c>
      <c r="F138" s="29"/>
      <c r="H138" s="29">
        <v>117</v>
      </c>
      <c r="I138" s="38">
        <v>4.2142460897654779</v>
      </c>
      <c r="J138" s="1">
        <v>0.85575391023452241</v>
      </c>
      <c r="K138" s="29">
        <v>0.84784643424905315</v>
      </c>
      <c r="L138" s="29">
        <v>47.745901639344261</v>
      </c>
      <c r="M138" s="1">
        <v>2.72</v>
      </c>
      <c r="N138" s="1">
        <v>0.73231475488167508</v>
      </c>
      <c r="O138" s="1"/>
    </row>
    <row r="139" spans="1:15" x14ac:dyDescent="0.3">
      <c r="A139" s="1">
        <v>2</v>
      </c>
      <c r="B139" s="7">
        <v>14.15</v>
      </c>
      <c r="C139" s="8">
        <v>2</v>
      </c>
      <c r="D139" s="32">
        <f t="shared" si="4"/>
        <v>2.3660340457706899</v>
      </c>
      <c r="E139" s="1">
        <f t="shared" si="5"/>
        <v>0.13398092266325948</v>
      </c>
      <c r="F139" s="29"/>
      <c r="H139" s="29">
        <v>118</v>
      </c>
      <c r="I139" s="38">
        <v>2.0415373668577463</v>
      </c>
      <c r="J139" s="1">
        <v>-0.54153736685774634</v>
      </c>
      <c r="K139" s="29">
        <v>-0.53653336550589936</v>
      </c>
      <c r="L139" s="29">
        <v>48.155737704918032</v>
      </c>
      <c r="M139" s="1">
        <v>2.74</v>
      </c>
      <c r="N139" s="1">
        <v>0.29326271970322132</v>
      </c>
      <c r="O139" s="1"/>
    </row>
    <row r="140" spans="1:15" x14ac:dyDescent="0.3">
      <c r="A140" s="1">
        <v>2</v>
      </c>
      <c r="B140" s="7">
        <v>16</v>
      </c>
      <c r="C140" s="8">
        <v>2</v>
      </c>
      <c r="D140" s="32">
        <f t="shared" si="4"/>
        <v>2.5375537189103885</v>
      </c>
      <c r="E140" s="1">
        <f t="shared" si="5"/>
        <v>0.28896400071438899</v>
      </c>
      <c r="F140" s="29"/>
      <c r="H140" s="29">
        <v>119</v>
      </c>
      <c r="I140" s="38">
        <v>2.2065671064191861</v>
      </c>
      <c r="J140" s="1">
        <v>-0.40656710641918603</v>
      </c>
      <c r="K140" s="29">
        <v>-0.40281027914437945</v>
      </c>
      <c r="L140" s="29">
        <v>48.565573770491802</v>
      </c>
      <c r="M140" s="1">
        <v>2.75</v>
      </c>
      <c r="N140" s="1">
        <v>0.16529681202206975</v>
      </c>
      <c r="O140" s="1"/>
    </row>
    <row r="141" spans="1:15" x14ac:dyDescent="0.3">
      <c r="A141" s="1">
        <v>2</v>
      </c>
      <c r="B141" s="7">
        <v>13.16</v>
      </c>
      <c r="C141" s="8">
        <v>2.75</v>
      </c>
      <c r="D141" s="32">
        <f t="shared" si="4"/>
        <v>2.2742478423067429</v>
      </c>
      <c r="E141" s="1">
        <f t="shared" si="5"/>
        <v>0.22634011554978975</v>
      </c>
      <c r="F141" s="29"/>
      <c r="H141" s="29">
        <v>120</v>
      </c>
      <c r="I141" s="38">
        <v>3.671873069296701</v>
      </c>
      <c r="J141" s="1">
        <v>-0.75187306929670106</v>
      </c>
      <c r="K141" s="29">
        <v>-0.74492548989510021</v>
      </c>
      <c r="L141" s="29">
        <v>48.975409836065573</v>
      </c>
      <c r="M141" s="1">
        <v>2.75</v>
      </c>
      <c r="N141" s="1">
        <v>0.56531311233364112</v>
      </c>
      <c r="O141" s="1"/>
    </row>
    <row r="142" spans="1:15" x14ac:dyDescent="0.3">
      <c r="A142" s="1">
        <v>2</v>
      </c>
      <c r="B142" s="7">
        <v>17.47</v>
      </c>
      <c r="C142" s="8">
        <v>3.5</v>
      </c>
      <c r="D142" s="32">
        <f t="shared" si="4"/>
        <v>2.6738423240538247</v>
      </c>
      <c r="E142" s="1">
        <f t="shared" si="5"/>
        <v>0.68253650552478562</v>
      </c>
      <c r="F142" s="29"/>
      <c r="H142" s="29">
        <v>121</v>
      </c>
      <c r="I142" s="38">
        <v>2.1379592371633072</v>
      </c>
      <c r="J142" s="1">
        <v>0.1720407628366929</v>
      </c>
      <c r="K142" s="29">
        <v>0.17045104389485347</v>
      </c>
      <c r="L142" s="29">
        <v>49.385245901639344</v>
      </c>
      <c r="M142" s="1">
        <v>2.83</v>
      </c>
      <c r="N142" s="1">
        <v>2.9598024077431517E-2</v>
      </c>
      <c r="O142" s="1"/>
    </row>
    <row r="143" spans="1:15" x14ac:dyDescent="0.3">
      <c r="A143" s="1">
        <v>6</v>
      </c>
      <c r="B143" s="7">
        <v>34.299999999999997</v>
      </c>
      <c r="C143" s="8">
        <v>6.7</v>
      </c>
      <c r="D143" s="32">
        <f t="shared" si="4"/>
        <v>5.0045989605040697</v>
      </c>
      <c r="E143" s="1">
        <f t="shared" si="5"/>
        <v>2.8743846847238816</v>
      </c>
      <c r="F143" s="29"/>
      <c r="H143" s="29">
        <v>122</v>
      </c>
      <c r="I143" s="38">
        <v>2.298353309883133</v>
      </c>
      <c r="J143" s="1">
        <v>-0.61835330988313308</v>
      </c>
      <c r="K143" s="29">
        <v>-0.61263950140389833</v>
      </c>
      <c r="L143" s="29">
        <v>49.795081967213115</v>
      </c>
      <c r="M143" s="1">
        <v>2.88</v>
      </c>
      <c r="N143" s="1">
        <v>0.38236081584342602</v>
      </c>
      <c r="O143" s="1"/>
    </row>
    <row r="144" spans="1:15" x14ac:dyDescent="0.3">
      <c r="A144" s="1">
        <v>5</v>
      </c>
      <c r="B144" s="7">
        <v>41.19</v>
      </c>
      <c r="C144" s="8">
        <v>5</v>
      </c>
      <c r="D144" s="32">
        <f t="shared" si="4"/>
        <v>5.4507960568876204</v>
      </c>
      <c r="E144" s="1">
        <f t="shared" si="5"/>
        <v>0.20321708490542667</v>
      </c>
      <c r="F144" s="29"/>
      <c r="H144" s="29">
        <v>123</v>
      </c>
      <c r="I144" s="38">
        <v>2.3762325128222397</v>
      </c>
      <c r="J144" s="1">
        <v>0.12376748717776032</v>
      </c>
      <c r="K144" s="29">
        <v>0.12262383078199601</v>
      </c>
      <c r="L144" s="29">
        <v>50.204918032786885</v>
      </c>
      <c r="M144" s="1">
        <v>2.92</v>
      </c>
      <c r="N144" s="1">
        <v>1.5318390882297174E-2</v>
      </c>
      <c r="O144" s="1"/>
    </row>
    <row r="145" spans="1:15" x14ac:dyDescent="0.3">
      <c r="A145" s="1">
        <v>6</v>
      </c>
      <c r="B145" s="7">
        <v>27.05</v>
      </c>
      <c r="C145" s="8">
        <v>5</v>
      </c>
      <c r="D145" s="32">
        <f t="shared" si="4"/>
        <v>4.3324272684701155</v>
      </c>
      <c r="E145" s="1">
        <f t="shared" si="5"/>
        <v>0.44565335188227123</v>
      </c>
      <c r="F145" s="29"/>
      <c r="H145" s="29">
        <v>124</v>
      </c>
      <c r="I145" s="38">
        <v>2.5329180520687755</v>
      </c>
      <c r="J145" s="1">
        <v>-0.53291805206877552</v>
      </c>
      <c r="K145" s="29">
        <v>-0.52799369630649562</v>
      </c>
      <c r="L145" s="29">
        <v>50.614754098360656</v>
      </c>
      <c r="M145" s="1">
        <v>3</v>
      </c>
      <c r="N145" s="1">
        <v>0.28400165022077717</v>
      </c>
      <c r="O145" s="1"/>
    </row>
    <row r="146" spans="1:15" x14ac:dyDescent="0.3">
      <c r="A146" s="1">
        <v>2</v>
      </c>
      <c r="B146" s="7">
        <v>16.43</v>
      </c>
      <c r="C146" s="8">
        <v>2.2999999999999998</v>
      </c>
      <c r="D146" s="32">
        <f t="shared" si="4"/>
        <v>2.5774204537482643</v>
      </c>
      <c r="E146" s="1">
        <f t="shared" si="5"/>
        <v>7.6962108157892978E-2</v>
      </c>
      <c r="F146" s="29"/>
      <c r="H146" s="29">
        <v>125</v>
      </c>
      <c r="I146" s="38">
        <v>2.2112027732607999</v>
      </c>
      <c r="J146" s="1">
        <v>0.30879722673920007</v>
      </c>
      <c r="K146" s="29">
        <v>0.30594382855355745</v>
      </c>
      <c r="L146" s="29">
        <v>51.024590163934427</v>
      </c>
      <c r="M146" s="1">
        <v>3</v>
      </c>
      <c r="N146" s="1">
        <v>9.5355727241821217E-2</v>
      </c>
      <c r="O146" s="1"/>
    </row>
    <row r="147" spans="1:15" x14ac:dyDescent="0.3">
      <c r="A147" s="1">
        <v>2</v>
      </c>
      <c r="B147" s="7">
        <v>8.35</v>
      </c>
      <c r="C147" s="8">
        <v>1.5</v>
      </c>
      <c r="D147" s="32">
        <f t="shared" si="4"/>
        <v>1.828296692143526</v>
      </c>
      <c r="E147" s="1">
        <f t="shared" si="5"/>
        <v>0.10777871807238107</v>
      </c>
      <c r="F147" s="29"/>
      <c r="H147" s="29">
        <v>126</v>
      </c>
      <c r="I147" s="38">
        <v>4.5873889447588576</v>
      </c>
      <c r="J147" s="1">
        <v>-0.38738894475885743</v>
      </c>
      <c r="K147" s="29">
        <v>-0.38380933064190009</v>
      </c>
      <c r="L147" s="29">
        <v>51.434426229508198</v>
      </c>
      <c r="M147" s="1">
        <v>3</v>
      </c>
      <c r="N147" s="1">
        <v>0.1500701945213804</v>
      </c>
      <c r="O147" s="1"/>
    </row>
    <row r="148" spans="1:15" x14ac:dyDescent="0.3">
      <c r="A148" s="1">
        <v>3</v>
      </c>
      <c r="B148" s="7">
        <v>18.64</v>
      </c>
      <c r="C148" s="8">
        <v>1.36</v>
      </c>
      <c r="D148" s="32">
        <f t="shared" si="4"/>
        <v>2.974914722538367</v>
      </c>
      <c r="E148" s="1">
        <f t="shared" si="5"/>
        <v>2.6079495610711705</v>
      </c>
      <c r="F148" s="29"/>
      <c r="H148" s="29">
        <v>127</v>
      </c>
      <c r="I148" s="38">
        <v>1.8440579594050122</v>
      </c>
      <c r="J148" s="1">
        <v>-0.36405795940501218</v>
      </c>
      <c r="K148" s="29">
        <v>-0.36069393204050365</v>
      </c>
      <c r="L148" s="29">
        <v>51.844262295081968</v>
      </c>
      <c r="M148" s="1">
        <v>3</v>
      </c>
      <c r="N148" s="1">
        <v>0.13253819780614118</v>
      </c>
      <c r="O148" s="1"/>
    </row>
    <row r="149" spans="1:15" x14ac:dyDescent="0.3">
      <c r="A149" s="1">
        <v>2</v>
      </c>
      <c r="B149" s="7">
        <v>11.87</v>
      </c>
      <c r="C149" s="8">
        <v>1.63</v>
      </c>
      <c r="D149" s="32">
        <f t="shared" si="4"/>
        <v>2.154647637793115</v>
      </c>
      <c r="E149" s="1">
        <f t="shared" si="5"/>
        <v>0.27525514384189564</v>
      </c>
      <c r="F149" s="29"/>
      <c r="H149" s="29">
        <v>128</v>
      </c>
      <c r="I149" s="38">
        <v>2.4003379803986298</v>
      </c>
      <c r="J149" s="1">
        <v>-0.40033798039862978</v>
      </c>
      <c r="K149" s="29">
        <v>-0.39663871250372074</v>
      </c>
      <c r="L149" s="29">
        <v>52.254098360655739</v>
      </c>
      <c r="M149" s="1">
        <v>3</v>
      </c>
      <c r="N149" s="1">
        <v>0.16027049854965333</v>
      </c>
      <c r="O149" s="1"/>
    </row>
    <row r="150" spans="1:15" x14ac:dyDescent="0.3">
      <c r="A150" s="1">
        <v>2</v>
      </c>
      <c r="B150" s="7">
        <v>9.7799999999999994</v>
      </c>
      <c r="C150" s="8">
        <v>1.73</v>
      </c>
      <c r="D150" s="32">
        <f t="shared" si="4"/>
        <v>1.9608767638136717</v>
      </c>
      <c r="E150" s="1">
        <f t="shared" si="5"/>
        <v>5.3304080069073959E-2</v>
      </c>
      <c r="F150" s="29"/>
      <c r="H150" s="29">
        <v>129</v>
      </c>
      <c r="I150" s="38">
        <v>2.1092181027453032</v>
      </c>
      <c r="J150" s="1">
        <v>-0.10921810274530319</v>
      </c>
      <c r="K150" s="29">
        <v>-0.10820888792979587</v>
      </c>
      <c r="L150" s="29">
        <v>52.66393442622951</v>
      </c>
      <c r="M150" s="1">
        <v>3</v>
      </c>
      <c r="N150" s="1">
        <v>1.1928593967283508E-2</v>
      </c>
      <c r="O150" s="1"/>
    </row>
    <row r="151" spans="1:15" x14ac:dyDescent="0.3">
      <c r="A151" s="1">
        <v>2</v>
      </c>
      <c r="B151" s="7">
        <v>7.51</v>
      </c>
      <c r="C151" s="8">
        <v>2</v>
      </c>
      <c r="D151" s="32">
        <f t="shared" si="4"/>
        <v>1.7504174892044198</v>
      </c>
      <c r="E151" s="1">
        <f t="shared" si="5"/>
        <v>6.2291429695025928E-2</v>
      </c>
      <c r="F151" s="29"/>
      <c r="H151" s="29">
        <v>130</v>
      </c>
      <c r="I151" s="38">
        <v>3.3624564704972544</v>
      </c>
      <c r="J151" s="1">
        <v>-1.1824564704972542</v>
      </c>
      <c r="K151" s="29">
        <v>-1.1715301445611479</v>
      </c>
      <c r="L151" s="29">
        <v>53.07377049180328</v>
      </c>
      <c r="M151" s="1">
        <v>3</v>
      </c>
      <c r="N151" s="1">
        <v>1.3982033046208238</v>
      </c>
      <c r="O151" s="1"/>
    </row>
    <row r="152" spans="1:15" x14ac:dyDescent="0.3">
      <c r="A152" s="1">
        <v>2</v>
      </c>
      <c r="B152" s="7">
        <v>14.07</v>
      </c>
      <c r="C152" s="8">
        <v>2.5</v>
      </c>
      <c r="D152" s="32">
        <f t="shared" si="4"/>
        <v>2.358616978824108</v>
      </c>
      <c r="E152" s="1">
        <f t="shared" si="5"/>
        <v>1.9989158676822716E-2</v>
      </c>
      <c r="F152" s="29"/>
      <c r="H152" s="29">
        <v>131</v>
      </c>
      <c r="I152" s="38">
        <v>2.8231107963537792</v>
      </c>
      <c r="J152" s="1">
        <v>-1.3231107963537792</v>
      </c>
      <c r="K152" s="29">
        <v>-1.3108847735180607</v>
      </c>
      <c r="L152" s="29">
        <v>53.483606557377051</v>
      </c>
      <c r="M152" s="1">
        <v>3</v>
      </c>
      <c r="N152" s="1">
        <v>1.7506221794279304</v>
      </c>
      <c r="O152" s="1"/>
    </row>
    <row r="153" spans="1:15" x14ac:dyDescent="0.3">
      <c r="A153" s="1">
        <v>2</v>
      </c>
      <c r="B153" s="7">
        <v>13.13</v>
      </c>
      <c r="C153" s="8">
        <v>2</v>
      </c>
      <c r="D153" s="32">
        <f t="shared" si="4"/>
        <v>2.2714664422017745</v>
      </c>
      <c r="E153" s="1">
        <f t="shared" si="5"/>
        <v>7.3694029241689385E-2</v>
      </c>
      <c r="F153" s="29"/>
      <c r="H153" s="29">
        <v>132</v>
      </c>
      <c r="I153" s="38">
        <v>2.9334396671841803</v>
      </c>
      <c r="J153" s="1">
        <v>-0.10343966718418018</v>
      </c>
      <c r="K153" s="29">
        <v>-0.1024838472055374</v>
      </c>
      <c r="L153" s="29">
        <v>53.893442622950822</v>
      </c>
      <c r="M153" s="1">
        <v>3</v>
      </c>
      <c r="N153" s="1">
        <v>1.069976474717378E-2</v>
      </c>
      <c r="O153" s="1"/>
    </row>
    <row r="154" spans="1:15" x14ac:dyDescent="0.3">
      <c r="A154" s="1">
        <v>3</v>
      </c>
      <c r="B154" s="7">
        <v>17.260000000000002</v>
      </c>
      <c r="C154" s="8">
        <v>2.74</v>
      </c>
      <c r="D154" s="32">
        <f t="shared" si="4"/>
        <v>2.8469703177098351</v>
      </c>
      <c r="E154" s="1">
        <f t="shared" si="5"/>
        <v>1.1442648870943017E-2</v>
      </c>
      <c r="F154" s="29"/>
      <c r="H154" s="29">
        <v>133</v>
      </c>
      <c r="I154" s="38">
        <v>2.089748302010527</v>
      </c>
      <c r="J154" s="1">
        <v>-0.58974830201052697</v>
      </c>
      <c r="K154" s="29">
        <v>-0.58429881416145424</v>
      </c>
      <c r="L154" s="29">
        <v>54.303278688524593</v>
      </c>
      <c r="M154" s="1">
        <v>3</v>
      </c>
      <c r="N154" s="1">
        <v>0.3478030597242987</v>
      </c>
      <c r="O154" s="1"/>
    </row>
    <row r="155" spans="1:15" x14ac:dyDescent="0.3">
      <c r="A155" s="1">
        <v>4</v>
      </c>
      <c r="B155" s="7">
        <v>24.55</v>
      </c>
      <c r="C155" s="8">
        <v>2</v>
      </c>
      <c r="D155" s="32">
        <f t="shared" si="4"/>
        <v>3.7154483376078673</v>
      </c>
      <c r="E155" s="1">
        <f t="shared" si="5"/>
        <v>2.9427629990015953</v>
      </c>
      <c r="F155" s="29"/>
      <c r="H155" s="29">
        <v>134</v>
      </c>
      <c r="I155" s="38">
        <v>2.1908058391577008</v>
      </c>
      <c r="J155" s="1">
        <v>-0.19080583915770077</v>
      </c>
      <c r="K155" s="29">
        <v>-0.18904272411611908</v>
      </c>
      <c r="L155" s="29">
        <v>54.713114754098363</v>
      </c>
      <c r="M155" s="1">
        <v>3</v>
      </c>
      <c r="N155" s="1">
        <v>3.6406868256674038E-2</v>
      </c>
      <c r="O155" s="1"/>
    </row>
    <row r="156" spans="1:15" x14ac:dyDescent="0.3">
      <c r="A156" s="1">
        <v>4</v>
      </c>
      <c r="B156" s="7">
        <v>19.77</v>
      </c>
      <c r="C156" s="8">
        <v>2</v>
      </c>
      <c r="D156" s="32">
        <f t="shared" si="4"/>
        <v>3.2722785875496188</v>
      </c>
      <c r="E156" s="1">
        <f t="shared" si="5"/>
        <v>1.6186928043372528</v>
      </c>
      <c r="F156" s="29"/>
      <c r="H156" s="29">
        <v>135</v>
      </c>
      <c r="I156" s="38">
        <v>2.7470858601513184</v>
      </c>
      <c r="J156" s="1">
        <v>0.50291413984868161</v>
      </c>
      <c r="K156" s="29">
        <v>0.49826703109925558</v>
      </c>
      <c r="L156" s="29">
        <v>55.122950819672134</v>
      </c>
      <c r="M156" s="1">
        <v>3</v>
      </c>
      <c r="N156" s="1">
        <v>0.25292263205973975</v>
      </c>
      <c r="O156" s="1"/>
    </row>
    <row r="157" spans="1:15" x14ac:dyDescent="0.3">
      <c r="A157" s="1">
        <v>5</v>
      </c>
      <c r="B157" s="7">
        <v>29.85</v>
      </c>
      <c r="C157" s="8">
        <v>5.14</v>
      </c>
      <c r="D157" s="32">
        <f t="shared" si="4"/>
        <v>4.3994268172096831</v>
      </c>
      <c r="E157" s="1">
        <f t="shared" si="5"/>
        <v>0.54844863906817964</v>
      </c>
      <c r="F157" s="29"/>
      <c r="H157" s="29">
        <v>136</v>
      </c>
      <c r="I157" s="38">
        <v>1.8431308260366894</v>
      </c>
      <c r="J157" s="1">
        <v>-0.59313082603668943</v>
      </c>
      <c r="K157" s="29">
        <v>-0.5876500824408567</v>
      </c>
      <c r="L157" s="29">
        <v>55.532786885245905</v>
      </c>
      <c r="M157" s="1">
        <v>3</v>
      </c>
      <c r="N157" s="1">
        <v>0.35180417679496528</v>
      </c>
      <c r="O157" s="1"/>
    </row>
    <row r="158" spans="1:15" x14ac:dyDescent="0.3">
      <c r="A158" s="1">
        <v>6</v>
      </c>
      <c r="B158" s="7">
        <v>48.17</v>
      </c>
      <c r="C158" s="8">
        <v>5</v>
      </c>
      <c r="D158" s="32">
        <f t="shared" si="4"/>
        <v>6.2905329423676495</v>
      </c>
      <c r="E158" s="1">
        <f t="shared" si="5"/>
        <v>1.6654752753361028</v>
      </c>
      <c r="F158" s="29"/>
      <c r="H158" s="29">
        <v>137</v>
      </c>
      <c r="I158" s="38">
        <v>2.0118690990714203</v>
      </c>
      <c r="J158" s="1">
        <v>-1.1869099071420308E-2</v>
      </c>
      <c r="K158" s="29">
        <v>-1.1759424298388081E-2</v>
      </c>
      <c r="L158" s="29">
        <v>55.942622950819676</v>
      </c>
      <c r="M158" s="1">
        <v>3</v>
      </c>
      <c r="N158" s="1">
        <v>1.4087551276717987E-4</v>
      </c>
      <c r="O158" s="1"/>
    </row>
    <row r="159" spans="1:15" x14ac:dyDescent="0.3">
      <c r="A159" s="1">
        <v>4</v>
      </c>
      <c r="B159" s="7">
        <v>25</v>
      </c>
      <c r="C159" s="8">
        <v>3.75</v>
      </c>
      <c r="D159" s="32">
        <f t="shared" si="4"/>
        <v>3.757169339182389</v>
      </c>
      <c r="E159" s="1">
        <f t="shared" si="5"/>
        <v>5.1399424312138824E-5</v>
      </c>
      <c r="F159" s="29"/>
      <c r="H159" s="29">
        <v>138</v>
      </c>
      <c r="I159" s="38">
        <v>2.3660340457706903</v>
      </c>
      <c r="J159" s="1">
        <v>-0.36603404577069032</v>
      </c>
      <c r="K159" s="29">
        <v>-0.36265175865265342</v>
      </c>
      <c r="L159" s="29">
        <v>56.352459016393446</v>
      </c>
      <c r="M159" s="1">
        <v>3</v>
      </c>
      <c r="N159" s="1">
        <v>0.13398092266325948</v>
      </c>
      <c r="O159" s="1"/>
    </row>
    <row r="160" spans="1:15" x14ac:dyDescent="0.3">
      <c r="A160" s="1">
        <v>2</v>
      </c>
      <c r="B160" s="7">
        <v>13.39</v>
      </c>
      <c r="C160" s="8">
        <v>2.61</v>
      </c>
      <c r="D160" s="32">
        <f t="shared" si="4"/>
        <v>2.2955719097781646</v>
      </c>
      <c r="E160" s="1">
        <f t="shared" si="5"/>
        <v>9.8865023920550577E-2</v>
      </c>
      <c r="F160" s="29"/>
      <c r="H160" s="29">
        <v>139</v>
      </c>
      <c r="I160" s="38">
        <v>2.5375537189103889</v>
      </c>
      <c r="J160" s="1">
        <v>-0.53755371891038894</v>
      </c>
      <c r="K160" s="29">
        <v>-0.53258652790799121</v>
      </c>
      <c r="L160" s="29">
        <v>56.762295081967217</v>
      </c>
      <c r="M160" s="1">
        <v>3</v>
      </c>
      <c r="N160" s="1">
        <v>0.28896400071438899</v>
      </c>
      <c r="O160" s="1"/>
    </row>
    <row r="161" spans="1:15" x14ac:dyDescent="0.3">
      <c r="A161" s="1">
        <v>4</v>
      </c>
      <c r="B161" s="7">
        <v>16.489999999999998</v>
      </c>
      <c r="C161" s="8">
        <v>2</v>
      </c>
      <c r="D161" s="32">
        <f t="shared" si="4"/>
        <v>2.9681788427397744</v>
      </c>
      <c r="E161" s="1">
        <f t="shared" si="5"/>
        <v>0.93737027152892882</v>
      </c>
      <c r="F161" s="29"/>
      <c r="H161" s="29">
        <v>140</v>
      </c>
      <c r="I161" s="38">
        <v>2.2742478423067434</v>
      </c>
      <c r="J161" s="1">
        <v>0.47575215769325663</v>
      </c>
      <c r="K161" s="29">
        <v>0.47135603549386912</v>
      </c>
      <c r="L161" s="29">
        <v>57.172131147540988</v>
      </c>
      <c r="M161" s="1">
        <v>3</v>
      </c>
      <c r="N161" s="1">
        <v>0.22634011554978975</v>
      </c>
      <c r="O161" s="1"/>
    </row>
    <row r="162" spans="1:15" x14ac:dyDescent="0.3">
      <c r="A162" s="1">
        <v>4</v>
      </c>
      <c r="B162" s="7">
        <v>21.5</v>
      </c>
      <c r="C162" s="8">
        <v>3.5</v>
      </c>
      <c r="D162" s="32">
        <f t="shared" si="4"/>
        <v>3.4326726602694451</v>
      </c>
      <c r="E162" s="1">
        <f t="shared" si="5"/>
        <v>4.5329706751935615E-3</v>
      </c>
      <c r="F162" s="29"/>
      <c r="H162" s="29">
        <v>141</v>
      </c>
      <c r="I162" s="38">
        <v>2.6738423240538252</v>
      </c>
      <c r="J162" s="1">
        <v>0.82615767594617484</v>
      </c>
      <c r="K162" s="29">
        <v>0.81852367988185637</v>
      </c>
      <c r="L162" s="29">
        <v>57.581967213114758</v>
      </c>
      <c r="M162" s="1">
        <v>3</v>
      </c>
      <c r="N162" s="1">
        <v>0.68253650552478562</v>
      </c>
      <c r="O162" s="1"/>
    </row>
    <row r="163" spans="1:15" x14ac:dyDescent="0.3">
      <c r="A163" s="1">
        <v>2</v>
      </c>
      <c r="B163" s="7">
        <v>12.66</v>
      </c>
      <c r="C163" s="8">
        <v>2.5</v>
      </c>
      <c r="D163" s="32">
        <f t="shared" si="4"/>
        <v>2.2278911738906078</v>
      </c>
      <c r="E163" s="1">
        <f t="shared" si="5"/>
        <v>7.4043213246631462E-2</v>
      </c>
      <c r="F163" s="29"/>
      <c r="H163" s="29">
        <v>142</v>
      </c>
      <c r="I163" s="38">
        <v>5.0045989605040706</v>
      </c>
      <c r="J163" s="1">
        <v>1.6954010394959296</v>
      </c>
      <c r="K163" s="29">
        <v>1.6797349200131921</v>
      </c>
      <c r="L163" s="29">
        <v>57.991803278688529</v>
      </c>
      <c r="M163" s="1">
        <v>3</v>
      </c>
      <c r="N163" s="1">
        <v>2.8743846847238816</v>
      </c>
      <c r="O163" s="1"/>
    </row>
    <row r="164" spans="1:15" x14ac:dyDescent="0.3">
      <c r="A164" s="1">
        <v>3</v>
      </c>
      <c r="B164" s="7">
        <v>16.21</v>
      </c>
      <c r="C164" s="8">
        <v>2</v>
      </c>
      <c r="D164" s="32">
        <f t="shared" si="4"/>
        <v>2.7496213140359522</v>
      </c>
      <c r="E164" s="1">
        <f t="shared" si="5"/>
        <v>0.56193211445698765</v>
      </c>
      <c r="F164" s="29"/>
      <c r="H164" s="29">
        <v>143</v>
      </c>
      <c r="I164" s="38">
        <v>5.4507960568876213</v>
      </c>
      <c r="J164" s="1">
        <v>-0.45079605688762125</v>
      </c>
      <c r="K164" s="29">
        <v>-0.44663053809588565</v>
      </c>
      <c r="L164" s="29">
        <v>58.4016393442623</v>
      </c>
      <c r="M164" s="1">
        <v>3</v>
      </c>
      <c r="N164" s="1">
        <v>0.20321708490542667</v>
      </c>
      <c r="O164" s="1"/>
    </row>
    <row r="165" spans="1:15" x14ac:dyDescent="0.3">
      <c r="A165" s="1">
        <v>2</v>
      </c>
      <c r="B165" s="7">
        <v>13.81</v>
      </c>
      <c r="C165" s="8">
        <v>2</v>
      </c>
      <c r="D165" s="32">
        <f t="shared" si="4"/>
        <v>2.3345115112477179</v>
      </c>
      <c r="E165" s="1">
        <f t="shared" si="5"/>
        <v>0.11189795115723213</v>
      </c>
      <c r="F165" s="29"/>
      <c r="H165" s="29">
        <v>144</v>
      </c>
      <c r="I165" s="38">
        <v>4.3324272684701155</v>
      </c>
      <c r="J165" s="1">
        <v>0.6675727315298845</v>
      </c>
      <c r="K165" s="29">
        <v>0.66140411777306274</v>
      </c>
      <c r="L165" s="29">
        <v>58.811475409836071</v>
      </c>
      <c r="M165" s="1">
        <v>3</v>
      </c>
      <c r="N165" s="1">
        <v>0.44565335188227123</v>
      </c>
      <c r="O165" s="1"/>
    </row>
    <row r="166" spans="1:15" x14ac:dyDescent="0.3">
      <c r="A166" s="1">
        <v>2</v>
      </c>
      <c r="B166" s="7">
        <v>17.510000000000002</v>
      </c>
      <c r="C166" s="8">
        <v>3</v>
      </c>
      <c r="D166" s="32">
        <f t="shared" si="4"/>
        <v>2.6775508575271156</v>
      </c>
      <c r="E166" s="1">
        <f t="shared" si="5"/>
        <v>0.10397344948149848</v>
      </c>
      <c r="F166" s="29"/>
      <c r="H166" s="29">
        <v>145</v>
      </c>
      <c r="I166" s="38">
        <v>2.5774204537482648</v>
      </c>
      <c r="J166" s="1">
        <v>-0.27742045374826496</v>
      </c>
      <c r="K166" s="29">
        <v>-0.27485698830608984</v>
      </c>
      <c r="L166" s="29">
        <v>59.221311475409841</v>
      </c>
      <c r="M166" s="1">
        <v>3</v>
      </c>
      <c r="N166" s="1">
        <v>7.6962108157892978E-2</v>
      </c>
      <c r="O166" s="1"/>
    </row>
    <row r="167" spans="1:15" x14ac:dyDescent="0.3">
      <c r="A167" s="1">
        <v>3</v>
      </c>
      <c r="B167" s="7">
        <v>24.52</v>
      </c>
      <c r="C167" s="8">
        <v>3.48</v>
      </c>
      <c r="D167" s="32">
        <f t="shared" si="4"/>
        <v>3.5200691431121118</v>
      </c>
      <c r="E167" s="1">
        <f t="shared" si="5"/>
        <v>1.6055362297389005E-3</v>
      </c>
      <c r="F167" s="29"/>
      <c r="H167" s="29">
        <v>146</v>
      </c>
      <c r="I167" s="38">
        <v>1.8282966921435264</v>
      </c>
      <c r="J167" s="1">
        <v>-0.32829669214352641</v>
      </c>
      <c r="K167" s="29">
        <v>-0.32526311183710105</v>
      </c>
      <c r="L167" s="29">
        <v>59.631147540983605</v>
      </c>
      <c r="M167" s="1">
        <v>3</v>
      </c>
      <c r="N167" s="1">
        <v>0.10777871807238107</v>
      </c>
      <c r="O167" s="1"/>
    </row>
    <row r="168" spans="1:15" x14ac:dyDescent="0.3">
      <c r="A168" s="1">
        <v>2</v>
      </c>
      <c r="B168" s="7">
        <v>20.76</v>
      </c>
      <c r="C168" s="8">
        <v>2.2400000000000002</v>
      </c>
      <c r="D168" s="32">
        <f t="shared" si="4"/>
        <v>2.9788692022319916</v>
      </c>
      <c r="E168" s="1">
        <f t="shared" si="5"/>
        <v>0.54592769800693941</v>
      </c>
      <c r="F168" s="29"/>
      <c r="H168" s="29">
        <v>147</v>
      </c>
      <c r="I168" s="38">
        <v>2.9749147225383679</v>
      </c>
      <c r="J168" s="1">
        <v>-1.6149147225383678</v>
      </c>
      <c r="K168" s="29">
        <v>-1.5999923257671356</v>
      </c>
      <c r="L168" s="29">
        <v>60.040983606557376</v>
      </c>
      <c r="M168" s="1">
        <v>3.02</v>
      </c>
      <c r="N168" s="1">
        <v>2.6079495610711705</v>
      </c>
      <c r="O168" s="1"/>
    </row>
    <row r="169" spans="1:15" x14ac:dyDescent="0.3">
      <c r="A169" s="1">
        <v>4</v>
      </c>
      <c r="B169" s="7">
        <v>31.71</v>
      </c>
      <c r="C169" s="8">
        <v>4.5</v>
      </c>
      <c r="D169" s="32">
        <f t="shared" si="4"/>
        <v>4.3792758293269181</v>
      </c>
      <c r="E169" s="1">
        <f t="shared" si="5"/>
        <v>1.4574325384703418E-2</v>
      </c>
      <c r="F169" s="29"/>
      <c r="H169" s="29">
        <v>148</v>
      </c>
      <c r="I169" s="38">
        <v>2.1546476377931154</v>
      </c>
      <c r="J169" s="1">
        <v>-0.52464763779311552</v>
      </c>
      <c r="K169" s="29">
        <v>-0.51979970365332839</v>
      </c>
      <c r="L169" s="29">
        <v>60.450819672131146</v>
      </c>
      <c r="M169" s="1">
        <v>3.06</v>
      </c>
      <c r="N169" s="1">
        <v>0.27525514384189564</v>
      </c>
      <c r="O169" s="1"/>
    </row>
    <row r="170" spans="1:15" x14ac:dyDescent="0.3">
      <c r="A170" s="1">
        <v>2</v>
      </c>
      <c r="B170" s="7">
        <v>10.59</v>
      </c>
      <c r="C170" s="8">
        <v>1.61</v>
      </c>
      <c r="D170" s="32">
        <f t="shared" si="4"/>
        <v>2.03597456664781</v>
      </c>
      <c r="E170" s="1">
        <f t="shared" si="5"/>
        <v>0.1814543314307894</v>
      </c>
      <c r="F170" s="29"/>
      <c r="H170" s="29">
        <v>149</v>
      </c>
      <c r="I170" s="38">
        <v>1.9608767638136717</v>
      </c>
      <c r="J170" s="1">
        <v>-0.23087676381367173</v>
      </c>
      <c r="K170" s="29">
        <v>-0.22874337891922333</v>
      </c>
      <c r="L170" s="29">
        <v>60.860655737704917</v>
      </c>
      <c r="M170" s="1">
        <v>3.07</v>
      </c>
      <c r="N170" s="1">
        <v>5.3304080069073959E-2</v>
      </c>
      <c r="O170" s="1"/>
    </row>
    <row r="171" spans="1:15" x14ac:dyDescent="0.3">
      <c r="A171" s="1">
        <v>2</v>
      </c>
      <c r="B171" s="7">
        <v>10.63</v>
      </c>
      <c r="C171" s="8">
        <v>2</v>
      </c>
      <c r="D171" s="32">
        <f t="shared" si="4"/>
        <v>2.0396831001211009</v>
      </c>
      <c r="E171" s="1">
        <f t="shared" si="5"/>
        <v>1.5747484352213166E-3</v>
      </c>
      <c r="F171" s="29"/>
      <c r="H171" s="29">
        <v>150</v>
      </c>
      <c r="I171" s="38">
        <v>1.7504174892044198</v>
      </c>
      <c r="J171" s="1">
        <v>0.24958251079558025</v>
      </c>
      <c r="K171" s="29">
        <v>0.24727627802596505</v>
      </c>
      <c r="L171" s="29">
        <v>61.270491803278688</v>
      </c>
      <c r="M171" s="1">
        <v>3.08</v>
      </c>
      <c r="N171" s="1">
        <v>6.2291429695025928E-2</v>
      </c>
      <c r="O171" s="1"/>
    </row>
    <row r="172" spans="1:15" x14ac:dyDescent="0.3">
      <c r="A172" s="1">
        <v>3</v>
      </c>
      <c r="B172" s="7">
        <v>50.81</v>
      </c>
      <c r="C172" s="8">
        <v>10</v>
      </c>
      <c r="D172" s="32">
        <f t="shared" si="4"/>
        <v>5.9575027684324802</v>
      </c>
      <c r="E172" s="1">
        <f t="shared" si="5"/>
        <v>16.341783867231062</v>
      </c>
      <c r="F172" s="29"/>
      <c r="H172" s="29">
        <v>151</v>
      </c>
      <c r="I172" s="38">
        <v>2.3586169788241085</v>
      </c>
      <c r="J172" s="1">
        <v>0.14138302117589152</v>
      </c>
      <c r="K172" s="29">
        <v>0.14007659086767935</v>
      </c>
      <c r="L172" s="29">
        <v>61.680327868852459</v>
      </c>
      <c r="M172" s="1">
        <v>3.09</v>
      </c>
      <c r="N172" s="1">
        <v>1.9989158676822716E-2</v>
      </c>
      <c r="O172" s="1"/>
    </row>
    <row r="173" spans="1:15" x14ac:dyDescent="0.3">
      <c r="A173" s="1">
        <v>2</v>
      </c>
      <c r="B173" s="7">
        <v>15.81</v>
      </c>
      <c r="C173" s="8">
        <v>3.16</v>
      </c>
      <c r="D173" s="32">
        <f t="shared" si="4"/>
        <v>2.5199381849122573</v>
      </c>
      <c r="E173" s="1">
        <f t="shared" si="5"/>
        <v>0.40967912713341592</v>
      </c>
      <c r="F173" s="29"/>
      <c r="H173" s="29">
        <v>152</v>
      </c>
      <c r="I173" s="38">
        <v>2.271466442201775</v>
      </c>
      <c r="J173" s="1">
        <v>-0.27146644220177496</v>
      </c>
      <c r="K173" s="29">
        <v>-0.26895799398214248</v>
      </c>
      <c r="L173" s="29">
        <v>62.090163934426229</v>
      </c>
      <c r="M173" s="1">
        <v>3.11</v>
      </c>
      <c r="N173" s="1">
        <v>7.3694029241689385E-2</v>
      </c>
      <c r="O173" s="1"/>
    </row>
    <row r="174" spans="1:15" x14ac:dyDescent="0.3">
      <c r="A174" s="1">
        <v>2</v>
      </c>
      <c r="B174" s="7">
        <v>7.25</v>
      </c>
      <c r="C174" s="8">
        <v>5.15</v>
      </c>
      <c r="D174" s="32">
        <f t="shared" si="4"/>
        <v>1.7263120216280297</v>
      </c>
      <c r="E174" s="1">
        <f t="shared" si="5"/>
        <v>11.721639373248752</v>
      </c>
      <c r="F174" s="29"/>
      <c r="H174" s="29">
        <v>153</v>
      </c>
      <c r="I174" s="38">
        <v>2.8469703177098356</v>
      </c>
      <c r="J174" s="1">
        <v>-0.10697031770983534</v>
      </c>
      <c r="K174" s="29">
        <v>-0.10598187324194301</v>
      </c>
      <c r="L174" s="29">
        <v>62.5</v>
      </c>
      <c r="M174" s="1">
        <v>3.12</v>
      </c>
      <c r="N174" s="1">
        <v>1.1442648870943017E-2</v>
      </c>
      <c r="O174" s="1"/>
    </row>
    <row r="175" spans="1:15" x14ac:dyDescent="0.3">
      <c r="A175" s="1">
        <v>2</v>
      </c>
      <c r="B175" s="7">
        <v>31.85</v>
      </c>
      <c r="C175" s="8">
        <v>3.18</v>
      </c>
      <c r="D175" s="32">
        <f t="shared" si="4"/>
        <v>4.0070601077018617</v>
      </c>
      <c r="E175" s="1">
        <f t="shared" si="5"/>
        <v>0.68402842175181489</v>
      </c>
      <c r="F175" s="29"/>
      <c r="H175" s="29">
        <v>154</v>
      </c>
      <c r="I175" s="38">
        <v>3.7154483376078677</v>
      </c>
      <c r="J175" s="1">
        <v>-1.7154483376078677</v>
      </c>
      <c r="K175" s="29">
        <v>-1.6995969738317678</v>
      </c>
      <c r="L175" s="29">
        <v>62.909836065573771</v>
      </c>
      <c r="M175" s="1">
        <v>3.14</v>
      </c>
      <c r="N175" s="1">
        <v>2.9427629990015953</v>
      </c>
      <c r="O175" s="1"/>
    </row>
    <row r="176" spans="1:15" x14ac:dyDescent="0.3">
      <c r="A176" s="1">
        <v>2</v>
      </c>
      <c r="B176" s="7">
        <v>16.82</v>
      </c>
      <c r="C176" s="8">
        <v>4</v>
      </c>
      <c r="D176" s="32">
        <f t="shared" si="4"/>
        <v>2.6135786551128497</v>
      </c>
      <c r="E176" s="1">
        <f t="shared" si="5"/>
        <v>1.9221641455586946</v>
      </c>
      <c r="F176" s="29"/>
      <c r="H176" s="29">
        <v>155</v>
      </c>
      <c r="I176" s="38">
        <v>3.2722785875496188</v>
      </c>
      <c r="J176" s="1">
        <v>-1.2722785875496188</v>
      </c>
      <c r="K176" s="29">
        <v>-1.2605222727287864</v>
      </c>
      <c r="L176" s="29">
        <v>63.319672131147541</v>
      </c>
      <c r="M176" s="1">
        <v>3.15</v>
      </c>
      <c r="N176" s="1">
        <v>1.6186928043372528</v>
      </c>
      <c r="O176" s="1"/>
    </row>
    <row r="177" spans="1:15" x14ac:dyDescent="0.3">
      <c r="A177" s="1">
        <v>2</v>
      </c>
      <c r="B177" s="7">
        <v>32.9</v>
      </c>
      <c r="C177" s="8">
        <v>3.11</v>
      </c>
      <c r="D177" s="32">
        <f t="shared" si="4"/>
        <v>4.1044091113757446</v>
      </c>
      <c r="E177" s="1">
        <f t="shared" si="5"/>
        <v>0.98884948078709822</v>
      </c>
      <c r="F177" s="29"/>
      <c r="H177" s="29">
        <v>156</v>
      </c>
      <c r="I177" s="38">
        <v>4.399426817209684</v>
      </c>
      <c r="J177" s="1">
        <v>0.7405731827903157</v>
      </c>
      <c r="K177" s="29">
        <v>0.73373001843154328</v>
      </c>
      <c r="L177" s="29">
        <v>63.729508196721312</v>
      </c>
      <c r="M177" s="1">
        <v>3.16</v>
      </c>
      <c r="N177" s="1">
        <v>0.54844863906817964</v>
      </c>
      <c r="O177" s="1"/>
    </row>
    <row r="178" spans="1:15" x14ac:dyDescent="0.3">
      <c r="A178" s="1">
        <v>2</v>
      </c>
      <c r="B178" s="7">
        <v>17.89</v>
      </c>
      <c r="C178" s="8">
        <v>2</v>
      </c>
      <c r="D178" s="32">
        <f t="shared" si="4"/>
        <v>2.712781925523378</v>
      </c>
      <c r="E178" s="1">
        <f t="shared" si="5"/>
        <v>0.5080580733528145</v>
      </c>
      <c r="F178" s="29"/>
      <c r="H178" s="29">
        <v>157</v>
      </c>
      <c r="I178" s="38">
        <v>6.2905329423676504</v>
      </c>
      <c r="J178" s="1">
        <v>-1.2905329423676504</v>
      </c>
      <c r="K178" s="29">
        <v>-1.2786079506986874</v>
      </c>
      <c r="L178" s="29">
        <v>64.139344262295083</v>
      </c>
      <c r="M178" s="1">
        <v>3.18</v>
      </c>
      <c r="N178" s="1">
        <v>1.6654752753361028</v>
      </c>
      <c r="O178" s="1"/>
    </row>
    <row r="179" spans="1:15" x14ac:dyDescent="0.3">
      <c r="A179" s="1">
        <v>2</v>
      </c>
      <c r="B179" s="7">
        <v>14.48</v>
      </c>
      <c r="C179" s="8">
        <v>2</v>
      </c>
      <c r="D179" s="32">
        <f t="shared" si="4"/>
        <v>2.3966294469253389</v>
      </c>
      <c r="E179" s="1">
        <f t="shared" si="5"/>
        <v>0.15731491816830021</v>
      </c>
      <c r="F179" s="29"/>
      <c r="H179" s="29">
        <v>158</v>
      </c>
      <c r="I179" s="38">
        <v>3.757169339182389</v>
      </c>
      <c r="J179" s="1">
        <v>-7.1693391823890451E-3</v>
      </c>
      <c r="K179" s="29">
        <v>-7.1030918924398952E-3</v>
      </c>
      <c r="L179" s="29">
        <v>64.549180327868854</v>
      </c>
      <c r="M179" s="1">
        <v>3.18</v>
      </c>
      <c r="N179" s="1">
        <v>5.1399424312138824E-5</v>
      </c>
      <c r="O179" s="1"/>
    </row>
    <row r="180" spans="1:15" x14ac:dyDescent="0.3">
      <c r="A180" s="1">
        <v>2</v>
      </c>
      <c r="B180" s="7">
        <v>9.6</v>
      </c>
      <c r="C180" s="8">
        <v>4</v>
      </c>
      <c r="D180" s="32">
        <f t="shared" si="4"/>
        <v>1.944188363183863</v>
      </c>
      <c r="E180" s="1">
        <f t="shared" si="5"/>
        <v>4.2263614860686447</v>
      </c>
      <c r="F180" s="29"/>
      <c r="H180" s="29">
        <v>159</v>
      </c>
      <c r="I180" s="38">
        <v>2.2955719097781655</v>
      </c>
      <c r="J180" s="1">
        <v>0.31442809022183438</v>
      </c>
      <c r="K180" s="29">
        <v>0.31152266081876601</v>
      </c>
      <c r="L180" s="29">
        <v>64.959016393442624</v>
      </c>
      <c r="M180" s="1">
        <v>3.21</v>
      </c>
      <c r="N180" s="1">
        <v>9.8865023920550577E-2</v>
      </c>
      <c r="O180" s="1"/>
    </row>
    <row r="181" spans="1:15" x14ac:dyDescent="0.3">
      <c r="A181" s="1">
        <v>2</v>
      </c>
      <c r="B181" s="7">
        <v>34.630000000000003</v>
      </c>
      <c r="C181" s="8">
        <v>3.55</v>
      </c>
      <c r="D181" s="32">
        <f t="shared" si="4"/>
        <v>4.2648031840955714</v>
      </c>
      <c r="E181" s="1">
        <f t="shared" si="5"/>
        <v>0.51094359199316752</v>
      </c>
      <c r="F181" s="29"/>
      <c r="H181" s="29">
        <v>160</v>
      </c>
      <c r="I181" s="38">
        <v>2.9681788427397748</v>
      </c>
      <c r="J181" s="1">
        <v>-0.96817884273977484</v>
      </c>
      <c r="K181" s="29">
        <v>-0.95923251967067413</v>
      </c>
      <c r="L181" s="29">
        <v>65.368852459016395</v>
      </c>
      <c r="M181" s="1">
        <v>3.23</v>
      </c>
      <c r="N181" s="1">
        <v>0.93737027152892882</v>
      </c>
      <c r="O181" s="1"/>
    </row>
    <row r="182" spans="1:15" x14ac:dyDescent="0.3">
      <c r="A182" s="1">
        <v>4</v>
      </c>
      <c r="B182" s="7">
        <v>34.65</v>
      </c>
      <c r="C182" s="8">
        <v>3.68</v>
      </c>
      <c r="D182" s="32">
        <f t="shared" si="4"/>
        <v>4.6518530396137905</v>
      </c>
      <c r="E182" s="1">
        <f t="shared" si="5"/>
        <v>0.94449833060656352</v>
      </c>
      <c r="F182" s="29"/>
      <c r="H182" s="29">
        <v>161</v>
      </c>
      <c r="I182" s="38">
        <v>3.4326726602694455</v>
      </c>
      <c r="J182" s="1">
        <v>6.7327339730554492E-2</v>
      </c>
      <c r="K182" s="29">
        <v>6.6705210733283546E-2</v>
      </c>
      <c r="L182" s="29">
        <v>65.778688524590166</v>
      </c>
      <c r="M182" s="1">
        <v>3.23</v>
      </c>
      <c r="N182" s="1">
        <v>4.5329706751935615E-3</v>
      </c>
      <c r="O182" s="1"/>
    </row>
    <row r="183" spans="1:15" x14ac:dyDescent="0.3">
      <c r="A183" s="1">
        <v>2</v>
      </c>
      <c r="B183" s="7">
        <v>23.33</v>
      </c>
      <c r="C183" s="8">
        <v>5.65</v>
      </c>
      <c r="D183" s="32">
        <f t="shared" si="4"/>
        <v>3.2171424778909246</v>
      </c>
      <c r="E183" s="1">
        <f t="shared" si="5"/>
        <v>5.9187957228827122</v>
      </c>
      <c r="F183" s="29"/>
      <c r="H183" s="29">
        <v>162</v>
      </c>
      <c r="I183" s="38">
        <v>2.2278911738906082</v>
      </c>
      <c r="J183" s="1">
        <v>0.2721088261093918</v>
      </c>
      <c r="K183" s="29">
        <v>0.26959444202985594</v>
      </c>
      <c r="L183" s="29">
        <v>66.188524590163922</v>
      </c>
      <c r="M183" s="1">
        <v>3.25</v>
      </c>
      <c r="N183" s="1">
        <v>7.4043213246631462E-2</v>
      </c>
      <c r="O183" s="1"/>
    </row>
    <row r="184" spans="1:15" x14ac:dyDescent="0.3">
      <c r="A184" s="1">
        <v>3</v>
      </c>
      <c r="B184" s="7">
        <v>45.35</v>
      </c>
      <c r="C184" s="8">
        <v>3.5</v>
      </c>
      <c r="D184" s="32">
        <f t="shared" si="4"/>
        <v>5.4512879493282886</v>
      </c>
      <c r="E184" s="1">
        <f t="shared" si="5"/>
        <v>3.8075246611937978</v>
      </c>
      <c r="F184" s="29"/>
      <c r="H184" s="29">
        <v>163</v>
      </c>
      <c r="I184" s="38">
        <v>2.7496213140359522</v>
      </c>
      <c r="J184" s="1">
        <v>-0.74962131403595222</v>
      </c>
      <c r="K184" s="29">
        <v>-0.74269454166828552</v>
      </c>
      <c r="L184" s="29">
        <v>66.598360655737693</v>
      </c>
      <c r="M184" s="1">
        <v>3.25</v>
      </c>
      <c r="N184" s="1">
        <v>0.56193211445698765</v>
      </c>
      <c r="O184" s="1"/>
    </row>
    <row r="185" spans="1:15" x14ac:dyDescent="0.3">
      <c r="A185" s="1">
        <v>4</v>
      </c>
      <c r="B185" s="7">
        <v>23.17</v>
      </c>
      <c r="C185" s="8">
        <v>6.5</v>
      </c>
      <c r="D185" s="32">
        <f t="shared" si="4"/>
        <v>3.5875039327793354</v>
      </c>
      <c r="E185" s="1">
        <f t="shared" si="5"/>
        <v>8.4826333415758377</v>
      </c>
      <c r="F185" s="29"/>
      <c r="H185" s="29">
        <v>164</v>
      </c>
      <c r="I185" s="38">
        <v>2.3345115112477188</v>
      </c>
      <c r="J185" s="1">
        <v>-0.33451151124771883</v>
      </c>
      <c r="K185" s="29">
        <v>-0.33142050376248344</v>
      </c>
      <c r="L185" s="29">
        <v>67.008196721311464</v>
      </c>
      <c r="M185" s="1">
        <v>3.27</v>
      </c>
      <c r="N185" s="1">
        <v>0.11189795115723213</v>
      </c>
      <c r="O185" s="1"/>
    </row>
    <row r="186" spans="1:15" x14ac:dyDescent="0.3">
      <c r="A186" s="1">
        <v>2</v>
      </c>
      <c r="B186" s="7">
        <v>40.549999999999997</v>
      </c>
      <c r="C186" s="8">
        <v>3</v>
      </c>
      <c r="D186" s="32">
        <f t="shared" si="4"/>
        <v>4.8136661381426062</v>
      </c>
      <c r="E186" s="1">
        <f t="shared" si="5"/>
        <v>3.2893848606451153</v>
      </c>
      <c r="F186" s="29"/>
      <c r="H186" s="29">
        <v>165</v>
      </c>
      <c r="I186" s="38">
        <v>2.6775508575271161</v>
      </c>
      <c r="J186" s="1">
        <v>0.32244914247288392</v>
      </c>
      <c r="K186" s="29">
        <v>0.31946959564272015</v>
      </c>
      <c r="L186" s="29">
        <v>67.418032786885234</v>
      </c>
      <c r="M186" s="1">
        <v>3.31</v>
      </c>
      <c r="N186" s="1">
        <v>0.10397344948149848</v>
      </c>
      <c r="O186" s="1"/>
    </row>
    <row r="187" spans="1:15" x14ac:dyDescent="0.3">
      <c r="A187" s="1">
        <v>5</v>
      </c>
      <c r="B187" s="7">
        <v>20.69</v>
      </c>
      <c r="C187" s="8">
        <v>5</v>
      </c>
      <c r="D187" s="32">
        <f t="shared" si="4"/>
        <v>3.5501726518260939</v>
      </c>
      <c r="E187" s="1">
        <f t="shared" si="5"/>
        <v>2.101999339512981</v>
      </c>
      <c r="F187" s="29"/>
      <c r="H187" s="29">
        <v>166</v>
      </c>
      <c r="I187" s="38">
        <v>3.5200691431121127</v>
      </c>
      <c r="J187" s="1">
        <v>-4.0069143112112737E-2</v>
      </c>
      <c r="K187" s="29">
        <v>-3.9698889721356358E-2</v>
      </c>
      <c r="L187" s="29">
        <v>67.827868852459005</v>
      </c>
      <c r="M187" s="1">
        <v>3.35</v>
      </c>
      <c r="N187" s="1">
        <v>1.6055362297389005E-3</v>
      </c>
      <c r="O187" s="1"/>
    </row>
    <row r="188" spans="1:15" x14ac:dyDescent="0.3">
      <c r="A188" s="1">
        <v>3</v>
      </c>
      <c r="B188" s="7">
        <v>20.9</v>
      </c>
      <c r="C188" s="8">
        <v>3.5</v>
      </c>
      <c r="D188" s="32">
        <f t="shared" si="4"/>
        <v>3.1844468637792964</v>
      </c>
      <c r="E188" s="1">
        <f t="shared" si="5"/>
        <v>9.9573781778721906E-2</v>
      </c>
      <c r="F188" s="29"/>
      <c r="H188" s="29">
        <v>167</v>
      </c>
      <c r="I188" s="38">
        <v>2.9788692022319925</v>
      </c>
      <c r="J188" s="1">
        <v>-0.73886920223199226</v>
      </c>
      <c r="K188" s="29">
        <v>-0.73204178327056313</v>
      </c>
      <c r="L188" s="29">
        <v>68.237704918032776</v>
      </c>
      <c r="M188" s="1">
        <v>3.39</v>
      </c>
      <c r="N188" s="1">
        <v>0.54592769800693941</v>
      </c>
      <c r="O188" s="1"/>
    </row>
    <row r="189" spans="1:15" x14ac:dyDescent="0.3">
      <c r="A189" s="1">
        <v>5</v>
      </c>
      <c r="B189" s="7">
        <v>30.46</v>
      </c>
      <c r="C189" s="8">
        <v>2</v>
      </c>
      <c r="D189" s="32">
        <f t="shared" si="4"/>
        <v>4.4559819526773676</v>
      </c>
      <c r="E189" s="1">
        <f t="shared" si="5"/>
        <v>6.0318473518769355</v>
      </c>
      <c r="F189" s="29"/>
      <c r="H189" s="29">
        <v>168</v>
      </c>
      <c r="I189" s="38">
        <v>4.3792758293269181</v>
      </c>
      <c r="J189" s="1">
        <v>0.12072417067308194</v>
      </c>
      <c r="K189" s="29">
        <v>0.11960863562375745</v>
      </c>
      <c r="L189" s="29">
        <v>68.647540983606547</v>
      </c>
      <c r="M189" s="1">
        <v>3.4</v>
      </c>
      <c r="N189" s="1">
        <v>1.4574325384703418E-2</v>
      </c>
      <c r="O189" s="1"/>
    </row>
    <row r="190" spans="1:15" x14ac:dyDescent="0.3">
      <c r="A190" s="1">
        <v>3</v>
      </c>
      <c r="B190" s="7">
        <v>18.149999999999999</v>
      </c>
      <c r="C190" s="8">
        <v>3.5</v>
      </c>
      <c r="D190" s="32">
        <f t="shared" si="4"/>
        <v>2.9294851874905548</v>
      </c>
      <c r="E190" s="1">
        <f t="shared" si="5"/>
        <v>0.32548715129268746</v>
      </c>
      <c r="F190" s="29"/>
      <c r="H190" s="29">
        <v>169</v>
      </c>
      <c r="I190" s="38">
        <v>2.0359745666478104</v>
      </c>
      <c r="J190" s="1">
        <v>-0.4259745666478103</v>
      </c>
      <c r="K190" s="29">
        <v>-0.42203840741335802</v>
      </c>
      <c r="L190" s="29">
        <v>69.057377049180317</v>
      </c>
      <c r="M190" s="1">
        <v>3.41</v>
      </c>
      <c r="N190" s="1">
        <v>0.1814543314307894</v>
      </c>
      <c r="O190" s="1"/>
    </row>
    <row r="191" spans="1:15" x14ac:dyDescent="0.3">
      <c r="A191" s="1">
        <v>3</v>
      </c>
      <c r="B191" s="7">
        <v>23.1</v>
      </c>
      <c r="C191" s="8">
        <v>4</v>
      </c>
      <c r="D191" s="32">
        <f t="shared" si="4"/>
        <v>3.3884162048102899</v>
      </c>
      <c r="E191" s="1">
        <f t="shared" si="5"/>
        <v>0.37403473853864921</v>
      </c>
      <c r="F191" s="29"/>
      <c r="H191" s="29">
        <v>170</v>
      </c>
      <c r="I191" s="38">
        <v>2.0396831001211009</v>
      </c>
      <c r="J191" s="1">
        <v>-3.9683100121100878E-2</v>
      </c>
      <c r="K191" s="29">
        <v>-3.9316413907361486E-2</v>
      </c>
      <c r="L191" s="29">
        <v>69.467213114754088</v>
      </c>
      <c r="M191" s="1">
        <v>3.48</v>
      </c>
      <c r="N191" s="1">
        <v>1.5747484352213166E-3</v>
      </c>
      <c r="O191" s="1"/>
    </row>
    <row r="192" spans="1:15" x14ac:dyDescent="0.3">
      <c r="A192" s="1">
        <v>2</v>
      </c>
      <c r="B192" s="7">
        <v>15.69</v>
      </c>
      <c r="C192" s="8">
        <v>1.5</v>
      </c>
      <c r="D192" s="32">
        <f t="shared" si="4"/>
        <v>2.508812584492385</v>
      </c>
      <c r="E192" s="1">
        <f t="shared" si="5"/>
        <v>1.0177028306302054</v>
      </c>
      <c r="F192" s="29"/>
      <c r="H192" s="29">
        <v>171</v>
      </c>
      <c r="I192" s="38">
        <v>5.9575027684324819</v>
      </c>
      <c r="J192" s="1">
        <v>4.0424972315675181</v>
      </c>
      <c r="K192" s="29">
        <v>4.0051430934237775</v>
      </c>
      <c r="L192" s="29">
        <v>69.877049180327859</v>
      </c>
      <c r="M192" s="1">
        <v>3.48</v>
      </c>
      <c r="N192" s="1">
        <v>16.341783867231062</v>
      </c>
      <c r="O192" s="1"/>
    </row>
    <row r="193" spans="1:15" x14ac:dyDescent="0.3">
      <c r="A193" s="1">
        <v>2</v>
      </c>
      <c r="B193" s="7">
        <v>19.809999999999999</v>
      </c>
      <c r="C193" s="8">
        <v>4.1900000000000004</v>
      </c>
      <c r="D193" s="32">
        <f t="shared" si="4"/>
        <v>2.8907915322413356</v>
      </c>
      <c r="E193" s="1">
        <f t="shared" si="5"/>
        <v>1.6879426426958177</v>
      </c>
      <c r="F193" s="29"/>
      <c r="H193" s="29">
        <v>172</v>
      </c>
      <c r="I193" s="38">
        <v>2.5199381849122577</v>
      </c>
      <c r="J193" s="1">
        <v>0.6400618150877424</v>
      </c>
      <c r="K193" s="29">
        <v>0.63414741216011206</v>
      </c>
      <c r="L193" s="29">
        <v>70.28688524590163</v>
      </c>
      <c r="M193" s="1">
        <v>3.48</v>
      </c>
      <c r="N193" s="1">
        <v>0.40967912713341592</v>
      </c>
      <c r="O193" s="1"/>
    </row>
    <row r="194" spans="1:15" x14ac:dyDescent="0.3">
      <c r="A194" s="1">
        <v>2</v>
      </c>
      <c r="B194" s="7">
        <v>28.44</v>
      </c>
      <c r="C194" s="8">
        <v>2.56</v>
      </c>
      <c r="D194" s="32">
        <f t="shared" si="4"/>
        <v>3.6909076291038225</v>
      </c>
      <c r="E194" s="1">
        <f t="shared" si="5"/>
        <v>1.2789520655652289</v>
      </c>
      <c r="F194" s="29"/>
      <c r="H194" s="29">
        <v>173</v>
      </c>
      <c r="I194" s="38">
        <v>1.7263120216280297</v>
      </c>
      <c r="J194" s="1">
        <v>3.4236879783719707</v>
      </c>
      <c r="K194" s="29">
        <v>3.3920518617887616</v>
      </c>
      <c r="L194" s="29">
        <v>70.6967213114754</v>
      </c>
      <c r="M194" s="1">
        <v>3.5</v>
      </c>
      <c r="N194" s="1">
        <v>11.721639373248752</v>
      </c>
      <c r="O194" s="1"/>
    </row>
    <row r="195" spans="1:15" x14ac:dyDescent="0.3">
      <c r="A195" s="1">
        <v>2</v>
      </c>
      <c r="B195" s="7">
        <v>15.48</v>
      </c>
      <c r="C195" s="8">
        <v>2.02</v>
      </c>
      <c r="D195" s="32">
        <f t="shared" ref="D195:D245" si="6">SUM(PRODUCT(A195,$I$17),PRODUCT(B195,$I$18),$I$16)</f>
        <v>2.4893427837576083</v>
      </c>
      <c r="E195" s="1">
        <f t="shared" ref="E195:E245" si="7">POWER((C195-D195),2)</f>
        <v>0.22028264866534106</v>
      </c>
      <c r="F195" s="29"/>
      <c r="H195" s="29">
        <v>174</v>
      </c>
      <c r="I195" s="38">
        <v>4.0070601077018626</v>
      </c>
      <c r="J195" s="1">
        <v>-0.82706010770186245</v>
      </c>
      <c r="K195" s="29">
        <v>-0.81941777284136519</v>
      </c>
      <c r="L195" s="29">
        <v>71.106557377049171</v>
      </c>
      <c r="M195" s="1">
        <v>3.5</v>
      </c>
      <c r="N195" s="1">
        <v>0.68402842175181489</v>
      </c>
      <c r="O195" s="1"/>
    </row>
    <row r="196" spans="1:15" x14ac:dyDescent="0.3">
      <c r="A196" s="1">
        <v>2</v>
      </c>
      <c r="B196" s="7">
        <v>16.579999999999998</v>
      </c>
      <c r="C196" s="8">
        <v>4</v>
      </c>
      <c r="D196" s="32">
        <f t="shared" si="6"/>
        <v>2.5913274542731046</v>
      </c>
      <c r="E196" s="1">
        <f t="shared" si="7"/>
        <v>1.9843583410846921</v>
      </c>
      <c r="F196" s="29"/>
      <c r="H196" s="29">
        <v>175</v>
      </c>
      <c r="I196" s="38">
        <v>2.6135786551128501</v>
      </c>
      <c r="J196" s="1">
        <v>1.3864213448871499</v>
      </c>
      <c r="K196" s="29">
        <v>1.3736103096592387</v>
      </c>
      <c r="L196" s="29">
        <v>71.516393442622942</v>
      </c>
      <c r="M196" s="1">
        <v>3.5</v>
      </c>
      <c r="N196" s="1">
        <v>1.9221641455586946</v>
      </c>
      <c r="O196" s="1"/>
    </row>
    <row r="197" spans="1:15" x14ac:dyDescent="0.3">
      <c r="A197" s="1">
        <v>2</v>
      </c>
      <c r="B197" s="7">
        <v>7.56</v>
      </c>
      <c r="C197" s="8">
        <v>1.44</v>
      </c>
      <c r="D197" s="32">
        <f t="shared" si="6"/>
        <v>1.7550531560460332</v>
      </c>
      <c r="E197" s="1">
        <f t="shared" si="7"/>
        <v>9.9258491134566168E-2</v>
      </c>
      <c r="F197" s="29"/>
      <c r="H197" s="29">
        <v>176</v>
      </c>
      <c r="I197" s="38">
        <v>4.1044091113757455</v>
      </c>
      <c r="J197" s="1">
        <v>-0.99440911137574561</v>
      </c>
      <c r="K197" s="29">
        <v>-0.98522041112688474</v>
      </c>
      <c r="L197" s="29">
        <v>71.926229508196712</v>
      </c>
      <c r="M197" s="1">
        <v>3.5</v>
      </c>
      <c r="N197" s="1">
        <v>0.98884948078709822</v>
      </c>
      <c r="O197" s="1"/>
    </row>
    <row r="198" spans="1:15" x14ac:dyDescent="0.3">
      <c r="A198" s="1">
        <v>2</v>
      </c>
      <c r="B198" s="7">
        <v>10.34</v>
      </c>
      <c r="C198" s="8">
        <v>2</v>
      </c>
      <c r="D198" s="32">
        <f t="shared" si="6"/>
        <v>2.0127962324397424</v>
      </c>
      <c r="E198" s="1">
        <f t="shared" si="7"/>
        <v>1.6374356465191501E-4</v>
      </c>
      <c r="F198" s="29"/>
      <c r="H198" s="29">
        <v>177</v>
      </c>
      <c r="I198" s="38">
        <v>2.7127819255233785</v>
      </c>
      <c r="J198" s="1">
        <v>-0.71278192552337849</v>
      </c>
      <c r="K198" s="29">
        <v>-0.70619556244452553</v>
      </c>
      <c r="L198" s="29">
        <v>72.336065573770483</v>
      </c>
      <c r="M198" s="1">
        <v>3.5</v>
      </c>
      <c r="N198" s="1">
        <v>0.5080580733528145</v>
      </c>
      <c r="O198" s="1"/>
    </row>
    <row r="199" spans="1:15" x14ac:dyDescent="0.3">
      <c r="A199" s="1">
        <v>4</v>
      </c>
      <c r="B199" s="7">
        <v>43.11</v>
      </c>
      <c r="C199" s="8">
        <v>5</v>
      </c>
      <c r="D199" s="32">
        <f t="shared" si="6"/>
        <v>5.4362078692147913</v>
      </c>
      <c r="E199" s="1">
        <f t="shared" si="7"/>
        <v>0.19027730516490846</v>
      </c>
      <c r="F199" s="29"/>
      <c r="H199" s="29">
        <v>178</v>
      </c>
      <c r="I199" s="38">
        <v>2.3966294469253393</v>
      </c>
      <c r="J199" s="1">
        <v>-0.3966294469253393</v>
      </c>
      <c r="K199" s="29">
        <v>-0.39296444722252455</v>
      </c>
      <c r="L199" s="29">
        <v>72.745901639344254</v>
      </c>
      <c r="M199" s="1">
        <v>3.5</v>
      </c>
      <c r="N199" s="1">
        <v>0.15731491816830021</v>
      </c>
      <c r="O199" s="1"/>
    </row>
    <row r="200" spans="1:15" x14ac:dyDescent="0.3">
      <c r="A200" s="1">
        <v>2</v>
      </c>
      <c r="B200" s="7">
        <v>13</v>
      </c>
      <c r="C200" s="8">
        <v>2</v>
      </c>
      <c r="D200" s="32">
        <f t="shared" si="6"/>
        <v>2.2594137084135797</v>
      </c>
      <c r="E200" s="1">
        <f t="shared" si="7"/>
        <v>6.7295472112885751E-2</v>
      </c>
      <c r="F200" s="29"/>
      <c r="H200" s="29">
        <v>179</v>
      </c>
      <c r="I200" s="38">
        <v>1.9441883631838635</v>
      </c>
      <c r="J200" s="1">
        <v>2.0558116368161365</v>
      </c>
      <c r="K200" s="29">
        <v>2.0368151929152063</v>
      </c>
      <c r="L200" s="29">
        <v>73.155737704918025</v>
      </c>
      <c r="M200" s="1">
        <v>3.5</v>
      </c>
      <c r="N200" s="1">
        <v>4.2263614860686447</v>
      </c>
      <c r="O200" s="1"/>
    </row>
    <row r="201" spans="1:15" x14ac:dyDescent="0.3">
      <c r="A201" s="1">
        <v>2</v>
      </c>
      <c r="B201" s="7">
        <v>13.51</v>
      </c>
      <c r="C201" s="8">
        <v>2</v>
      </c>
      <c r="D201" s="32">
        <f t="shared" si="6"/>
        <v>2.3066975101980369</v>
      </c>
      <c r="E201" s="1">
        <f t="shared" si="7"/>
        <v>9.4063362761674971E-2</v>
      </c>
      <c r="F201" s="29"/>
      <c r="H201" s="29">
        <v>180</v>
      </c>
      <c r="I201" s="38">
        <v>4.2648031840955722</v>
      </c>
      <c r="J201" s="1">
        <v>-0.71480318409557242</v>
      </c>
      <c r="K201" s="29">
        <v>-0.70819814385564683</v>
      </c>
      <c r="L201" s="29">
        <v>73.565573770491795</v>
      </c>
      <c r="M201" s="1">
        <v>3.5</v>
      </c>
      <c r="N201" s="1">
        <v>0.51094359199316752</v>
      </c>
      <c r="O201" s="1"/>
    </row>
    <row r="202" spans="1:15" x14ac:dyDescent="0.3">
      <c r="A202" s="1">
        <v>3</v>
      </c>
      <c r="B202" s="7">
        <v>18.71</v>
      </c>
      <c r="C202" s="8">
        <v>4</v>
      </c>
      <c r="D202" s="32">
        <f t="shared" si="6"/>
        <v>2.9814046561166263</v>
      </c>
      <c r="E202" s="1">
        <f t="shared" si="7"/>
        <v>1.0375364745808884</v>
      </c>
      <c r="F202" s="29"/>
      <c r="H202" s="29">
        <v>181</v>
      </c>
      <c r="I202" s="38">
        <v>4.6518530396137905</v>
      </c>
      <c r="J202" s="1">
        <v>-0.97185303961379033</v>
      </c>
      <c r="K202" s="29">
        <v>-0.96287276563520541</v>
      </c>
      <c r="L202" s="29">
        <v>73.975409836065566</v>
      </c>
      <c r="M202" s="1">
        <v>3.5</v>
      </c>
      <c r="N202" s="1">
        <v>0.94449833060656352</v>
      </c>
      <c r="O202" s="1"/>
    </row>
    <row r="203" spans="1:15" x14ac:dyDescent="0.3">
      <c r="A203" s="1">
        <v>2</v>
      </c>
      <c r="B203" s="7">
        <v>12.74</v>
      </c>
      <c r="C203" s="8">
        <v>2.0099999999999998</v>
      </c>
      <c r="D203" s="32">
        <f t="shared" si="6"/>
        <v>2.2353082408371896</v>
      </c>
      <c r="E203" s="1">
        <f t="shared" si="7"/>
        <v>5.0763803389149126E-2</v>
      </c>
      <c r="F203" s="29"/>
      <c r="H203" s="29">
        <v>182</v>
      </c>
      <c r="I203" s="38">
        <v>3.217142477890925</v>
      </c>
      <c r="J203" s="1">
        <v>2.4328575221090754</v>
      </c>
      <c r="K203" s="29">
        <v>2.4103770377057101</v>
      </c>
      <c r="L203" s="29">
        <v>74.385245901639337</v>
      </c>
      <c r="M203" s="1">
        <v>3.51</v>
      </c>
      <c r="N203" s="1">
        <v>5.9187957228827122</v>
      </c>
      <c r="O203" s="1"/>
    </row>
    <row r="204" spans="1:15" x14ac:dyDescent="0.3">
      <c r="A204" s="1">
        <v>2</v>
      </c>
      <c r="B204" s="7">
        <v>13</v>
      </c>
      <c r="C204" s="8">
        <v>2</v>
      </c>
      <c r="D204" s="32">
        <f t="shared" si="6"/>
        <v>2.2594137084135797</v>
      </c>
      <c r="E204" s="1">
        <f t="shared" si="7"/>
        <v>6.7295472112885751E-2</v>
      </c>
      <c r="F204" s="29"/>
      <c r="H204" s="29">
        <v>183</v>
      </c>
      <c r="I204" s="38">
        <v>5.4512879493282895</v>
      </c>
      <c r="J204" s="1">
        <v>-1.9512879493282895</v>
      </c>
      <c r="K204" s="29">
        <v>-1.9332573421461143</v>
      </c>
      <c r="L204" s="29">
        <v>74.795081967213108</v>
      </c>
      <c r="M204" s="1">
        <v>3.55</v>
      </c>
      <c r="N204" s="1">
        <v>3.8075246611937978</v>
      </c>
      <c r="O204" s="1"/>
    </row>
    <row r="205" spans="1:15" x14ac:dyDescent="0.3">
      <c r="A205" s="1">
        <v>2</v>
      </c>
      <c r="B205" s="7">
        <v>16.399999999999999</v>
      </c>
      <c r="C205" s="8">
        <v>2.5</v>
      </c>
      <c r="D205" s="32">
        <f t="shared" si="6"/>
        <v>2.5746390536432959</v>
      </c>
      <c r="E205" s="1">
        <f t="shared" si="7"/>
        <v>5.570988328766807E-3</v>
      </c>
      <c r="F205" s="29"/>
      <c r="H205" s="29">
        <v>184</v>
      </c>
      <c r="I205" s="38">
        <v>3.5875039327793359</v>
      </c>
      <c r="J205" s="1">
        <v>2.9124960672206641</v>
      </c>
      <c r="K205" s="29">
        <v>2.8855835489909669</v>
      </c>
      <c r="L205" s="29">
        <v>75.204918032786878</v>
      </c>
      <c r="M205" s="1">
        <v>3.6</v>
      </c>
      <c r="N205" s="1">
        <v>8.4826333415758377</v>
      </c>
      <c r="O205" s="1"/>
    </row>
    <row r="206" spans="1:15" x14ac:dyDescent="0.3">
      <c r="A206" s="1">
        <v>4</v>
      </c>
      <c r="B206" s="7">
        <v>20.53</v>
      </c>
      <c r="C206" s="8">
        <v>4</v>
      </c>
      <c r="D206" s="32">
        <f t="shared" si="6"/>
        <v>3.3427407235421436</v>
      </c>
      <c r="E206" s="1">
        <f t="shared" si="7"/>
        <v>0.43198975648990495</v>
      </c>
      <c r="F206" s="29"/>
      <c r="H206" s="29">
        <v>185</v>
      </c>
      <c r="I206" s="38">
        <v>4.813666138142608</v>
      </c>
      <c r="J206" s="1">
        <v>-1.813666138142608</v>
      </c>
      <c r="K206" s="29">
        <v>-1.7969072063264611</v>
      </c>
      <c r="L206" s="29">
        <v>75.614754098360649</v>
      </c>
      <c r="M206" s="1">
        <v>3.61</v>
      </c>
      <c r="N206" s="1">
        <v>3.2893848606451153</v>
      </c>
      <c r="O206" s="1"/>
    </row>
    <row r="207" spans="1:15" x14ac:dyDescent="0.3">
      <c r="A207" s="1">
        <v>3</v>
      </c>
      <c r="B207" s="7">
        <v>16.47</v>
      </c>
      <c r="C207" s="8">
        <v>3.23</v>
      </c>
      <c r="D207" s="32">
        <f t="shared" si="6"/>
        <v>2.7737267816123419</v>
      </c>
      <c r="E207" s="1">
        <f t="shared" si="7"/>
        <v>0.20818524981783154</v>
      </c>
      <c r="F207" s="29"/>
      <c r="H207" s="29">
        <v>186</v>
      </c>
      <c r="I207" s="38">
        <v>3.5501726518260943</v>
      </c>
      <c r="J207" s="1">
        <v>1.4498273481739057</v>
      </c>
      <c r="K207" s="29">
        <v>1.436430418517318</v>
      </c>
      <c r="L207" s="29">
        <v>76.02459016393442</v>
      </c>
      <c r="M207" s="1">
        <v>3.68</v>
      </c>
      <c r="N207" s="1">
        <v>2.101999339512981</v>
      </c>
      <c r="O207" s="1"/>
    </row>
    <row r="208" spans="1:15" x14ac:dyDescent="0.3">
      <c r="A208" s="1">
        <v>3</v>
      </c>
      <c r="B208" s="7">
        <v>26.59</v>
      </c>
      <c r="C208" s="8">
        <v>3.41</v>
      </c>
      <c r="D208" s="32">
        <f t="shared" si="6"/>
        <v>3.7119857503549101</v>
      </c>
      <c r="E208" s="1">
        <f t="shared" si="7"/>
        <v>9.1195393417417989E-2</v>
      </c>
      <c r="F208" s="29"/>
      <c r="H208" s="29">
        <v>187</v>
      </c>
      <c r="I208" s="38">
        <v>3.1844468637792969</v>
      </c>
      <c r="J208" s="1">
        <v>0.31555313622070313</v>
      </c>
      <c r="K208" s="29">
        <v>0.31263731098524389</v>
      </c>
      <c r="L208" s="29">
        <v>76.43442622950819</v>
      </c>
      <c r="M208" s="1">
        <v>3.71</v>
      </c>
      <c r="N208" s="1">
        <v>9.9573781778721906E-2</v>
      </c>
      <c r="O208" s="1"/>
    </row>
    <row r="209" spans="1:15" x14ac:dyDescent="0.3">
      <c r="A209" s="1">
        <v>4</v>
      </c>
      <c r="B209" s="7">
        <v>38.729999999999997</v>
      </c>
      <c r="C209" s="8">
        <v>3</v>
      </c>
      <c r="D209" s="32">
        <f t="shared" si="6"/>
        <v>5.0301234538894501</v>
      </c>
      <c r="E209" s="1">
        <f t="shared" si="7"/>
        <v>4.1214012380320302</v>
      </c>
      <c r="F209" s="29"/>
      <c r="H209" s="29">
        <v>188</v>
      </c>
      <c r="I209" s="38">
        <v>4.4559819526773685</v>
      </c>
      <c r="J209" s="1">
        <v>-2.4559819526773685</v>
      </c>
      <c r="K209" s="29">
        <v>-2.4332877901625634</v>
      </c>
      <c r="L209" s="29">
        <v>76.844262295081961</v>
      </c>
      <c r="M209" s="1">
        <v>3.75</v>
      </c>
      <c r="N209" s="1">
        <v>6.0318473518769355</v>
      </c>
      <c r="O209" s="1"/>
    </row>
    <row r="210" spans="1:15" x14ac:dyDescent="0.3">
      <c r="A210" s="1">
        <v>2</v>
      </c>
      <c r="B210" s="7">
        <v>24.27</v>
      </c>
      <c r="C210" s="8">
        <v>2.0299999999999998</v>
      </c>
      <c r="D210" s="32">
        <f t="shared" si="6"/>
        <v>3.3042930145132581</v>
      </c>
      <c r="E210" s="1">
        <f t="shared" si="7"/>
        <v>1.6238226868372871</v>
      </c>
      <c r="F210" s="29"/>
      <c r="H210" s="29">
        <v>189</v>
      </c>
      <c r="I210" s="38">
        <v>2.9294851874905552</v>
      </c>
      <c r="J210" s="1">
        <v>0.5705148125094448</v>
      </c>
      <c r="K210" s="29">
        <v>0.56524304906750311</v>
      </c>
      <c r="L210" s="29">
        <v>77.254098360655732</v>
      </c>
      <c r="M210" s="1">
        <v>3.76</v>
      </c>
      <c r="N210" s="1">
        <v>0.32548715129268746</v>
      </c>
      <c r="O210" s="1"/>
    </row>
    <row r="211" spans="1:15" x14ac:dyDescent="0.3">
      <c r="A211" s="1">
        <v>2</v>
      </c>
      <c r="B211" s="7">
        <v>12.76</v>
      </c>
      <c r="C211" s="8">
        <v>2.23</v>
      </c>
      <c r="D211" s="32">
        <f t="shared" si="6"/>
        <v>2.2371625075738351</v>
      </c>
      <c r="E211" s="1">
        <f t="shared" si="7"/>
        <v>5.1301514745244817E-5</v>
      </c>
      <c r="F211" s="29"/>
      <c r="H211" s="29">
        <v>190</v>
      </c>
      <c r="I211" s="38">
        <v>3.3884162048102899</v>
      </c>
      <c r="J211" s="1">
        <v>0.61158379518971007</v>
      </c>
      <c r="K211" s="29">
        <v>0.60593253947737624</v>
      </c>
      <c r="L211" s="29">
        <v>77.663934426229503</v>
      </c>
      <c r="M211" s="1">
        <v>3.76</v>
      </c>
      <c r="N211" s="1">
        <v>0.37403473853864921</v>
      </c>
      <c r="O211" s="1"/>
    </row>
    <row r="212" spans="1:15" x14ac:dyDescent="0.3">
      <c r="A212" s="1">
        <v>3</v>
      </c>
      <c r="B212" s="7">
        <v>30.06</v>
      </c>
      <c r="C212" s="8">
        <v>2</v>
      </c>
      <c r="D212" s="32">
        <f t="shared" si="6"/>
        <v>4.0337010291628861</v>
      </c>
      <c r="E212" s="1">
        <f t="shared" si="7"/>
        <v>4.135939876018182</v>
      </c>
      <c r="F212" s="29"/>
      <c r="H212" s="29">
        <v>191</v>
      </c>
      <c r="I212" s="38">
        <v>2.5088125844923854</v>
      </c>
      <c r="J212" s="1">
        <v>-1.0088125844923854</v>
      </c>
      <c r="K212" s="29">
        <v>-0.99949079093665794</v>
      </c>
      <c r="L212" s="29">
        <v>78.073770491803273</v>
      </c>
      <c r="M212" s="1">
        <v>3.92</v>
      </c>
      <c r="N212" s="1">
        <v>1.0177028306302054</v>
      </c>
      <c r="O212" s="1"/>
    </row>
    <row r="213" spans="1:15" x14ac:dyDescent="0.3">
      <c r="A213" s="1">
        <v>4</v>
      </c>
      <c r="B213" s="7">
        <v>25.89</v>
      </c>
      <c r="C213" s="8">
        <v>5.16</v>
      </c>
      <c r="D213" s="32">
        <f t="shared" si="6"/>
        <v>3.8396842089631091</v>
      </c>
      <c r="E213" s="1">
        <f t="shared" si="7"/>
        <v>1.7432337880613713</v>
      </c>
      <c r="F213" s="29"/>
      <c r="H213" s="29">
        <v>192</v>
      </c>
      <c r="I213" s="38">
        <v>2.890791532241336</v>
      </c>
      <c r="J213" s="1">
        <v>1.2992084677586644</v>
      </c>
      <c r="K213" s="29">
        <v>1.2872033110938184</v>
      </c>
      <c r="L213" s="29">
        <v>78.483606557377044</v>
      </c>
      <c r="M213" s="1">
        <v>4</v>
      </c>
      <c r="N213" s="1">
        <v>1.6879426426958177</v>
      </c>
      <c r="O213" s="1"/>
    </row>
    <row r="214" spans="1:15" x14ac:dyDescent="0.3">
      <c r="A214" s="1">
        <v>4</v>
      </c>
      <c r="B214" s="7">
        <v>48.33</v>
      </c>
      <c r="C214" s="8">
        <v>9</v>
      </c>
      <c r="D214" s="32">
        <f t="shared" si="6"/>
        <v>5.9201714874792382</v>
      </c>
      <c r="E214" s="1">
        <f t="shared" si="7"/>
        <v>9.485343666535849</v>
      </c>
      <c r="F214" s="29"/>
      <c r="H214" s="29">
        <v>193</v>
      </c>
      <c r="I214" s="38">
        <v>3.690907629103823</v>
      </c>
      <c r="J214" s="1">
        <v>-1.1309076291038229</v>
      </c>
      <c r="K214" s="29">
        <v>-1.1204576331272089</v>
      </c>
      <c r="L214" s="29">
        <v>78.893442622950815</v>
      </c>
      <c r="M214" s="1">
        <v>4</v>
      </c>
      <c r="N214" s="1">
        <v>1.2789520655652289</v>
      </c>
      <c r="O214" s="1"/>
    </row>
    <row r="215" spans="1:15" x14ac:dyDescent="0.3">
      <c r="A215" s="1">
        <v>2</v>
      </c>
      <c r="B215" s="7">
        <v>13.27</v>
      </c>
      <c r="C215" s="8">
        <v>2.5</v>
      </c>
      <c r="D215" s="32">
        <f t="shared" si="6"/>
        <v>2.2844463093582923</v>
      </c>
      <c r="E215" s="1">
        <f t="shared" si="7"/>
        <v>4.6463393549261031E-2</v>
      </c>
      <c r="F215" s="29"/>
      <c r="H215" s="29">
        <v>194</v>
      </c>
      <c r="I215" s="38">
        <v>2.4893427837576088</v>
      </c>
      <c r="J215" s="1">
        <v>-0.46934278375760874</v>
      </c>
      <c r="K215" s="29">
        <v>-0.46500588649411917</v>
      </c>
      <c r="L215" s="29">
        <v>79.303278688524586</v>
      </c>
      <c r="M215" s="1">
        <v>4</v>
      </c>
      <c r="N215" s="1">
        <v>0.22028264866534106</v>
      </c>
      <c r="O215" s="1"/>
    </row>
    <row r="216" spans="1:15" x14ac:dyDescent="0.3">
      <c r="A216" s="1">
        <v>3</v>
      </c>
      <c r="B216" s="7">
        <v>28.17</v>
      </c>
      <c r="C216" s="8">
        <v>6.5</v>
      </c>
      <c r="D216" s="32">
        <f t="shared" si="6"/>
        <v>3.8584728225498965</v>
      </c>
      <c r="E216" s="1">
        <f t="shared" si="7"/>
        <v>6.9776658292075107</v>
      </c>
      <c r="F216" s="29"/>
      <c r="H216" s="29">
        <v>195</v>
      </c>
      <c r="I216" s="38">
        <v>2.5913274542731051</v>
      </c>
      <c r="J216" s="1">
        <v>1.4086725457268949</v>
      </c>
      <c r="K216" s="29">
        <v>1.395655901346418</v>
      </c>
      <c r="L216" s="29">
        <v>79.713114754098356</v>
      </c>
      <c r="M216" s="1">
        <v>4</v>
      </c>
      <c r="N216" s="1">
        <v>1.9843583410846921</v>
      </c>
      <c r="O216" s="1"/>
    </row>
    <row r="217" spans="1:15" x14ac:dyDescent="0.3">
      <c r="A217" s="1">
        <v>2</v>
      </c>
      <c r="B217" s="7">
        <v>12.9</v>
      </c>
      <c r="C217" s="8">
        <v>1.1000000000000001</v>
      </c>
      <c r="D217" s="32">
        <f t="shared" si="6"/>
        <v>2.2501423747303528</v>
      </c>
      <c r="E217" s="1">
        <f t="shared" si="7"/>
        <v>1.3228274821503752</v>
      </c>
      <c r="F217" s="29"/>
      <c r="H217" s="29">
        <v>196</v>
      </c>
      <c r="I217" s="38">
        <v>1.7550531560460332</v>
      </c>
      <c r="J217" s="1">
        <v>-0.31505315604603323</v>
      </c>
      <c r="K217" s="29">
        <v>-0.31214195080842283</v>
      </c>
      <c r="L217" s="29">
        <v>80.122950819672127</v>
      </c>
      <c r="M217" s="1">
        <v>4</v>
      </c>
      <c r="N217" s="1">
        <v>9.9258491134566168E-2</v>
      </c>
      <c r="O217" s="1"/>
    </row>
    <row r="218" spans="1:15" x14ac:dyDescent="0.3">
      <c r="A218" s="1">
        <v>5</v>
      </c>
      <c r="B218" s="7">
        <v>28.15</v>
      </c>
      <c r="C218" s="8">
        <v>3</v>
      </c>
      <c r="D218" s="32">
        <f t="shared" si="6"/>
        <v>4.2418141445948248</v>
      </c>
      <c r="E218" s="1">
        <f t="shared" si="7"/>
        <v>1.5421023697157763</v>
      </c>
      <c r="F218" s="29"/>
      <c r="H218" s="29">
        <v>197</v>
      </c>
      <c r="I218" s="38">
        <v>2.0127962324397428</v>
      </c>
      <c r="J218" s="1">
        <v>-1.2796232439742816E-2</v>
      </c>
      <c r="K218" s="29">
        <v>-1.2677990618687018E-2</v>
      </c>
      <c r="L218" s="29">
        <v>80.532786885245898</v>
      </c>
      <c r="M218" s="1">
        <v>4</v>
      </c>
      <c r="N218" s="1">
        <v>1.6374356465191501E-4</v>
      </c>
      <c r="O218" s="1"/>
    </row>
    <row r="219" spans="1:15" x14ac:dyDescent="0.3">
      <c r="A219" s="1">
        <v>2</v>
      </c>
      <c r="B219" s="7">
        <v>11.59</v>
      </c>
      <c r="C219" s="8">
        <v>1.5</v>
      </c>
      <c r="D219" s="32">
        <f t="shared" si="6"/>
        <v>2.1286879034800794</v>
      </c>
      <c r="E219" s="1">
        <f t="shared" si="7"/>
        <v>0.39524847998217766</v>
      </c>
      <c r="F219" s="29"/>
      <c r="H219" s="29">
        <v>198</v>
      </c>
      <c r="I219" s="38">
        <v>5.4362078692147922</v>
      </c>
      <c r="J219" s="1">
        <v>-0.43620786921479215</v>
      </c>
      <c r="K219" s="29">
        <v>-0.43217715055930461</v>
      </c>
      <c r="L219" s="29">
        <v>80.942622950819668</v>
      </c>
      <c r="M219" s="1">
        <v>4</v>
      </c>
      <c r="N219" s="1">
        <v>0.19027730516490846</v>
      </c>
      <c r="O219" s="1"/>
    </row>
    <row r="220" spans="1:15" x14ac:dyDescent="0.3">
      <c r="A220" s="1">
        <v>2</v>
      </c>
      <c r="B220" s="7">
        <v>7.74</v>
      </c>
      <c r="C220" s="8">
        <v>1.44</v>
      </c>
      <c r="D220" s="32">
        <f t="shared" si="6"/>
        <v>1.7717415566758414</v>
      </c>
      <c r="E220" s="1">
        <f t="shared" si="7"/>
        <v>0.11005246042571055</v>
      </c>
      <c r="F220" s="29"/>
      <c r="H220" s="29">
        <v>199</v>
      </c>
      <c r="I220" s="38">
        <v>2.2594137084135801</v>
      </c>
      <c r="J220" s="1">
        <v>-0.25941370841358014</v>
      </c>
      <c r="K220" s="29">
        <v>-0.25701663181825407</v>
      </c>
      <c r="L220" s="29">
        <v>81.352459016393439</v>
      </c>
      <c r="M220" s="1">
        <v>4</v>
      </c>
      <c r="N220" s="1">
        <v>6.7295472112885751E-2</v>
      </c>
      <c r="O220" s="1"/>
    </row>
    <row r="221" spans="1:15" x14ac:dyDescent="0.3">
      <c r="A221" s="1">
        <v>4</v>
      </c>
      <c r="B221" s="7">
        <v>30.14</v>
      </c>
      <c r="C221" s="8">
        <v>3.09</v>
      </c>
      <c r="D221" s="32">
        <f t="shared" si="6"/>
        <v>4.2337158905002541</v>
      </c>
      <c r="E221" s="1">
        <f t="shared" si="7"/>
        <v>1.3080860381827895</v>
      </c>
      <c r="F221" s="29"/>
      <c r="H221" s="29">
        <v>200</v>
      </c>
      <c r="I221" s="38">
        <v>2.3066975101980374</v>
      </c>
      <c r="J221" s="1">
        <v>-0.30669751019803737</v>
      </c>
      <c r="K221" s="29">
        <v>-0.30386351415350915</v>
      </c>
      <c r="L221" s="29">
        <v>81.76229508196721</v>
      </c>
      <c r="M221" s="1">
        <v>4</v>
      </c>
      <c r="N221" s="1">
        <v>9.4063362761674971E-2</v>
      </c>
      <c r="O221" s="1"/>
    </row>
    <row r="222" spans="1:15" x14ac:dyDescent="0.3">
      <c r="A222" s="1">
        <v>2</v>
      </c>
      <c r="B222" s="7">
        <v>12.16</v>
      </c>
      <c r="C222" s="8">
        <v>2.2000000000000002</v>
      </c>
      <c r="D222" s="32">
        <f t="shared" si="6"/>
        <v>2.181534505474473</v>
      </c>
      <c r="E222" s="1">
        <f t="shared" si="7"/>
        <v>3.409744880722731E-4</v>
      </c>
      <c r="F222" s="29"/>
      <c r="H222" s="29">
        <v>201</v>
      </c>
      <c r="I222" s="38">
        <v>2.9814046561166263</v>
      </c>
      <c r="J222" s="1">
        <v>1.0185953438833737</v>
      </c>
      <c r="K222" s="29">
        <v>1.0091831540886917</v>
      </c>
      <c r="L222" s="29">
        <v>82.172131147540981</v>
      </c>
      <c r="M222" s="1">
        <v>4</v>
      </c>
      <c r="N222" s="1">
        <v>1.0375364745808884</v>
      </c>
      <c r="O222" s="1"/>
    </row>
    <row r="223" spans="1:15" x14ac:dyDescent="0.3">
      <c r="A223" s="1">
        <v>2</v>
      </c>
      <c r="B223" s="7">
        <v>13.42</v>
      </c>
      <c r="C223" s="8">
        <v>3.48</v>
      </c>
      <c r="D223" s="32">
        <f t="shared" si="6"/>
        <v>2.298353309883133</v>
      </c>
      <c r="E223" s="1">
        <f t="shared" si="7"/>
        <v>1.396288900264147</v>
      </c>
      <c r="F223" s="29"/>
      <c r="H223" s="29">
        <v>202</v>
      </c>
      <c r="I223" s="38">
        <v>2.23530824083719</v>
      </c>
      <c r="J223" s="1">
        <v>-0.22530824083719025</v>
      </c>
      <c r="K223" s="29">
        <v>-0.2232263111113183</v>
      </c>
      <c r="L223" s="29">
        <v>82.581967213114751</v>
      </c>
      <c r="M223" s="1">
        <v>4</v>
      </c>
      <c r="N223" s="1">
        <v>5.0763803389149126E-2</v>
      </c>
      <c r="O223" s="1"/>
    </row>
    <row r="224" spans="1:15" x14ac:dyDescent="0.3">
      <c r="A224" s="1">
        <v>1</v>
      </c>
      <c r="B224" s="7">
        <v>8.58</v>
      </c>
      <c r="C224" s="8">
        <v>1.92</v>
      </c>
      <c r="D224" s="32">
        <f t="shared" si="6"/>
        <v>1.657022965224161</v>
      </c>
      <c r="E224" s="1">
        <f t="shared" si="7"/>
        <v>6.9156920819492776E-2</v>
      </c>
      <c r="F224" s="29"/>
      <c r="H224" s="29">
        <v>203</v>
      </c>
      <c r="I224" s="38">
        <v>2.2594137084135801</v>
      </c>
      <c r="J224" s="1">
        <v>-0.25941370841358014</v>
      </c>
      <c r="K224" s="29">
        <v>-0.25701663181825407</v>
      </c>
      <c r="L224" s="29">
        <v>82.991803278688522</v>
      </c>
      <c r="M224" s="1">
        <v>4</v>
      </c>
      <c r="N224" s="1">
        <v>6.7295472112885751E-2</v>
      </c>
      <c r="O224" s="1"/>
    </row>
    <row r="225" spans="1:15" x14ac:dyDescent="0.3">
      <c r="A225" s="1">
        <v>3</v>
      </c>
      <c r="B225" s="7">
        <v>15.98</v>
      </c>
      <c r="C225" s="8">
        <v>3</v>
      </c>
      <c r="D225" s="32">
        <f t="shared" si="6"/>
        <v>2.7282972465645301</v>
      </c>
      <c r="E225" s="1">
        <f t="shared" si="7"/>
        <v>7.3822386224415754E-2</v>
      </c>
      <c r="F225" s="29"/>
      <c r="H225" s="29">
        <v>204</v>
      </c>
      <c r="I225" s="38">
        <v>2.5746390536432964</v>
      </c>
      <c r="J225" s="1">
        <v>-7.4639053643296371E-2</v>
      </c>
      <c r="K225" s="29">
        <v>-7.3949361762016191E-2</v>
      </c>
      <c r="L225" s="29">
        <v>83.401639344262293</v>
      </c>
      <c r="M225" s="1">
        <v>4.0599999999999996</v>
      </c>
      <c r="N225" s="1">
        <v>5.570988328766807E-3</v>
      </c>
      <c r="O225" s="1"/>
    </row>
    <row r="226" spans="1:15" x14ac:dyDescent="0.3">
      <c r="A226" s="1">
        <v>2</v>
      </c>
      <c r="B226" s="7">
        <v>13.42</v>
      </c>
      <c r="C226" s="8">
        <v>1.58</v>
      </c>
      <c r="D226" s="32">
        <f t="shared" si="6"/>
        <v>2.298353309883133</v>
      </c>
      <c r="E226" s="1">
        <f t="shared" si="7"/>
        <v>0.51603147782005243</v>
      </c>
      <c r="F226" s="29"/>
      <c r="H226" s="29">
        <v>205</v>
      </c>
      <c r="I226" s="38">
        <v>3.342740723542144</v>
      </c>
      <c r="J226" s="1">
        <v>0.65725927645785598</v>
      </c>
      <c r="K226" s="29">
        <v>0.6511859627602381</v>
      </c>
      <c r="L226" s="29">
        <v>83.811475409836063</v>
      </c>
      <c r="M226" s="1">
        <v>4.08</v>
      </c>
      <c r="N226" s="1">
        <v>0.43198975648990495</v>
      </c>
      <c r="O226" s="1"/>
    </row>
    <row r="227" spans="1:15" x14ac:dyDescent="0.3">
      <c r="A227" s="1">
        <v>2</v>
      </c>
      <c r="B227" s="7">
        <v>16.27</v>
      </c>
      <c r="C227" s="8">
        <v>2.5</v>
      </c>
      <c r="D227" s="32">
        <f t="shared" si="6"/>
        <v>2.5625863198551011</v>
      </c>
      <c r="E227" s="1">
        <f t="shared" si="7"/>
        <v>3.9170474330050224E-3</v>
      </c>
      <c r="F227" s="29"/>
      <c r="H227" s="29">
        <v>206</v>
      </c>
      <c r="I227" s="38">
        <v>2.7737267816123423</v>
      </c>
      <c r="J227" s="1">
        <v>0.45627321838765766</v>
      </c>
      <c r="K227" s="29">
        <v>0.45205708864046851</v>
      </c>
      <c r="L227" s="29">
        <v>84.221311475409834</v>
      </c>
      <c r="M227" s="1">
        <v>4.08</v>
      </c>
      <c r="N227" s="1">
        <v>0.20818524981783154</v>
      </c>
      <c r="O227" s="1"/>
    </row>
    <row r="228" spans="1:15" x14ac:dyDescent="0.3">
      <c r="A228" s="1">
        <v>2</v>
      </c>
      <c r="B228" s="7">
        <v>10.09</v>
      </c>
      <c r="C228" s="8">
        <v>2</v>
      </c>
      <c r="D228" s="32">
        <f t="shared" si="6"/>
        <v>1.9896178982316752</v>
      </c>
      <c r="E228" s="1">
        <f t="shared" si="7"/>
        <v>1.0778803712785231E-4</v>
      </c>
      <c r="F228" s="29"/>
      <c r="H228" s="29">
        <v>207</v>
      </c>
      <c r="I228" s="38">
        <v>3.711985750354911</v>
      </c>
      <c r="J228" s="1">
        <v>-0.30198575035491082</v>
      </c>
      <c r="K228" s="29">
        <v>-0.29919529267738648</v>
      </c>
      <c r="L228" s="29">
        <v>84.631147540983605</v>
      </c>
      <c r="M228" s="1">
        <v>4.1900000000000004</v>
      </c>
      <c r="N228" s="1">
        <v>9.1195393417417989E-2</v>
      </c>
      <c r="O228" s="1"/>
    </row>
    <row r="229" spans="1:15" x14ac:dyDescent="0.3">
      <c r="A229" s="1">
        <v>4</v>
      </c>
      <c r="B229" s="7">
        <v>20.45</v>
      </c>
      <c r="C229" s="8">
        <v>3</v>
      </c>
      <c r="D229" s="32">
        <f t="shared" si="6"/>
        <v>3.3353236565955617</v>
      </c>
      <c r="E229" s="1">
        <f t="shared" si="7"/>
        <v>0.11244195467261821</v>
      </c>
      <c r="F229" s="29"/>
      <c r="H229" s="29">
        <v>208</v>
      </c>
      <c r="I229" s="38">
        <v>5.030123453889451</v>
      </c>
      <c r="J229" s="1">
        <v>-2.030123453889451</v>
      </c>
      <c r="K229" s="29">
        <v>-2.0113643781000463</v>
      </c>
      <c r="L229" s="29">
        <v>85.040983606557376</v>
      </c>
      <c r="M229" s="1">
        <v>4.2</v>
      </c>
      <c r="N229" s="1">
        <v>4.1214012380320302</v>
      </c>
      <c r="O229" s="1"/>
    </row>
    <row r="230" spans="1:15" x14ac:dyDescent="0.3">
      <c r="A230" s="1">
        <v>2</v>
      </c>
      <c r="B230" s="7">
        <v>13.28</v>
      </c>
      <c r="C230" s="8">
        <v>2.72</v>
      </c>
      <c r="D230" s="32">
        <f t="shared" si="6"/>
        <v>2.2853734427266152</v>
      </c>
      <c r="E230" s="1">
        <f t="shared" si="7"/>
        <v>0.18890024428731497</v>
      </c>
      <c r="F230" s="29"/>
      <c r="H230" s="29">
        <v>209</v>
      </c>
      <c r="I230" s="38">
        <v>3.3042930145132585</v>
      </c>
      <c r="J230" s="1">
        <v>-1.2742930145132587</v>
      </c>
      <c r="K230" s="29">
        <v>-1.2625180856578901</v>
      </c>
      <c r="L230" s="29">
        <v>85.450819672131146</v>
      </c>
      <c r="M230" s="1">
        <v>4.29</v>
      </c>
      <c r="N230" s="1">
        <v>1.6238226868372871</v>
      </c>
      <c r="O230" s="1"/>
    </row>
    <row r="231" spans="1:15" x14ac:dyDescent="0.3">
      <c r="A231" s="1">
        <v>2</v>
      </c>
      <c r="B231" s="7">
        <v>22.12</v>
      </c>
      <c r="C231" s="8">
        <v>2.88</v>
      </c>
      <c r="D231" s="32">
        <f t="shared" si="6"/>
        <v>3.1049593403238784</v>
      </c>
      <c r="E231" s="1">
        <f t="shared" si="7"/>
        <v>5.0606704798954606E-2</v>
      </c>
      <c r="F231" s="29"/>
      <c r="H231" s="29">
        <v>210</v>
      </c>
      <c r="I231" s="38">
        <v>2.2371625075738351</v>
      </c>
      <c r="J231" s="1">
        <v>-7.1625075738350752E-3</v>
      </c>
      <c r="K231" s="29">
        <v>-7.0963234104225803E-3</v>
      </c>
      <c r="L231" s="29">
        <v>85.860655737704917</v>
      </c>
      <c r="M231" s="1">
        <v>4.3</v>
      </c>
      <c r="N231" s="1">
        <v>5.1301514745244817E-5</v>
      </c>
      <c r="O231" s="1"/>
    </row>
    <row r="232" spans="1:15" x14ac:dyDescent="0.3">
      <c r="A232" s="1">
        <v>4</v>
      </c>
      <c r="B232" s="7">
        <v>24.01</v>
      </c>
      <c r="C232" s="8">
        <v>2</v>
      </c>
      <c r="D232" s="32">
        <f t="shared" si="6"/>
        <v>3.6653831357184421</v>
      </c>
      <c r="E232" s="1">
        <f t="shared" si="7"/>
        <v>2.7735009887353907</v>
      </c>
      <c r="F232" s="29"/>
      <c r="H232" s="29">
        <v>211</v>
      </c>
      <c r="I232" s="38">
        <v>4.033701029162887</v>
      </c>
      <c r="J232" s="1">
        <v>-2.033701029162887</v>
      </c>
      <c r="K232" s="29">
        <v>-2.0149088952825727</v>
      </c>
      <c r="L232" s="29">
        <v>86.270491803278688</v>
      </c>
      <c r="M232" s="1">
        <v>4.3</v>
      </c>
      <c r="N232" s="1">
        <v>4.135939876018182</v>
      </c>
      <c r="O232" s="1"/>
    </row>
    <row r="233" spans="1:15" x14ac:dyDescent="0.3">
      <c r="A233" s="1">
        <v>3</v>
      </c>
      <c r="B233" s="7">
        <v>15.69</v>
      </c>
      <c r="C233" s="8">
        <v>3</v>
      </c>
      <c r="D233" s="32">
        <f t="shared" si="6"/>
        <v>2.701410378883172</v>
      </c>
      <c r="E233" s="1">
        <f t="shared" si="7"/>
        <v>8.9155761838690881E-2</v>
      </c>
      <c r="F233" s="29"/>
      <c r="H233" s="29">
        <v>212</v>
      </c>
      <c r="I233" s="38">
        <v>3.8396842089631091</v>
      </c>
      <c r="J233" s="1">
        <v>1.320315791036891</v>
      </c>
      <c r="K233" s="29">
        <v>1.3081155950623276</v>
      </c>
      <c r="L233" s="29">
        <v>86.680327868852459</v>
      </c>
      <c r="M233" s="1">
        <v>4.34</v>
      </c>
      <c r="N233" s="1">
        <v>1.7432337880613713</v>
      </c>
      <c r="O233" s="1"/>
    </row>
    <row r="234" spans="1:15" x14ac:dyDescent="0.3">
      <c r="A234" s="1">
        <v>2</v>
      </c>
      <c r="B234" s="7">
        <v>11.61</v>
      </c>
      <c r="C234" s="8">
        <v>3.39</v>
      </c>
      <c r="D234" s="32">
        <f t="shared" si="6"/>
        <v>2.1305421702167249</v>
      </c>
      <c r="E234" s="1">
        <f t="shared" si="7"/>
        <v>1.5862340250023976</v>
      </c>
      <c r="F234" s="29"/>
      <c r="H234" s="29">
        <v>213</v>
      </c>
      <c r="I234" s="38">
        <v>5.920171487479239</v>
      </c>
      <c r="J234" s="1">
        <v>3.079828512520761</v>
      </c>
      <c r="K234" s="29">
        <v>3.0513697819080696</v>
      </c>
      <c r="L234" s="29">
        <v>87.090163934426229</v>
      </c>
      <c r="M234" s="1">
        <v>4.5</v>
      </c>
      <c r="N234" s="1">
        <v>9.485343666535849</v>
      </c>
      <c r="O234" s="1"/>
    </row>
    <row r="235" spans="1:15" x14ac:dyDescent="0.3">
      <c r="A235" s="1">
        <v>2</v>
      </c>
      <c r="B235" s="7">
        <v>10.77</v>
      </c>
      <c r="C235" s="8">
        <v>1.47</v>
      </c>
      <c r="D235" s="32">
        <f t="shared" si="6"/>
        <v>2.0526629672776182</v>
      </c>
      <c r="E235" s="1">
        <f t="shared" si="7"/>
        <v>0.33949613343675883</v>
      </c>
      <c r="F235" s="29"/>
      <c r="H235" s="29">
        <v>214</v>
      </c>
      <c r="I235" s="38">
        <v>2.2844463093582927</v>
      </c>
      <c r="J235" s="1">
        <v>0.21555369064170726</v>
      </c>
      <c r="K235" s="29">
        <v>0.21356189649160931</v>
      </c>
      <c r="L235" s="29">
        <v>87.5</v>
      </c>
      <c r="M235" s="1">
        <v>4.67</v>
      </c>
      <c r="N235" s="1">
        <v>4.6463393549261031E-2</v>
      </c>
      <c r="O235" s="1"/>
    </row>
    <row r="236" spans="1:15" x14ac:dyDescent="0.3">
      <c r="A236" s="1">
        <v>2</v>
      </c>
      <c r="B236" s="7">
        <v>15.53</v>
      </c>
      <c r="C236" s="8">
        <v>3</v>
      </c>
      <c r="D236" s="32">
        <f t="shared" si="6"/>
        <v>2.4939784505992217</v>
      </c>
      <c r="E236" s="1">
        <f t="shared" si="7"/>
        <v>0.25605780845796428</v>
      </c>
      <c r="F236" s="29"/>
      <c r="H236" s="29">
        <v>215</v>
      </c>
      <c r="I236" s="38">
        <v>3.8584728225498974</v>
      </c>
      <c r="J236" s="1">
        <v>2.6415271774501026</v>
      </c>
      <c r="K236" s="29">
        <v>2.6171185098754175</v>
      </c>
      <c r="L236" s="29">
        <v>87.909836065573771</v>
      </c>
      <c r="M236" s="1">
        <v>4.71</v>
      </c>
      <c r="N236" s="1">
        <v>6.9776658292075107</v>
      </c>
      <c r="O236" s="1"/>
    </row>
    <row r="237" spans="1:15" x14ac:dyDescent="0.3">
      <c r="A237" s="1">
        <v>2</v>
      </c>
      <c r="B237" s="7">
        <v>10.07</v>
      </c>
      <c r="C237" s="8">
        <v>1.25</v>
      </c>
      <c r="D237" s="32">
        <f t="shared" si="6"/>
        <v>1.9877636314950298</v>
      </c>
      <c r="E237" s="1">
        <f t="shared" si="7"/>
        <v>0.54429517595673405</v>
      </c>
      <c r="F237" s="29"/>
      <c r="H237" s="29">
        <v>216</v>
      </c>
      <c r="I237" s="38">
        <v>2.2501423747303528</v>
      </c>
      <c r="J237" s="1">
        <v>-1.1501423747303527</v>
      </c>
      <c r="K237" s="29">
        <v>-1.1395146427395535</v>
      </c>
      <c r="L237" s="29">
        <v>88.319672131147541</v>
      </c>
      <c r="M237" s="1">
        <v>4.7300000000000004</v>
      </c>
      <c r="N237" s="1">
        <v>1.3228274821503752</v>
      </c>
      <c r="O237" s="1"/>
    </row>
    <row r="238" spans="1:15" x14ac:dyDescent="0.3">
      <c r="A238" s="1">
        <v>2</v>
      </c>
      <c r="B238" s="7">
        <v>12.6</v>
      </c>
      <c r="C238" s="8">
        <v>1</v>
      </c>
      <c r="D238" s="32">
        <f t="shared" si="6"/>
        <v>2.2223283736806718</v>
      </c>
      <c r="E238" s="1">
        <f t="shared" si="7"/>
        <v>1.494086653104836</v>
      </c>
      <c r="F238" s="29"/>
      <c r="H238" s="29">
        <v>217</v>
      </c>
      <c r="I238" s="38">
        <v>4.2418141445948256</v>
      </c>
      <c r="J238" s="1">
        <v>-1.2418141445948256</v>
      </c>
      <c r="K238" s="29">
        <v>-1.2303393322575866</v>
      </c>
      <c r="L238" s="29">
        <v>88.729508196721312</v>
      </c>
      <c r="M238" s="1">
        <v>5</v>
      </c>
      <c r="N238" s="1">
        <v>1.5421023697157763</v>
      </c>
      <c r="O238" s="1"/>
    </row>
    <row r="239" spans="1:15" x14ac:dyDescent="0.3">
      <c r="A239" s="1">
        <v>2</v>
      </c>
      <c r="B239" s="7">
        <v>32.83</v>
      </c>
      <c r="C239" s="8">
        <v>1.17</v>
      </c>
      <c r="D239" s="32">
        <f t="shared" si="6"/>
        <v>4.0979191777974862</v>
      </c>
      <c r="E239" s="1">
        <f t="shared" si="7"/>
        <v>8.5727107117143078</v>
      </c>
      <c r="F239" s="29"/>
      <c r="H239" s="29">
        <v>218</v>
      </c>
      <c r="I239" s="38">
        <v>2.1286879034800799</v>
      </c>
      <c r="J239" s="1">
        <v>-0.62868790348007986</v>
      </c>
      <c r="K239" s="29">
        <v>-0.62287859961401704</v>
      </c>
      <c r="L239" s="29">
        <v>89.139344262295083</v>
      </c>
      <c r="M239" s="1">
        <v>5</v>
      </c>
      <c r="N239" s="1">
        <v>0.39524847998217766</v>
      </c>
      <c r="O239" s="1"/>
    </row>
    <row r="240" spans="1:15" x14ac:dyDescent="0.3">
      <c r="A240" s="1">
        <v>3</v>
      </c>
      <c r="B240" s="7">
        <v>35.83</v>
      </c>
      <c r="C240" s="8">
        <v>4.67</v>
      </c>
      <c r="D240" s="32">
        <f t="shared" si="6"/>
        <v>4.5686569826850816</v>
      </c>
      <c r="E240" s="1">
        <f t="shared" si="7"/>
        <v>1.027040715849184E-2</v>
      </c>
      <c r="F240" s="29"/>
      <c r="H240" s="29">
        <v>219</v>
      </c>
      <c r="I240" s="38">
        <v>1.7717415566758419</v>
      </c>
      <c r="J240" s="1">
        <v>-0.33174155667584193</v>
      </c>
      <c r="K240" s="29">
        <v>-0.32867614457380723</v>
      </c>
      <c r="L240" s="29">
        <v>89.549180327868854</v>
      </c>
      <c r="M240" s="1">
        <v>5</v>
      </c>
      <c r="N240" s="1">
        <v>0.11005246042571055</v>
      </c>
      <c r="O240" s="1"/>
    </row>
    <row r="241" spans="1:15" x14ac:dyDescent="0.3">
      <c r="A241" s="1">
        <v>3</v>
      </c>
      <c r="B241" s="7">
        <v>29.03</v>
      </c>
      <c r="C241" s="8">
        <v>5.92</v>
      </c>
      <c r="D241" s="32">
        <f t="shared" si="6"/>
        <v>3.9382062922256482</v>
      </c>
      <c r="E241" s="1">
        <f t="shared" si="7"/>
        <v>3.9275063001740125</v>
      </c>
      <c r="F241" s="29"/>
      <c r="H241" s="29">
        <v>220</v>
      </c>
      <c r="I241" s="38">
        <v>4.233715890500255</v>
      </c>
      <c r="J241" s="1">
        <v>-1.1437158905002551</v>
      </c>
      <c r="K241" s="29">
        <v>-1.13314754155067</v>
      </c>
      <c r="L241" s="29">
        <v>89.959016393442624</v>
      </c>
      <c r="M241" s="1">
        <v>5</v>
      </c>
      <c r="N241" s="1">
        <v>1.3080860381827895</v>
      </c>
      <c r="O241" s="1"/>
    </row>
    <row r="242" spans="1:15" x14ac:dyDescent="0.3">
      <c r="A242" s="1">
        <v>2</v>
      </c>
      <c r="B242" s="7">
        <v>27.18</v>
      </c>
      <c r="C242" s="8">
        <v>2</v>
      </c>
      <c r="D242" s="32">
        <f t="shared" si="6"/>
        <v>3.5740888246951625</v>
      </c>
      <c r="E242" s="1">
        <f t="shared" si="7"/>
        <v>2.4777556280301982</v>
      </c>
      <c r="F242" s="29"/>
      <c r="H242" s="29">
        <v>221</v>
      </c>
      <c r="I242" s="38">
        <v>2.1815345054744739</v>
      </c>
      <c r="J242" s="1">
        <v>1.846549452552626E-2</v>
      </c>
      <c r="K242" s="29">
        <v>1.8294866670048045E-2</v>
      </c>
      <c r="L242" s="29">
        <v>90.368852459016395</v>
      </c>
      <c r="M242" s="1">
        <v>5</v>
      </c>
      <c r="N242" s="1">
        <v>3.409744880722731E-4</v>
      </c>
      <c r="O242" s="1"/>
    </row>
    <row r="243" spans="1:15" x14ac:dyDescent="0.3">
      <c r="A243" s="1">
        <v>2</v>
      </c>
      <c r="B243" s="7">
        <v>22.67</v>
      </c>
      <c r="C243" s="8">
        <v>2</v>
      </c>
      <c r="D243" s="32">
        <f t="shared" si="6"/>
        <v>3.155951675581627</v>
      </c>
      <c r="E243" s="1">
        <f t="shared" si="7"/>
        <v>1.3362242762799712</v>
      </c>
      <c r="F243" s="29"/>
      <c r="H243" s="29">
        <v>222</v>
      </c>
      <c r="I243" s="38">
        <v>2.298353309883133</v>
      </c>
      <c r="J243" s="1">
        <v>1.181646690116867</v>
      </c>
      <c r="K243" s="29">
        <v>1.170727846844684</v>
      </c>
      <c r="L243" s="29">
        <v>90.778688524590166</v>
      </c>
      <c r="M243" s="1">
        <v>5</v>
      </c>
      <c r="N243" s="1">
        <v>1.396288900264147</v>
      </c>
      <c r="O243" s="1"/>
    </row>
    <row r="244" spans="1:15" x14ac:dyDescent="0.3">
      <c r="A244" s="1">
        <v>2</v>
      </c>
      <c r="B244" s="7">
        <v>17.82</v>
      </c>
      <c r="C244" s="8">
        <v>1.75</v>
      </c>
      <c r="D244" s="32">
        <f t="shared" si="6"/>
        <v>2.7062919919451192</v>
      </c>
      <c r="E244" s="1">
        <f t="shared" si="7"/>
        <v>0.91449437385836385</v>
      </c>
      <c r="F244" s="29"/>
      <c r="H244" s="29">
        <v>223</v>
      </c>
      <c r="I244" s="38">
        <v>1.6570229652241613</v>
      </c>
      <c r="J244" s="1">
        <v>0.26297703477583867</v>
      </c>
      <c r="K244" s="29">
        <v>0.26054703175470145</v>
      </c>
      <c r="L244" s="29">
        <v>91.188524590163937</v>
      </c>
      <c r="M244" s="1">
        <v>5</v>
      </c>
      <c r="N244" s="1">
        <v>6.9156920819492776E-2</v>
      </c>
      <c r="O244" s="1"/>
    </row>
    <row r="245" spans="1:15" x14ac:dyDescent="0.3">
      <c r="A245" s="1">
        <v>2</v>
      </c>
      <c r="B245" s="7">
        <v>18.78</v>
      </c>
      <c r="C245" s="8">
        <v>3</v>
      </c>
      <c r="D245" s="32">
        <f t="shared" si="6"/>
        <v>2.7952967953040981</v>
      </c>
      <c r="E245" s="1">
        <f t="shared" si="7"/>
        <v>4.1903402012772296E-2</v>
      </c>
      <c r="F245" s="29"/>
      <c r="H245" s="29">
        <v>224</v>
      </c>
      <c r="I245" s="38">
        <v>2.7282972465645301</v>
      </c>
      <c r="J245" s="1">
        <v>0.2717027534354699</v>
      </c>
      <c r="K245" s="29">
        <v>0.26919212161447353</v>
      </c>
      <c r="L245" s="29">
        <v>91.598360655737707</v>
      </c>
      <c r="M245" s="1">
        <v>5</v>
      </c>
      <c r="N245" s="1">
        <v>7.3822386224415754E-2</v>
      </c>
      <c r="O245" s="1"/>
    </row>
    <row r="246" spans="1:15" x14ac:dyDescent="0.3">
      <c r="H246" s="29">
        <v>225</v>
      </c>
      <c r="I246" s="38">
        <v>2.298353309883133</v>
      </c>
      <c r="J246" s="1">
        <v>-0.71835330988313295</v>
      </c>
      <c r="K246" s="29">
        <v>-0.71171546519548612</v>
      </c>
      <c r="L246" s="29">
        <v>92.008196721311464</v>
      </c>
      <c r="M246" s="1">
        <v>5</v>
      </c>
      <c r="N246" s="1">
        <v>0.51603147782005243</v>
      </c>
      <c r="O246" s="1"/>
    </row>
    <row r="247" spans="1:15" x14ac:dyDescent="0.3">
      <c r="H247" s="29">
        <v>226</v>
      </c>
      <c r="I247" s="38">
        <v>2.562586319855102</v>
      </c>
      <c r="J247" s="1">
        <v>-6.2586319855101991E-2</v>
      </c>
      <c r="K247" s="29">
        <v>-6.2007999598128243E-2</v>
      </c>
      <c r="L247" s="29">
        <v>92.418032786885234</v>
      </c>
      <c r="M247" s="1">
        <v>5</v>
      </c>
      <c r="N247" s="1">
        <v>3.9170474330050224E-3</v>
      </c>
      <c r="O247" s="1"/>
    </row>
    <row r="248" spans="1:15" x14ac:dyDescent="0.3">
      <c r="H248" s="29">
        <v>227</v>
      </c>
      <c r="I248" s="38">
        <v>1.9896178982316755</v>
      </c>
      <c r="J248" s="1">
        <v>1.0382101768324548E-2</v>
      </c>
      <c r="K248" s="29">
        <v>1.0286167388791036E-2</v>
      </c>
      <c r="L248" s="29">
        <v>92.827868852459005</v>
      </c>
      <c r="M248" s="1">
        <v>5.07</v>
      </c>
      <c r="N248" s="1">
        <v>1.0778803712785231E-4</v>
      </c>
      <c r="O248" s="1"/>
    </row>
    <row r="249" spans="1:15" x14ac:dyDescent="0.3">
      <c r="H249" s="29">
        <v>228</v>
      </c>
      <c r="I249" s="38">
        <v>3.3353236565955626</v>
      </c>
      <c r="J249" s="1">
        <v>-0.33532365659556262</v>
      </c>
      <c r="K249" s="29">
        <v>-0.3322251445932482</v>
      </c>
      <c r="L249" s="29">
        <v>93.237704918032776</v>
      </c>
      <c r="M249" s="1">
        <v>5.14</v>
      </c>
      <c r="N249" s="1">
        <v>0.11244195467261821</v>
      </c>
      <c r="O249" s="1"/>
    </row>
    <row r="250" spans="1:15" x14ac:dyDescent="0.3">
      <c r="H250" s="29">
        <v>229</v>
      </c>
      <c r="I250" s="38">
        <v>2.2853734427266152</v>
      </c>
      <c r="J250" s="1">
        <v>0.43462655727338495</v>
      </c>
      <c r="K250" s="29">
        <v>0.43061045051280394</v>
      </c>
      <c r="L250" s="29">
        <v>93.647540983606547</v>
      </c>
      <c r="M250" s="1">
        <v>5.15</v>
      </c>
      <c r="N250" s="1">
        <v>0.18890024428731497</v>
      </c>
      <c r="O250" s="1"/>
    </row>
    <row r="251" spans="1:15" x14ac:dyDescent="0.3">
      <c r="H251" s="29">
        <v>230</v>
      </c>
      <c r="I251" s="38">
        <v>3.1049593403238793</v>
      </c>
      <c r="J251" s="1">
        <v>-0.22495934032387943</v>
      </c>
      <c r="K251" s="29">
        <v>-0.22288063456508181</v>
      </c>
      <c r="L251" s="29">
        <v>94.057377049180317</v>
      </c>
      <c r="M251" s="1">
        <v>5.16</v>
      </c>
      <c r="N251" s="1">
        <v>5.0606704798954606E-2</v>
      </c>
      <c r="O251" s="1"/>
    </row>
    <row r="252" spans="1:15" x14ac:dyDescent="0.3">
      <c r="H252" s="29">
        <v>231</v>
      </c>
      <c r="I252" s="38">
        <v>3.6653831357184425</v>
      </c>
      <c r="J252" s="1">
        <v>-1.6653831357184425</v>
      </c>
      <c r="K252" s="29">
        <v>-1.6499943925356155</v>
      </c>
      <c r="L252" s="29">
        <v>94.467213114754088</v>
      </c>
      <c r="M252" s="1">
        <v>5.17</v>
      </c>
      <c r="N252" s="1">
        <v>2.7735009887353907</v>
      </c>
      <c r="O252" s="1"/>
    </row>
    <row r="253" spans="1:15" x14ac:dyDescent="0.3">
      <c r="H253" s="29">
        <v>232</v>
      </c>
      <c r="I253" s="38">
        <v>2.701410378883172</v>
      </c>
      <c r="J253" s="1">
        <v>0.29858962111682796</v>
      </c>
      <c r="K253" s="29">
        <v>0.29583054490314797</v>
      </c>
      <c r="L253" s="29">
        <v>94.877049180327859</v>
      </c>
      <c r="M253" s="1">
        <v>5.2</v>
      </c>
      <c r="N253" s="1">
        <v>8.9155761838690881E-2</v>
      </c>
      <c r="O253" s="1"/>
    </row>
    <row r="254" spans="1:15" x14ac:dyDescent="0.3">
      <c r="H254" s="29">
        <v>233</v>
      </c>
      <c r="I254" s="38">
        <v>2.1305421702167253</v>
      </c>
      <c r="J254" s="1">
        <v>1.2594578297832748</v>
      </c>
      <c r="K254" s="29">
        <v>1.2478199834063961</v>
      </c>
      <c r="L254" s="29">
        <v>95.28688524590163</v>
      </c>
      <c r="M254" s="1">
        <v>5.6</v>
      </c>
      <c r="N254" s="1">
        <v>1.5862340250023976</v>
      </c>
      <c r="O254" s="1"/>
    </row>
    <row r="255" spans="1:15" x14ac:dyDescent="0.3">
      <c r="H255" s="29">
        <v>234</v>
      </c>
      <c r="I255" s="38">
        <v>2.0526629672776187</v>
      </c>
      <c r="J255" s="1">
        <v>-0.58266296727761868</v>
      </c>
      <c r="K255" s="29">
        <v>-0.5772789504869652</v>
      </c>
      <c r="L255" s="29">
        <v>95.6967213114754</v>
      </c>
      <c r="M255" s="1">
        <v>5.65</v>
      </c>
      <c r="N255" s="1">
        <v>0.33949613343675883</v>
      </c>
      <c r="O255" s="1"/>
    </row>
    <row r="256" spans="1:15" x14ac:dyDescent="0.3">
      <c r="H256" s="29">
        <v>235</v>
      </c>
      <c r="I256" s="38">
        <v>2.4939784505992222</v>
      </c>
      <c r="J256" s="1">
        <v>0.50602154940077781</v>
      </c>
      <c r="K256" s="29">
        <v>0.50134572706194669</v>
      </c>
      <c r="L256" s="29">
        <v>96.106557377049171</v>
      </c>
      <c r="M256" s="1">
        <v>5.85</v>
      </c>
      <c r="N256" s="1">
        <v>0.25605780845796428</v>
      </c>
      <c r="O256" s="1"/>
    </row>
    <row r="257" spans="8:15" x14ac:dyDescent="0.3">
      <c r="H257" s="29">
        <v>236</v>
      </c>
      <c r="I257" s="38">
        <v>1.9877636314950302</v>
      </c>
      <c r="J257" s="1">
        <v>-0.73776363149503021</v>
      </c>
      <c r="K257" s="29">
        <v>-0.73094642840752022</v>
      </c>
      <c r="L257" s="29">
        <v>96.516393442622942</v>
      </c>
      <c r="M257" s="1">
        <v>5.92</v>
      </c>
      <c r="N257" s="1">
        <v>0.54429517595673405</v>
      </c>
      <c r="O257" s="1"/>
    </row>
    <row r="258" spans="8:15" x14ac:dyDescent="0.3">
      <c r="H258" s="29">
        <v>237</v>
      </c>
      <c r="I258" s="38">
        <v>2.2223283736806723</v>
      </c>
      <c r="J258" s="1">
        <v>-1.2223283736806723</v>
      </c>
      <c r="K258" s="29">
        <v>-1.2110336169221683</v>
      </c>
      <c r="L258" s="29">
        <v>96.926229508196712</v>
      </c>
      <c r="M258" s="1">
        <v>6</v>
      </c>
      <c r="N258" s="1">
        <v>1.494086653104836</v>
      </c>
      <c r="O258" s="1"/>
    </row>
    <row r="259" spans="8:15" x14ac:dyDescent="0.3">
      <c r="H259" s="29">
        <v>238</v>
      </c>
      <c r="I259" s="38">
        <v>4.0979191777974862</v>
      </c>
      <c r="J259" s="1">
        <v>-2.9279191777974862</v>
      </c>
      <c r="K259" s="29">
        <v>-2.9008641444415959</v>
      </c>
      <c r="L259" s="29">
        <v>97.336065573770483</v>
      </c>
      <c r="M259" s="1">
        <v>6.5</v>
      </c>
      <c r="N259" s="1">
        <v>8.5727107117143078</v>
      </c>
      <c r="O259" s="1"/>
    </row>
    <row r="260" spans="8:15" x14ac:dyDescent="0.3">
      <c r="H260" s="29">
        <v>239</v>
      </c>
      <c r="I260" s="38">
        <v>4.5686569826850825</v>
      </c>
      <c r="J260" s="1">
        <v>0.10134301731491746</v>
      </c>
      <c r="K260" s="29">
        <v>0.10040657114023029</v>
      </c>
      <c r="L260" s="29">
        <v>97.745901639344254</v>
      </c>
      <c r="M260" s="1">
        <v>6.5</v>
      </c>
      <c r="N260" s="1">
        <v>1.027040715849184E-2</v>
      </c>
      <c r="O260" s="1"/>
    </row>
    <row r="261" spans="8:15" x14ac:dyDescent="0.3">
      <c r="H261" s="29">
        <v>240</v>
      </c>
      <c r="I261" s="38">
        <v>3.9382062922256491</v>
      </c>
      <c r="J261" s="1">
        <v>1.9817937077743508</v>
      </c>
      <c r="K261" s="29">
        <v>1.9634812163384834</v>
      </c>
      <c r="L261" s="29">
        <v>98.155737704918025</v>
      </c>
      <c r="M261" s="1">
        <v>6.7</v>
      </c>
      <c r="N261" s="1">
        <v>3.9275063001740125</v>
      </c>
      <c r="O261" s="1"/>
    </row>
    <row r="262" spans="8:15" x14ac:dyDescent="0.3">
      <c r="H262" s="29">
        <v>241</v>
      </c>
      <c r="I262" s="38">
        <v>3.5740888246951634</v>
      </c>
      <c r="J262" s="1">
        <v>-1.5740888246951634</v>
      </c>
      <c r="K262" s="29">
        <v>-1.5595436740024118</v>
      </c>
      <c r="L262" s="29">
        <v>98.565573770491795</v>
      </c>
      <c r="M262" s="1">
        <v>6.73</v>
      </c>
      <c r="N262" s="1">
        <v>2.4777556280301982</v>
      </c>
      <c r="O262" s="1"/>
    </row>
    <row r="263" spans="8:15" x14ac:dyDescent="0.3">
      <c r="H263" s="29">
        <v>242</v>
      </c>
      <c r="I263" s="38">
        <v>3.1559516755816275</v>
      </c>
      <c r="J263" s="1">
        <v>-1.1559516755816275</v>
      </c>
      <c r="K263" s="29">
        <v>-1.1452702635475069</v>
      </c>
      <c r="L263" s="29">
        <v>98.975409836065566</v>
      </c>
      <c r="M263" s="1">
        <v>7.58</v>
      </c>
      <c r="N263" s="1">
        <v>1.3362242762799712</v>
      </c>
      <c r="O263" s="1"/>
    </row>
    <row r="264" spans="8:15" x14ac:dyDescent="0.3">
      <c r="H264" s="29">
        <v>243</v>
      </c>
      <c r="I264" s="38">
        <v>2.7062919919451196</v>
      </c>
      <c r="J264" s="1">
        <v>-0.9562919919451196</v>
      </c>
      <c r="K264" s="29">
        <v>-0.94745550768140141</v>
      </c>
      <c r="L264" s="29">
        <v>99.385245901639337</v>
      </c>
      <c r="M264" s="1">
        <v>9</v>
      </c>
      <c r="N264" s="1">
        <v>0.91449437385836385</v>
      </c>
      <c r="O264" s="1"/>
    </row>
    <row r="265" spans="8:15" x14ac:dyDescent="0.3">
      <c r="H265" s="29">
        <v>244</v>
      </c>
      <c r="I265" s="38">
        <v>2.7952967953040986</v>
      </c>
      <c r="J265" s="1">
        <v>0.20470320469590142</v>
      </c>
      <c r="K265" s="29">
        <v>0.20281167296473138</v>
      </c>
      <c r="L265" s="29">
        <v>99.795081967213108</v>
      </c>
      <c r="M265" s="1">
        <v>10</v>
      </c>
      <c r="N265" s="1">
        <v>4.1903402012772296E-2</v>
      </c>
      <c r="O265" s="1"/>
    </row>
  </sheetData>
  <autoFilter ref="A1:E1" xr:uid="{E7E8F062-2A83-4E9C-A8FF-FBD58E735C21}"/>
  <sortState xmlns:xlrd2="http://schemas.microsoft.com/office/spreadsheetml/2017/richdata2" ref="M22:M265">
    <sortCondition ref="M22"/>
  </sortState>
  <mergeCells count="4">
    <mergeCell ref="H1:I1"/>
    <mergeCell ref="H2:I2"/>
    <mergeCell ref="H20:P20"/>
    <mergeCell ref="H9:M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EF424-D1D4-49FD-97C7-73AB45D3B71B}">
  <dimension ref="A1:G4"/>
  <sheetViews>
    <sheetView workbookViewId="0">
      <selection sqref="A1:F1"/>
    </sheetView>
  </sheetViews>
  <sheetFormatPr defaultRowHeight="14.4" x14ac:dyDescent="0.3"/>
  <cols>
    <col min="1" max="1" width="11.109375" bestFit="1" customWidth="1"/>
  </cols>
  <sheetData>
    <row r="1" spans="1:7" ht="18.600000000000001" thickBot="1" x14ac:dyDescent="0.4">
      <c r="A1" s="69" t="s">
        <v>26</v>
      </c>
      <c r="B1" s="70"/>
      <c r="C1" s="70"/>
      <c r="D1" s="70"/>
      <c r="E1" s="70"/>
      <c r="F1" s="71"/>
      <c r="G1" s="5"/>
    </row>
    <row r="2" spans="1:7" ht="18" x14ac:dyDescent="0.35">
      <c r="A2" s="42" t="s">
        <v>29</v>
      </c>
      <c r="B2" s="42" t="s">
        <v>36</v>
      </c>
      <c r="C2" s="42" t="s">
        <v>30</v>
      </c>
      <c r="D2" s="42" t="s">
        <v>36</v>
      </c>
      <c r="E2" s="42" t="s">
        <v>33</v>
      </c>
      <c r="F2" s="42" t="s">
        <v>36</v>
      </c>
      <c r="G2" s="4"/>
    </row>
    <row r="3" spans="1:7" x14ac:dyDescent="0.3">
      <c r="A3" s="1" t="s">
        <v>27</v>
      </c>
      <c r="B3" s="9">
        <v>1</v>
      </c>
      <c r="C3" s="1" t="s">
        <v>31</v>
      </c>
      <c r="D3" s="9">
        <v>1</v>
      </c>
      <c r="E3" s="1" t="s">
        <v>34</v>
      </c>
      <c r="F3" s="9">
        <v>1</v>
      </c>
    </row>
    <row r="4" spans="1:7" x14ac:dyDescent="0.3">
      <c r="A4" s="1" t="s">
        <v>28</v>
      </c>
      <c r="B4" s="10">
        <v>0</v>
      </c>
      <c r="C4" s="1" t="s">
        <v>32</v>
      </c>
      <c r="D4" s="10">
        <v>0</v>
      </c>
      <c r="E4" s="1" t="s">
        <v>35</v>
      </c>
      <c r="F4" s="10"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tips</vt:lpstr>
      <vt:lpstr>CORRELATION IN %</vt:lpstr>
      <vt:lpstr>Linear Regression -prediction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Venkateswaran</dc:creator>
  <cp:lastModifiedBy>Sattik Mohanta</cp:lastModifiedBy>
  <dcterms:created xsi:type="dcterms:W3CDTF">2021-10-26T16:10:41Z</dcterms:created>
  <dcterms:modified xsi:type="dcterms:W3CDTF">2025-11-26T19:42:14Z</dcterms:modified>
</cp:coreProperties>
</file>